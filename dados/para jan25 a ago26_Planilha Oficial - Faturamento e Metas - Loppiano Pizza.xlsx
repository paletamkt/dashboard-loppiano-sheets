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 ABRIL" sheetId="1" r:id="rId5"/>
    <sheet state="visible" name="META MAIO" sheetId="2" r:id="rId6"/>
    <sheet state="visible" name="FAT MAIO" sheetId="3" r:id="rId7"/>
    <sheet state="visible" name="Página5" sheetId="4" r:id="rId8"/>
    <sheet state="visible" name="Página6" sheetId="5" r:id="rId9"/>
    <sheet state="visible" name="FAT JUNHO" sheetId="6" r:id="rId10"/>
    <sheet state="visible" name="GRAFICOS" sheetId="7" r:id="rId11"/>
    <sheet state="visible" name="META JULHO" sheetId="8" r:id="rId12"/>
    <sheet state="visible" name="FAT JULHO" sheetId="9" r:id="rId13"/>
    <sheet state="visible" name="META AGOSTO" sheetId="10" r:id="rId14"/>
    <sheet state="visible" name="FAT AGOSTO" sheetId="11" r:id="rId15"/>
    <sheet state="visible" name="META SETEMBRO" sheetId="12" r:id="rId16"/>
    <sheet state="visible" name="FAT SETEMBRO" sheetId="13" r:id="rId17"/>
    <sheet state="visible" name="META OUTUBRO" sheetId="14" r:id="rId18"/>
    <sheet state="visible" name="Planilha1" sheetId="15" r:id="rId19"/>
    <sheet state="visible" name="FAT OUTUBRO" sheetId="16" r:id="rId20"/>
    <sheet state="visible" name="META NOVEMBRO" sheetId="17" r:id="rId21"/>
    <sheet state="visible" name="FAT NOVEMBRO" sheetId="18" r:id="rId22"/>
    <sheet state="visible" name="META DEZEMBRO" sheetId="19" r:id="rId23"/>
    <sheet state="visible" name="FAT DEZEMBRO" sheetId="20" r:id="rId24"/>
    <sheet state="visible" name="META JAN25 ant" sheetId="21" r:id="rId25"/>
    <sheet state="visible" name="FAT JAN25" sheetId="22" r:id="rId26"/>
    <sheet state="hidden" name="META FEV25" sheetId="23" r:id="rId27"/>
    <sheet state="visible" name="FAT FEV25" sheetId="24" r:id="rId28"/>
    <sheet state="visible" name="META MARÇO25" sheetId="25" r:id="rId29"/>
    <sheet state="visible" name="FAT MARÇO25" sheetId="26" r:id="rId30"/>
    <sheet state="visible" name="META ABRIL25" sheetId="27" r:id="rId31"/>
    <sheet state="visible" name="FAT ABRIL25" sheetId="28" r:id="rId32"/>
    <sheet state="visible" name="FATMAIO" sheetId="29" r:id="rId33"/>
    <sheet state="visible" name="FAT JUNHO25" sheetId="30" r:id="rId34"/>
    <sheet state="hidden" name="FAT JULHO25 ant" sheetId="31" r:id="rId35"/>
    <sheet state="hidden" name="FAT AGOSTO25 ant" sheetId="32" r:id="rId36"/>
    <sheet state="hidden" name="FAT SET25 ant" sheetId="33" r:id="rId37"/>
    <sheet state="hidden" name="FAT OUT25 ant" sheetId="34" r:id="rId38"/>
    <sheet state="hidden" name="FAT NOV25 ant" sheetId="35" r:id="rId39"/>
    <sheet state="hidden" name="FAT DEZ25 ant" sheetId="36" r:id="rId40"/>
    <sheet state="visible" name="FAT JUL25" sheetId="37" r:id="rId41"/>
    <sheet state="visible" name="FAT AGO25" sheetId="38" r:id="rId42"/>
    <sheet state="visible" name="FAT SET25" sheetId="39" r:id="rId43"/>
    <sheet state="visible" name="FAT OUT25" sheetId="40" r:id="rId44"/>
    <sheet state="visible" name="FAT NOV25" sheetId="41" r:id="rId45"/>
    <sheet state="visible" name="FAT DEZ25" sheetId="42" r:id="rId46"/>
    <sheet state="visible" name="FAT JAN26" sheetId="43" r:id="rId47"/>
    <sheet state="visible" name="GARÇON JAN26" sheetId="44" r:id="rId48"/>
    <sheet state="visible" name="FAT FEV26" sheetId="45" r:id="rId49"/>
    <sheet state="visible" name="GARCON FEV26" sheetId="46" r:id="rId50"/>
    <sheet state="visible" name="FAT MAR26" sheetId="47" r:id="rId51"/>
    <sheet state="visible" name="GARCON MAR26" sheetId="48" r:id="rId52"/>
    <sheet state="visible" name="FAT ABR26" sheetId="49" r:id="rId53"/>
    <sheet state="visible" name="GARCON ABRIL26" sheetId="50" r:id="rId54"/>
    <sheet state="visible" name="FAT MAI26" sheetId="51" r:id="rId55"/>
    <sheet state="visible" name="MAIO26XMDO" sheetId="52" r:id="rId56"/>
    <sheet state="visible" name="GARCON MAIO26" sheetId="53" r:id="rId57"/>
    <sheet state="visible" name="FAT JUN26" sheetId="54" r:id="rId58"/>
    <sheet state="visible" name="Página10" sheetId="55" r:id="rId59"/>
    <sheet state="visible" name="GARCON JUNHO26" sheetId="56" r:id="rId60"/>
    <sheet state="visible" name="FAT JUL26" sheetId="57" r:id="rId61"/>
    <sheet state="visible" name="GARCON JULHO26" sheetId="58" r:id="rId62"/>
    <sheet state="visible" name="FAT AGO26" sheetId="59" r:id="rId63"/>
    <sheet state="visible" name="AGO26XMDO" sheetId="60" r:id="rId64"/>
    <sheet state="visible" name="GARCON AGO26" sheetId="61" r:id="rId65"/>
    <sheet state="visible" name="FAT SET26" sheetId="62" r:id="rId66"/>
    <sheet state="visible" name="GARCON SET26" sheetId="63" r:id="rId67"/>
    <sheet state="visible" name="FAT OUT26" sheetId="64" r:id="rId68"/>
    <sheet state="visible" name="FAT NOV26" sheetId="65" r:id="rId69"/>
    <sheet state="visible" name="FAT DEZ26" sheetId="66" r:id="rId70"/>
  </sheets>
  <definedNames/>
  <calcPr/>
</workbook>
</file>

<file path=xl/sharedStrings.xml><?xml version="1.0" encoding="utf-8"?>
<sst xmlns="http://schemas.openxmlformats.org/spreadsheetml/2006/main" count="6188" uniqueCount="369">
  <si>
    <t>MÉDIAS ABRIL</t>
  </si>
  <si>
    <t>MAJOR</t>
  </si>
  <si>
    <t>DEMONSTRATIVO DE FATURAMENTO REAL DO MÊS DE  ABRIL 2024</t>
  </si>
  <si>
    <t>DEMONSTRATIVO DE FATURAMENTO REAL DO MÊS DE MAIO 2024</t>
  </si>
  <si>
    <t>DELIVERY</t>
  </si>
  <si>
    <t>DELI</t>
  </si>
  <si>
    <t>SEG</t>
  </si>
  <si>
    <t>APONTAMENTOS</t>
  </si>
  <si>
    <t>1)Teremos um dia a mais, sendo um deles uma SEXTA</t>
  </si>
  <si>
    <t>FAT. DA SEMANA</t>
  </si>
  <si>
    <t>TER</t>
  </si>
  <si>
    <t>2) Loppiano está com diversas promoções até o dia 17/05</t>
  </si>
  <si>
    <t>QUAR</t>
  </si>
  <si>
    <t>FATURAMENTO MAJOR</t>
  </si>
  <si>
    <t>3) Maio sempre é melhor que Abril</t>
  </si>
  <si>
    <t>QUI</t>
  </si>
  <si>
    <t>4) Utilizamos as MÉDIAS REAIS de Abril desse ano</t>
  </si>
  <si>
    <t>SEX</t>
  </si>
  <si>
    <t>5) Investiremos no aumento do Play</t>
  </si>
  <si>
    <t>SÁB</t>
  </si>
  <si>
    <t>DOM</t>
  </si>
  <si>
    <t>fat real</t>
  </si>
  <si>
    <t>FATURAMENTO DELIVERY</t>
  </si>
  <si>
    <t>pré-feriado</t>
  </si>
  <si>
    <t>QUI.</t>
  </si>
  <si>
    <t>FERIADO</t>
  </si>
  <si>
    <t>SEX.</t>
  </si>
  <si>
    <t>SAB</t>
  </si>
  <si>
    <t>INDICADORES</t>
  </si>
  <si>
    <t>META</t>
  </si>
  <si>
    <t>TOTAL</t>
  </si>
  <si>
    <t xml:space="preserve">MÉDIAS </t>
  </si>
  <si>
    <t>Dia do mês</t>
  </si>
  <si>
    <t>Dias da semana</t>
  </si>
  <si>
    <t>P.%</t>
  </si>
  <si>
    <t>R%</t>
  </si>
  <si>
    <t>Meta</t>
  </si>
  <si>
    <t>Real</t>
  </si>
  <si>
    <t>Diferença</t>
  </si>
  <si>
    <t>seg.</t>
  </si>
  <si>
    <t>qua</t>
  </si>
  <si>
    <t>sáb</t>
  </si>
  <si>
    <t>ter.</t>
  </si>
  <si>
    <t xml:space="preserve"> </t>
  </si>
  <si>
    <t>dom</t>
  </si>
  <si>
    <t>seg</t>
  </si>
  <si>
    <t>ter</t>
  </si>
  <si>
    <t>qui</t>
  </si>
  <si>
    <t>sex</t>
  </si>
  <si>
    <t>maj qua 23</t>
  </si>
  <si>
    <t>MÁXIMOS</t>
  </si>
  <si>
    <t>seg 23 junho</t>
  </si>
  <si>
    <t>Major</t>
  </si>
  <si>
    <t>Deli</t>
  </si>
  <si>
    <t>deli qua 23</t>
  </si>
  <si>
    <t>antes</t>
  </si>
  <si>
    <t>14.529,66+1.078</t>
  </si>
  <si>
    <t>namorados</t>
  </si>
  <si>
    <t>Sem 1</t>
  </si>
  <si>
    <t>depois</t>
  </si>
  <si>
    <t>14.529,66-1.078</t>
  </si>
  <si>
    <t>diferença</t>
  </si>
  <si>
    <t xml:space="preserve">Sem 2 </t>
  </si>
  <si>
    <t>Sem 3</t>
  </si>
  <si>
    <t xml:space="preserve">Sem 4 </t>
  </si>
  <si>
    <t xml:space="preserve">Extra </t>
  </si>
  <si>
    <t>(sáb e dom)</t>
  </si>
  <si>
    <t>Extra</t>
  </si>
  <si>
    <t>M</t>
  </si>
  <si>
    <t>(seg e ter)</t>
  </si>
  <si>
    <t>UHUUUUUUUUUUUUUL 🎉</t>
  </si>
  <si>
    <t>D</t>
  </si>
  <si>
    <t>pp</t>
  </si>
  <si>
    <t>Atingiu</t>
  </si>
  <si>
    <t>ideal</t>
  </si>
  <si>
    <t>PLANO</t>
  </si>
  <si>
    <t>Falta</t>
  </si>
  <si>
    <t>PROJEÇÃO</t>
  </si>
  <si>
    <t>DEMONSTRATIVO DE PLANO REAL FATURADO EM ABRIL DE 2024</t>
  </si>
  <si>
    <t>302 K</t>
  </si>
  <si>
    <t>280 K</t>
  </si>
  <si>
    <t>TOTAL PROJEÇÕES</t>
  </si>
  <si>
    <t>(qua,qui,sex)</t>
  </si>
  <si>
    <t>CONSTRUÇÃO META JULHO DELI</t>
  </si>
  <si>
    <t>CONSTRUÇÃO META JULHO MAJOR</t>
  </si>
  <si>
    <t>Meta Deli maximos</t>
  </si>
  <si>
    <t>Meta Deli crescimento jun jul</t>
  </si>
  <si>
    <t>Meta Major maximos jun</t>
  </si>
  <si>
    <t>Meta Major crescimento jun jul</t>
  </si>
  <si>
    <t>MAJOR MÉDIAS</t>
  </si>
  <si>
    <t>cresceu</t>
  </si>
  <si>
    <t>projeção jul/24</t>
  </si>
  <si>
    <t>DIA DA PIZZA</t>
  </si>
  <si>
    <t>DELI MÉDIAS</t>
  </si>
  <si>
    <t>GAC</t>
  </si>
  <si>
    <t>Média das 2 projeções</t>
  </si>
  <si>
    <t>maj</t>
  </si>
  <si>
    <t>deli</t>
  </si>
  <si>
    <t xml:space="preserve">Meta </t>
  </si>
  <si>
    <t>Meta Major crescimento jul ago</t>
  </si>
  <si>
    <t>Meta Deli crescimento jul ago</t>
  </si>
  <si>
    <t>projeção ago/24</t>
  </si>
  <si>
    <t>(seg,ter e qua)</t>
  </si>
  <si>
    <t>UHUUUUUUUUUUUUUUUUL 🎊</t>
  </si>
  <si>
    <t>total esperado</t>
  </si>
  <si>
    <t>total projeções</t>
  </si>
  <si>
    <t>Geral</t>
  </si>
  <si>
    <t>Repasse Gacc 25%</t>
  </si>
  <si>
    <t>Faturamento Major</t>
  </si>
  <si>
    <t>Faturamento Delivery</t>
  </si>
  <si>
    <t>total repasse faturamento</t>
  </si>
  <si>
    <t>Arredondamos para:</t>
  </si>
  <si>
    <t>Total camisas compradas</t>
  </si>
  <si>
    <t>Total repasse Loppiano</t>
  </si>
  <si>
    <t>355 mil</t>
  </si>
  <si>
    <t>300 mil</t>
  </si>
  <si>
    <t>CONSTRUÇÃO META SETEMBRO MAJOR</t>
  </si>
  <si>
    <t>CONSTRUÇÃO META SETEMBRO DELI</t>
  </si>
  <si>
    <t>Meta Major crescimento ago set</t>
  </si>
  <si>
    <t>Meta Deli crescimento ago set</t>
  </si>
  <si>
    <t>projeção set/24</t>
  </si>
  <si>
    <t>(qui, sex e sab)</t>
  </si>
  <si>
    <t>340 mil</t>
  </si>
  <si>
    <t>(dom e seg)</t>
  </si>
  <si>
    <t>CONSTRUÇÃO META OUTUBRO MAJOR</t>
  </si>
  <si>
    <t>CONSTRUÇÃO META OUTUBRO DELI</t>
  </si>
  <si>
    <t>Meta Major crescimento set out</t>
  </si>
  <si>
    <t>Meta Deli crescimento set out</t>
  </si>
  <si>
    <t>projeção out/24</t>
  </si>
  <si>
    <t>Meta Major crescimento out nov</t>
  </si>
  <si>
    <t>Meta Deli crescimento out nov</t>
  </si>
  <si>
    <t>projeção nov/24</t>
  </si>
  <si>
    <t>Deli Set 23</t>
  </si>
  <si>
    <t>Deli Out 23</t>
  </si>
  <si>
    <t>Major Set 23</t>
  </si>
  <si>
    <t>Major Out 23</t>
  </si>
  <si>
    <t>4 sex,4sab e 5 dom</t>
  </si>
  <si>
    <t>4sex,4sab,4 dom</t>
  </si>
  <si>
    <t>(ter,qua,qui)</t>
  </si>
  <si>
    <t>370 mil</t>
  </si>
  <si>
    <t>260 mil</t>
  </si>
  <si>
    <t>Deli Nov 23</t>
  </si>
  <si>
    <t>Major Nov 23</t>
  </si>
  <si>
    <t>323 mil</t>
  </si>
  <si>
    <t>283 mil</t>
  </si>
  <si>
    <t>606 mil</t>
  </si>
  <si>
    <t>teremos uma sexta e um sábado a mais</t>
  </si>
  <si>
    <t>CONSTRUÇÃO META DEZEMBRO MAJOR</t>
  </si>
  <si>
    <t>CONSTRUÇÃO META DEZEMBRO DELI</t>
  </si>
  <si>
    <t>Meta Major crescimento nov dez</t>
  </si>
  <si>
    <t>Meta Deli crescimento nov dez</t>
  </si>
  <si>
    <t>projeção dez/24</t>
  </si>
  <si>
    <t>Meta Major crescimento dez jan</t>
  </si>
  <si>
    <t>Meta Deli crescimento dez jan</t>
  </si>
  <si>
    <t>projeção jan/25</t>
  </si>
  <si>
    <t>(sexta e sáb)</t>
  </si>
  <si>
    <t>Deli Dez 23</t>
  </si>
  <si>
    <t>Major Dez 23</t>
  </si>
  <si>
    <t>577 mil</t>
  </si>
  <si>
    <t>338 mil</t>
  </si>
  <si>
    <t>915 mil</t>
  </si>
  <si>
    <t>nº de comandas</t>
  </si>
  <si>
    <t>ticket medio</t>
  </si>
  <si>
    <t>Qtde pizza PQ</t>
  </si>
  <si>
    <t>Qtde pizza G</t>
  </si>
  <si>
    <t>Qtde pizza F</t>
  </si>
  <si>
    <t>Soma Qtde Pizza</t>
  </si>
  <si>
    <t>365 mil</t>
  </si>
  <si>
    <t>295 mil</t>
  </si>
  <si>
    <t>660 mil</t>
  </si>
  <si>
    <t>sext</t>
  </si>
  <si>
    <t>sab</t>
  </si>
  <si>
    <t>CONSTRUÇÃO META MARÇO MAJOR</t>
  </si>
  <si>
    <t>CONSTRUÇÃO META MARÇO DELI</t>
  </si>
  <si>
    <t>Meta Major crescimento fev março</t>
  </si>
  <si>
    <t>Meta Deli crescimento fev março</t>
  </si>
  <si>
    <t>287 mil</t>
  </si>
  <si>
    <t>273 mil</t>
  </si>
  <si>
    <t>560 MIL</t>
  </si>
  <si>
    <t>projeção mar/25</t>
  </si>
  <si>
    <t>(qua,quin e sexta)</t>
  </si>
  <si>
    <t>Análise dia da mulher jan-fev-mar 25</t>
  </si>
  <si>
    <t>Análise dia da mulher 24-25</t>
  </si>
  <si>
    <t>Média sábados janeiro</t>
  </si>
  <si>
    <t>Média sextas de março 24</t>
  </si>
  <si>
    <t>crescimento de</t>
  </si>
  <si>
    <t>Maior sábado de  janeiro</t>
  </si>
  <si>
    <t>Sexta dia da mulher  2024</t>
  </si>
  <si>
    <t>Média sábados de fevereiro</t>
  </si>
  <si>
    <t>Média sábados de março 25 conforme projeção</t>
  </si>
  <si>
    <t>Maior sábado de fevereiro</t>
  </si>
  <si>
    <t>Sábado dia da mulher 2025</t>
  </si>
  <si>
    <t>Sábado dia da mulher</t>
  </si>
  <si>
    <t>Crescimento entre 2024 e 2025</t>
  </si>
  <si>
    <t>305 mil</t>
  </si>
  <si>
    <t>CONSTRUÇÃO META ABRIL MAJOR</t>
  </si>
  <si>
    <t>CONSTRUÇÃO META ABRIL DELI</t>
  </si>
  <si>
    <t>605 MIL</t>
  </si>
  <si>
    <t>Meta Major crescimento março abr</t>
  </si>
  <si>
    <t>Meta Deli crescimento março abr</t>
  </si>
  <si>
    <t>Crescimento do maior sáb do ano pro sáb da mulher</t>
  </si>
  <si>
    <t>Delivery</t>
  </si>
  <si>
    <t>projeção abril/25</t>
  </si>
  <si>
    <t>315 mil</t>
  </si>
  <si>
    <t>(ter, qua)</t>
  </si>
  <si>
    <t>sexta</t>
  </si>
  <si>
    <t>(dom,seg)</t>
  </si>
  <si>
    <t>major medias 2024</t>
  </si>
  <si>
    <t>deli medias 2024</t>
  </si>
  <si>
    <t>MEDIAS</t>
  </si>
  <si>
    <t>nº de pessoas</t>
  </si>
  <si>
    <t>major medias 2025</t>
  </si>
  <si>
    <t>deli medias 2025</t>
  </si>
  <si>
    <t>média sextas</t>
  </si>
  <si>
    <t>flashback</t>
  </si>
  <si>
    <t>Crescimento</t>
  </si>
  <si>
    <t>PRINT</t>
  </si>
  <si>
    <t>major projeção</t>
  </si>
  <si>
    <t>deli projeção</t>
  </si>
  <si>
    <t>META TOTAL</t>
  </si>
  <si>
    <t>LÍDERES</t>
  </si>
  <si>
    <t>TOTAL FATURADO</t>
  </si>
  <si>
    <t>GARÇONS</t>
  </si>
  <si>
    <t>MÍNIMO</t>
  </si>
  <si>
    <t>Feito até 12/01</t>
  </si>
  <si>
    <t>FALTA</t>
  </si>
  <si>
    <t>Carlos</t>
  </si>
  <si>
    <t>Edirlene</t>
  </si>
  <si>
    <t>Elisa</t>
  </si>
  <si>
    <t>Marcilene</t>
  </si>
  <si>
    <t>Patrícia</t>
  </si>
  <si>
    <t>Regina</t>
  </si>
  <si>
    <t>GG</t>
  </si>
  <si>
    <t>ANE</t>
  </si>
  <si>
    <t>META GERAL</t>
  </si>
  <si>
    <t>LARISSA</t>
  </si>
  <si>
    <t>Mínimo Individual</t>
  </si>
  <si>
    <t>Meta Alcançada</t>
  </si>
  <si>
    <t>A Receber</t>
  </si>
  <si>
    <t xml:space="preserve">Atendente </t>
  </si>
  <si>
    <t>Garçon</t>
  </si>
  <si>
    <t>Gerencia</t>
  </si>
  <si>
    <t>RANKING</t>
  </si>
  <si>
    <t>FEITO ATÉ 31/01/2026</t>
  </si>
  <si>
    <t>5º</t>
  </si>
  <si>
    <t>2º</t>
  </si>
  <si>
    <t>1º</t>
  </si>
  <si>
    <t>3º</t>
  </si>
  <si>
    <t>6º</t>
  </si>
  <si>
    <t>4º</t>
  </si>
  <si>
    <t>Diana 0,00</t>
  </si>
  <si>
    <t>Gertrudes</t>
  </si>
  <si>
    <t>Cleisiane</t>
  </si>
  <si>
    <t>Larissa férias 173</t>
  </si>
  <si>
    <t>Qtde pizza FAM</t>
  </si>
  <si>
    <t>Ticket medio</t>
  </si>
  <si>
    <t>FEITO ATÉ 26/02/2026</t>
  </si>
  <si>
    <t>DESCONTO</t>
  </si>
  <si>
    <t>VENDA NÃO GARCON</t>
  </si>
  <si>
    <t>SOMA</t>
  </si>
  <si>
    <t>ABATER EM CADA GARCON</t>
  </si>
  <si>
    <t>PROVA</t>
  </si>
  <si>
    <t>NO RELATORIO VENDAS POR FUNCIONARIO DE TODOS</t>
  </si>
  <si>
    <t>(qui, sexta e sab)</t>
  </si>
  <si>
    <t>FEITO ATÉ 31/03/2026</t>
  </si>
  <si>
    <t>férias</t>
  </si>
  <si>
    <t>META ALCANÇADA</t>
  </si>
  <si>
    <t>A RECEBER</t>
  </si>
  <si>
    <t>ATENDENTES</t>
  </si>
  <si>
    <t>GERENCIA</t>
  </si>
  <si>
    <t>MARIANA</t>
  </si>
  <si>
    <t>HAYANA</t>
  </si>
  <si>
    <t>LABORDA FÉRIAS 143</t>
  </si>
  <si>
    <t>GERTRUDES</t>
  </si>
  <si>
    <t>THALIA</t>
  </si>
  <si>
    <t>GARÇONS MINIMO</t>
  </si>
  <si>
    <t>DIANA</t>
  </si>
  <si>
    <t>LARISSA FÉRIAS</t>
  </si>
  <si>
    <t>FEITO ATÉ 30/04/2026</t>
  </si>
  <si>
    <t>Marcilene até 12.04.26</t>
  </si>
  <si>
    <t>Carlos,Cleiziane, Thalia</t>
  </si>
  <si>
    <t>3756 nºpessoas</t>
  </si>
  <si>
    <t xml:space="preserve"> nºpessoas=3.832</t>
  </si>
  <si>
    <t>META MAJOR maio 2026</t>
  </si>
  <si>
    <t>GARÇONS/ESTAGIARIO/CAIXA</t>
  </si>
  <si>
    <t xml:space="preserve">Carlos </t>
  </si>
  <si>
    <t xml:space="preserve"> nºpessoas=4.321</t>
  </si>
  <si>
    <t>META MAJOR ABRIL 2026</t>
  </si>
  <si>
    <t>META DELIVERY ABRIL 2026</t>
  </si>
  <si>
    <t>META PRODUCAO ABRIL 2026</t>
  </si>
  <si>
    <t>BATEU A META</t>
  </si>
  <si>
    <t>PGTO META TOTAL</t>
  </si>
  <si>
    <t>Hayanna</t>
  </si>
  <si>
    <t>Renata Cunha</t>
  </si>
  <si>
    <t>Petterson</t>
  </si>
  <si>
    <t>ATENDENTE/CAIXA/LABORDA</t>
  </si>
  <si>
    <t>PIZZAIOLOS/AUXILIAR DE PRODUCAO</t>
  </si>
  <si>
    <t>Carlos/FÉRIAS</t>
  </si>
  <si>
    <t>Rodrigo/FERIAS</t>
  </si>
  <si>
    <t>Evandro</t>
  </si>
  <si>
    <t>Hayanna/FERIAS</t>
  </si>
  <si>
    <t>Mariana</t>
  </si>
  <si>
    <t>Wesley</t>
  </si>
  <si>
    <t>Daniel</t>
  </si>
  <si>
    <t>LIDERES/ADMINISTRATIVO</t>
  </si>
  <si>
    <t>Wescley</t>
  </si>
  <si>
    <t>Mateus(2 DIAS)</t>
  </si>
  <si>
    <t>Paulo Rabelo</t>
  </si>
  <si>
    <t>Laborda</t>
  </si>
  <si>
    <t>Paulo Roberto</t>
  </si>
  <si>
    <t>Gertrudes(17 DIAS)</t>
  </si>
  <si>
    <t>Joao Vitor</t>
  </si>
  <si>
    <t>Deivison</t>
  </si>
  <si>
    <t>Zilmarlen</t>
  </si>
  <si>
    <t>Thalia</t>
  </si>
  <si>
    <t>ESTAGIARIOS</t>
  </si>
  <si>
    <t>Gertrudes(28 DIAS)</t>
  </si>
  <si>
    <t>Airton</t>
  </si>
  <si>
    <t>Larissa</t>
  </si>
  <si>
    <t>Ariel</t>
  </si>
  <si>
    <t>Renata Ludmila</t>
  </si>
  <si>
    <t>Anderson</t>
  </si>
  <si>
    <t>META DELIVERY maio 2026</t>
  </si>
  <si>
    <t>META PRODUCAO MAIO 2026</t>
  </si>
  <si>
    <t xml:space="preserve"> nºpessoas=6.427</t>
  </si>
  <si>
    <t>Faturamento. Major</t>
  </si>
  <si>
    <t>M.D.O.Programada Major</t>
  </si>
  <si>
    <t>M.D.O.não Programada Major</t>
  </si>
  <si>
    <t>Percentual</t>
  </si>
  <si>
    <t>Rodrigo</t>
  </si>
  <si>
    <t>Mateus</t>
  </si>
  <si>
    <t>FEITO ATÉ 31/05/2026</t>
  </si>
  <si>
    <t>Cleiziane,Marcilene,Pulseira,Hayanna</t>
  </si>
  <si>
    <t>RELATORIO VENDAS POR FUNCIONARIO TODOS</t>
  </si>
  <si>
    <t>FEITO ATÉ 30/06/2026</t>
  </si>
  <si>
    <t>Patrícia (FERIAS)</t>
  </si>
  <si>
    <t>Marcilene,Pat,Pulseira,Hay,Thalia</t>
  </si>
  <si>
    <t>META DELI JUNHO 26</t>
  </si>
  <si>
    <t>META PRODUCAO JUNHO 26</t>
  </si>
  <si>
    <t xml:space="preserve"> META TOTAL</t>
  </si>
  <si>
    <t>oitavas final</t>
  </si>
  <si>
    <t>FEITO ATÉ 31/07/2026</t>
  </si>
  <si>
    <t>Elisa(ferias)</t>
  </si>
  <si>
    <t>Matheus Trindade Silva</t>
  </si>
  <si>
    <t>admitido 13/07/2026</t>
  </si>
  <si>
    <t xml:space="preserve">Patrícia </t>
  </si>
  <si>
    <t>ferias criativas</t>
  </si>
  <si>
    <t>Eliza,Marcilene,Pulseiras,Hayanna,Thalia</t>
  </si>
  <si>
    <t>DIA PIZZA</t>
  </si>
  <si>
    <t>META MAJOR JULHO 2026</t>
  </si>
  <si>
    <t>Eduardo(22 dias)</t>
  </si>
  <si>
    <t>Gertrudes(23 DIAS)</t>
  </si>
  <si>
    <t>Ana Beatriz(admitida 13/07/26)</t>
  </si>
  <si>
    <t>Renata Ludmila(15 d)</t>
  </si>
  <si>
    <t xml:space="preserve"> nºpessoas</t>
  </si>
  <si>
    <t>Hayanna(faltou 1 dia)</t>
  </si>
  <si>
    <t>Eduardo</t>
  </si>
  <si>
    <t>GACC</t>
  </si>
  <si>
    <t>Renata Ludmila (ferias 15d)</t>
  </si>
  <si>
    <t>pagar 75</t>
  </si>
  <si>
    <t>LASANHA</t>
  </si>
  <si>
    <t>FEITO ATÉ 31/08/2026</t>
  </si>
  <si>
    <t>Carlos(trabalhou até 18/08)</t>
  </si>
  <si>
    <t>Matheus Trindade (trabalhou até 20/08)</t>
  </si>
  <si>
    <t>HAYANNA,MARCILENE,PULSEIRAS</t>
  </si>
  <si>
    <t>pessoas:5.304</t>
  </si>
  <si>
    <t>META DELI AGOSTO 26</t>
  </si>
  <si>
    <t>FERIAS</t>
  </si>
  <si>
    <t>Jonathas iniciou 17/08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</si>
</sst>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_-* #,##0.00_-;\-* #,##0.00_-;_-* &quot;-&quot;??_-;_-@"/>
    <numFmt numFmtId="167" formatCode="#,##0_ ;\-#,##0\ "/>
    <numFmt numFmtId="168" formatCode="#,##0.00_ ;\-#,##0.00\ "/>
    <numFmt numFmtId="169" formatCode="_-&quot;R$&quot;\ * #,##0_-;\-&quot;R$&quot;\ * #,##0_-;_-&quot;R$&quot;\ * &quot;-&quot;??_-;_-@"/>
    <numFmt numFmtId="170" formatCode="[$R$ -416]#,##0.00"/>
    <numFmt numFmtId="171" formatCode="d/m/yy"/>
    <numFmt numFmtId="172" formatCode="[$R$ -416]#,##0"/>
    <numFmt numFmtId="173" formatCode="#,##0;(#,##0)"/>
    <numFmt numFmtId="174" formatCode="#,##0.00;(#,##0.00)"/>
  </numFmts>
  <fonts count="41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sz val="12.0"/>
      <color rgb="FF000000"/>
      <name val="Aptos Narrow"/>
    </font>
    <font/>
    <font>
      <b/>
      <sz val="20.0"/>
      <color theme="1"/>
      <name val="Arial Rounded"/>
    </font>
    <font>
      <sz val="12.0"/>
      <color rgb="FF000000"/>
      <name val="Arial"/>
    </font>
    <font>
      <sz val="8.0"/>
      <color rgb="FFFF0000"/>
      <name val="Arial"/>
    </font>
    <font>
      <sz val="16.0"/>
      <color theme="1"/>
      <name val="Arial Black"/>
    </font>
    <font>
      <sz val="18.0"/>
      <color theme="1"/>
      <name val="Arial Black"/>
    </font>
    <font>
      <sz val="16.0"/>
      <color rgb="FF000000"/>
      <name val="Aptos Narrow"/>
    </font>
    <font>
      <sz val="20.0"/>
      <color rgb="FF000000"/>
      <name val="Aptos Narrow"/>
    </font>
    <font>
      <b/>
      <sz val="14.0"/>
      <color theme="1"/>
      <name val="Aptos Narrow"/>
    </font>
    <font>
      <b/>
      <sz val="20.0"/>
      <color rgb="FF000000"/>
      <name val="Aptos Narrow"/>
    </font>
    <font>
      <sz val="20.0"/>
      <color theme="1"/>
      <name val="Aptos Narrow"/>
    </font>
    <font>
      <b/>
      <sz val="20.0"/>
      <color theme="0"/>
      <name val="Aptos Narrow"/>
    </font>
    <font>
      <b/>
      <sz val="12.0"/>
      <color theme="1"/>
      <name val="Arial"/>
    </font>
    <font>
      <color theme="1"/>
      <name val="Aptos Narrow"/>
      <scheme val="minor"/>
    </font>
    <font>
      <sz val="14.0"/>
      <color theme="1"/>
      <name val="Aptos Narrow"/>
    </font>
    <font>
      <sz val="12.0"/>
      <color theme="0"/>
      <name val="Aptos Narrow"/>
    </font>
    <font>
      <sz val="18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sz val="16.0"/>
      <color theme="1"/>
      <name val="Aptos Narrow"/>
    </font>
    <font>
      <b/>
      <sz val="18.0"/>
      <color theme="1"/>
      <name val="Aptos Narrow"/>
    </font>
    <font>
      <b/>
      <sz val="20.0"/>
      <color theme="1"/>
      <name val="Arial"/>
    </font>
    <font>
      <b/>
      <sz val="20.0"/>
      <color theme="1"/>
      <name val="Aptos Narrow"/>
    </font>
    <font>
      <b/>
      <sz val="16.0"/>
      <color theme="0"/>
      <name val="Aptos Narrow"/>
    </font>
    <font>
      <sz val="12.0"/>
      <color rgb="FFBF4F14"/>
      <name val="Arial"/>
    </font>
    <font>
      <sz val="14.0"/>
      <color theme="1"/>
      <name val="Arial"/>
    </font>
    <font>
      <b/>
      <sz val="12.0"/>
      <color theme="1"/>
      <name val="Aptos Narrow"/>
    </font>
    <font>
      <b/>
      <sz val="14.0"/>
      <color rgb="FFF2F2F2"/>
      <name val="Aptos Narrow"/>
    </font>
    <font>
      <b/>
      <sz val="16.0"/>
      <color theme="1"/>
      <name val="Aptos Narrow"/>
    </font>
    <font>
      <sz val="14.0"/>
      <color theme="0"/>
      <name val="Aptos Narrow"/>
    </font>
    <font>
      <sz val="20.0"/>
      <color theme="0"/>
      <name val="Aptos Narrow"/>
    </font>
    <font>
      <sz val="12.0"/>
      <color theme="1"/>
      <name val="Arial Black"/>
    </font>
    <font>
      <sz val="20.0"/>
      <color rgb="FFFFFFFF"/>
      <name val="Arial"/>
    </font>
    <font>
      <sz val="20.0"/>
      <color theme="1"/>
      <name val="Arial"/>
    </font>
    <font>
      <sz val="20.0"/>
      <color rgb="FF000000"/>
      <name val="Arial"/>
    </font>
    <font>
      <color theme="1"/>
      <name val="Arial"/>
    </font>
    <font>
      <sz val="17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E8E8E8"/>
        <bgColor rgb="FFE8E8E8"/>
      </patternFill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1CEEE"/>
        <bgColor rgb="FFF1CEEE"/>
      </patternFill>
    </fill>
    <fill>
      <patternFill patternType="solid">
        <fgColor rgb="FFFFFF66"/>
        <bgColor rgb="FFFFFF66"/>
      </patternFill>
    </fill>
    <fill>
      <patternFill patternType="solid">
        <fgColor rgb="FFCAEDFB"/>
        <bgColor rgb="FFCAEDFB"/>
      </patternFill>
    </fill>
    <fill>
      <patternFill patternType="solid">
        <fgColor rgb="FFD0D0D0"/>
        <bgColor rgb="FFD0D0D0"/>
      </patternFill>
    </fill>
    <fill>
      <patternFill patternType="solid">
        <fgColor rgb="FFD9F2D0"/>
        <bgColor rgb="FFD9F2D0"/>
      </patternFill>
    </fill>
    <fill>
      <patternFill patternType="solid">
        <fgColor rgb="FF215E99"/>
        <bgColor rgb="FF215E99"/>
      </patternFill>
    </fill>
    <fill>
      <patternFill patternType="solid">
        <fgColor rgb="FFB3E5A1"/>
        <bgColor rgb="FFB3E5A1"/>
      </patternFill>
    </fill>
    <fill>
      <patternFill patternType="solid">
        <fgColor rgb="FF45B0E1"/>
        <bgColor rgb="FF45B0E1"/>
      </patternFill>
    </fill>
    <fill>
      <patternFill patternType="solid">
        <fgColor rgb="FFFAE2D5"/>
        <bgColor rgb="FFFAE2D5"/>
      </patternFill>
    </fill>
    <fill>
      <patternFill patternType="solid">
        <fgColor rgb="FFF2CBC5"/>
        <bgColor rgb="FFF2CBC5"/>
      </patternFill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rgb="FFFFFD78"/>
        <bgColor rgb="FFFFFD78"/>
      </patternFill>
    </fill>
    <fill>
      <patternFill patternType="solid">
        <fgColor rgb="FF83CAEB"/>
        <bgColor rgb="FF83CAEB"/>
      </patternFill>
    </fill>
    <fill>
      <patternFill patternType="solid">
        <fgColor rgb="FF78206E"/>
        <bgColor rgb="FF78206E"/>
      </patternFill>
    </fill>
    <fill>
      <patternFill patternType="solid">
        <fgColor rgb="FFFFFFFF"/>
        <bgColor rgb="FFFFFFFF"/>
      </patternFill>
    </fill>
    <fill>
      <patternFill patternType="solid">
        <fgColor rgb="FF074F6A"/>
        <bgColor rgb="FF074F6A"/>
      </patternFill>
    </fill>
    <fill>
      <patternFill patternType="solid">
        <fgColor rgb="FFD8D8D8"/>
        <bgColor rgb="FFD8D8D8"/>
      </patternFill>
    </fill>
    <fill>
      <patternFill patternType="solid">
        <fgColor rgb="FFF4F3D3"/>
        <bgColor rgb="FFF4F3D3"/>
      </patternFill>
    </fill>
    <fill>
      <patternFill patternType="solid">
        <fgColor rgb="FF153D64"/>
        <bgColor rgb="FF153D64"/>
      </patternFill>
    </fill>
    <fill>
      <patternFill patternType="solid">
        <fgColor rgb="FFFFC7CE"/>
        <bgColor rgb="FFFFC7CE"/>
      </patternFill>
    </fill>
  </fills>
  <borders count="5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4" fillId="0" fontId="4" numFmtId="0" xfId="0" applyBorder="1" applyFont="1"/>
    <xf borderId="5" fillId="0" fontId="3" numFmtId="0" xfId="0" applyBorder="1" applyFont="1"/>
    <xf borderId="6" fillId="0" fontId="6" numFmtId="164" xfId="0" applyBorder="1" applyFont="1" applyNumberFormat="1"/>
    <xf borderId="7" fillId="0" fontId="4" numFmtId="0" xfId="0" applyBorder="1" applyFont="1"/>
    <xf borderId="0" fillId="0" fontId="1" numFmtId="164" xfId="0" applyFont="1" applyNumberFormat="1"/>
    <xf borderId="0" fillId="0" fontId="2" numFmtId="0" xfId="0" applyFont="1"/>
    <xf borderId="0" fillId="0" fontId="7" numFmtId="0" xfId="0" applyAlignment="1" applyFont="1">
      <alignment horizontal="center" vertical="center"/>
    </xf>
    <xf borderId="0" fillId="0" fontId="1" numFmtId="165" xfId="0" applyFont="1" applyNumberFormat="1"/>
    <xf borderId="8" fillId="2" fontId="8" numFmtId="0" xfId="0" applyAlignment="1" applyBorder="1" applyFill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3" fontId="3" numFmtId="0" xfId="0" applyBorder="1" applyFill="1" applyFont="1"/>
    <xf borderId="12" fillId="3" fontId="3" numFmtId="0" xfId="0" applyBorder="1" applyFill="1" applyFont="1"/>
    <xf borderId="13" fillId="3" fontId="6" numFmtId="164" xfId="0" applyBorder="1" applyFill="1" applyFont="1" applyNumberFormat="1"/>
    <xf borderId="11" fillId="4" fontId="3" numFmtId="0" xfId="0" applyBorder="1" applyFill="1" applyFont="1"/>
    <xf borderId="12" fillId="4" fontId="3" numFmtId="0" xfId="0" applyBorder="1" applyFill="1" applyFont="1"/>
    <xf borderId="14" fillId="0" fontId="9" numFmtId="3" xfId="0" applyAlignment="1" applyBorder="1" applyFont="1" applyNumberFormat="1">
      <alignment horizontal="center" vertical="center"/>
    </xf>
    <xf borderId="13" fillId="4" fontId="6" numFmtId="164" xfId="0" applyBorder="1" applyFill="1" applyFont="1" applyNumberFormat="1"/>
    <xf borderId="8" fillId="5" fontId="8" numFmtId="0" xfId="0" applyAlignment="1" applyBorder="1" applyFill="1" applyFont="1">
      <alignment horizontal="center" vertical="center"/>
    </xf>
    <xf borderId="11" fillId="4" fontId="2" numFmtId="0" xfId="0" applyBorder="1" applyFill="1" applyFont="1"/>
    <xf borderId="11" fillId="4" fontId="3" numFmtId="10" xfId="0" applyBorder="1" applyFill="1" applyFont="1" applyNumberFormat="1"/>
    <xf borderId="11" fillId="4" fontId="3" numFmtId="9" xfId="0" applyBorder="1" applyFill="1" applyFont="1" applyNumberForma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6" fillId="0" fontId="4" numFmtId="0" xfId="0" applyBorder="1" applyFont="1"/>
    <xf borderId="5" fillId="0" fontId="4" numFmtId="0" xfId="0" applyBorder="1" applyFont="1"/>
    <xf borderId="0" fillId="0" fontId="10" numFmtId="164" xfId="0" applyFont="1" applyNumberFormat="1"/>
    <xf borderId="0" fillId="0" fontId="11" numFmtId="0" xfId="0" applyAlignment="1" applyFont="1">
      <alignment horizontal="center" vertical="center"/>
    </xf>
    <xf borderId="1" fillId="0" fontId="12" numFmtId="0" xfId="0" applyAlignment="1" applyBorder="1" applyFont="1">
      <alignment horizontal="center"/>
    </xf>
    <xf borderId="20" fillId="0" fontId="4" numFmtId="0" xfId="0" applyBorder="1" applyFont="1"/>
    <xf borderId="11" fillId="5" fontId="13" numFmtId="166" xfId="0" applyAlignment="1" applyBorder="1" applyFill="1" applyFont="1" applyNumberFormat="1">
      <alignment horizontal="center" vertical="center"/>
    </xf>
    <xf borderId="1" fillId="0" fontId="14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1" fillId="6" fontId="15" numFmtId="166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/>
    </xf>
    <xf borderId="21" fillId="7" fontId="1" numFmtId="0" xfId="0" applyAlignment="1" applyBorder="1" applyFill="1" applyFont="1">
      <alignment horizontal="center"/>
    </xf>
    <xf borderId="21" fillId="7" fontId="1" numFmtId="9" xfId="0" applyAlignment="1" applyBorder="1" applyFill="1" applyFont="1" applyNumberFormat="1">
      <alignment horizontal="center"/>
    </xf>
    <xf borderId="21" fillId="7" fontId="1" numFmtId="167" xfId="0" applyBorder="1" applyFill="1" applyFont="1" applyNumberFormat="1"/>
    <xf borderId="21" fillId="0" fontId="1" numFmtId="165" xfId="0" applyBorder="1" applyFont="1" applyNumberFormat="1"/>
    <xf borderId="21" fillId="8" fontId="16" numFmtId="167" xfId="0" applyBorder="1" applyFill="1" applyFont="1" applyNumberFormat="1"/>
    <xf borderId="21" fillId="0" fontId="1" numFmtId="9" xfId="0" applyAlignment="1" applyBorder="1" applyFont="1" applyNumberFormat="1">
      <alignment horizontal="center"/>
    </xf>
    <xf borderId="21" fillId="4" fontId="1" numFmtId="168" xfId="0" applyBorder="1" applyFill="1" applyFont="1" applyNumberFormat="1"/>
    <xf borderId="21" fillId="0" fontId="1" numFmtId="168" xfId="0" applyBorder="1" applyFont="1" applyNumberFormat="1"/>
    <xf borderId="21" fillId="0" fontId="1" numFmtId="164" xfId="0" applyBorder="1" applyFont="1" applyNumberFormat="1"/>
    <xf borderId="21" fillId="9" fontId="16" numFmtId="167" xfId="0" applyBorder="1" applyFill="1" applyFont="1" applyNumberFormat="1"/>
    <xf borderId="21" fillId="0" fontId="2" numFmtId="0" xfId="0" applyBorder="1" applyFont="1"/>
    <xf borderId="0" fillId="0" fontId="17" numFmtId="0" xfId="0" applyFont="1"/>
    <xf borderId="21" fillId="7" fontId="1" numFmtId="164" xfId="0" applyBorder="1" applyFill="1" applyFont="1" applyNumberFormat="1"/>
    <xf borderId="21" fillId="4" fontId="1" numFmtId="164" xfId="0" applyBorder="1" applyFill="1" applyFont="1" applyNumberFormat="1"/>
    <xf borderId="0" fillId="0" fontId="2" numFmtId="164" xfId="0" applyFont="1" applyNumberFormat="1"/>
    <xf borderId="21" fillId="7" fontId="1" numFmtId="168" xfId="0" applyBorder="1" applyFill="1" applyFont="1" applyNumberFormat="1"/>
    <xf borderId="21" fillId="3" fontId="1" numFmtId="164" xfId="0" applyBorder="1" applyFill="1" applyFont="1" applyNumberFormat="1"/>
    <xf borderId="0" fillId="0" fontId="2" numFmtId="10" xfId="0" applyFont="1" applyNumberFormat="1"/>
    <xf borderId="21" fillId="10" fontId="1" numFmtId="167" xfId="0" applyBorder="1" applyFill="1" applyFont="1" applyNumberFormat="1"/>
    <xf borderId="0" fillId="0" fontId="2" numFmtId="9" xfId="0" applyFont="1" applyNumberFormat="1"/>
    <xf borderId="0" fillId="0" fontId="1" numFmtId="165" xfId="0" applyAlignment="1" applyFont="1" applyNumberFormat="1">
      <alignment horizontal="center"/>
    </xf>
    <xf borderId="21" fillId="5" fontId="1" numFmtId="165" xfId="0" applyBorder="1" applyFill="1" applyFont="1" applyNumberFormat="1"/>
    <xf borderId="21" fillId="5" fontId="1" numFmtId="164" xfId="0" applyBorder="1" applyFill="1" applyFont="1" applyNumberFormat="1"/>
    <xf borderId="8" fillId="0" fontId="2" numFmtId="0" xfId="0" applyBorder="1" applyFont="1"/>
    <xf borderId="9" fillId="0" fontId="18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0" fillId="0" fontId="18" numFmtId="0" xfId="0" applyAlignment="1" applyBorder="1" applyFont="1">
      <alignment horizontal="center"/>
    </xf>
    <xf borderId="15" fillId="0" fontId="2" numFmtId="0" xfId="0" applyBorder="1" applyFont="1"/>
    <xf borderId="0" fillId="0" fontId="2" numFmtId="164" xfId="0" applyAlignment="1" applyFont="1" applyNumberFormat="1">
      <alignment horizontal="center"/>
    </xf>
    <xf borderId="16" fillId="0" fontId="2" numFmtId="164" xfId="0" applyAlignment="1" applyBorder="1" applyFont="1" applyNumberFormat="1">
      <alignment horizontal="center"/>
    </xf>
    <xf borderId="16" fillId="0" fontId="2" numFmtId="0" xfId="0" applyAlignment="1" applyBorder="1" applyFont="1">
      <alignment horizontal="center"/>
    </xf>
    <xf borderId="0" fillId="0" fontId="2" numFmtId="165" xfId="0" applyFont="1" applyNumberFormat="1"/>
    <xf borderId="0" fillId="0" fontId="2" numFmtId="10" xfId="0" applyAlignment="1" applyFont="1" applyNumberFormat="1">
      <alignment horizontal="center"/>
    </xf>
    <xf borderId="16" fillId="0" fontId="2" numFmtId="10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6" fillId="0" fontId="2" numFmtId="0" xfId="0" applyBorder="1" applyFont="1"/>
    <xf borderId="16" fillId="0" fontId="2" numFmtId="164" xfId="0" applyBorder="1" applyFont="1" applyNumberFormat="1"/>
    <xf borderId="18" fillId="0" fontId="2" numFmtId="0" xfId="0" applyBorder="1" applyFont="1"/>
    <xf borderId="19" fillId="0" fontId="2" numFmtId="10" xfId="0" applyAlignment="1" applyBorder="1" applyFont="1" applyNumberFormat="1">
      <alignment horizontal="center"/>
    </xf>
    <xf borderId="19" fillId="0" fontId="2" numFmtId="0" xfId="0" applyBorder="1" applyFont="1"/>
    <xf borderId="6" fillId="0" fontId="2" numFmtId="10" xfId="0" applyAlignment="1" applyBorder="1" applyFont="1" applyNumberFormat="1">
      <alignment horizontal="center"/>
    </xf>
    <xf borderId="21" fillId="11" fontId="1" numFmtId="165" xfId="0" applyBorder="1" applyFill="1" applyFont="1" applyNumberFormat="1"/>
    <xf borderId="21" fillId="11" fontId="1" numFmtId="164" xfId="0" applyBorder="1" applyFill="1" applyFont="1" applyNumberFormat="1"/>
    <xf borderId="1" fillId="10" fontId="2" numFmtId="0" xfId="0" applyAlignment="1" applyBorder="1" applyFill="1" applyFont="1">
      <alignment horizontal="center"/>
    </xf>
    <xf borderId="21" fillId="0" fontId="1" numFmtId="167" xfId="0" applyBorder="1" applyFont="1" applyNumberFormat="1"/>
    <xf borderId="11" fillId="12" fontId="2" numFmtId="0" xfId="0" applyAlignment="1" applyBorder="1" applyFill="1" applyFont="1">
      <alignment horizontal="center"/>
    </xf>
    <xf borderId="22" fillId="7" fontId="2" numFmtId="0" xfId="0" applyBorder="1" applyFill="1" applyFont="1"/>
    <xf borderId="23" fillId="13" fontId="19" numFmtId="164" xfId="0" applyBorder="1" applyFill="1" applyFont="1" applyNumberFormat="1"/>
    <xf borderId="24" fillId="7" fontId="2" numFmtId="10" xfId="0" applyAlignment="1" applyBorder="1" applyFill="1" applyFont="1" applyNumberFormat="1">
      <alignment horizontal="center"/>
    </xf>
    <xf borderId="25" fillId="13" fontId="19" numFmtId="164" xfId="0" applyBorder="1" applyFill="1" applyFont="1" applyNumberFormat="1"/>
    <xf borderId="11" fillId="12" fontId="2" numFmtId="10" xfId="0" applyAlignment="1" applyBorder="1" applyFill="1" applyFont="1" applyNumberFormat="1">
      <alignment horizontal="center"/>
    </xf>
    <xf borderId="26" fillId="7" fontId="2" numFmtId="0" xfId="0" applyBorder="1" applyFill="1" applyFont="1"/>
    <xf borderId="11" fillId="7" fontId="2" numFmtId="10" xfId="0" applyBorder="1" applyFill="1" applyFont="1" applyNumberFormat="1"/>
    <xf borderId="27" fillId="7" fontId="2" numFmtId="10" xfId="0" applyBorder="1" applyFill="1" applyFont="1" applyNumberFormat="1"/>
    <xf borderId="9" fillId="0" fontId="16" numFmtId="0" xfId="0" applyAlignment="1" applyBorder="1" applyFont="1">
      <alignment horizontal="center"/>
    </xf>
    <xf borderId="0" fillId="0" fontId="20" numFmtId="167" xfId="0" applyFont="1" applyNumberFormat="1"/>
    <xf borderId="21" fillId="8" fontId="21" numFmtId="168" xfId="0" applyBorder="1" applyFill="1" applyFont="1" applyNumberFormat="1"/>
    <xf borderId="11" fillId="5" fontId="2" numFmtId="164" xfId="0" applyBorder="1" applyFill="1" applyFont="1" applyNumberFormat="1"/>
    <xf borderId="21" fillId="8" fontId="22" numFmtId="167" xfId="0" applyBorder="1" applyFill="1" applyFont="1" applyNumberFormat="1"/>
    <xf borderId="27" fillId="5" fontId="2" numFmtId="164" xfId="0" applyBorder="1" applyFill="1" applyFont="1" applyNumberFormat="1"/>
    <xf borderId="0" fillId="0" fontId="20" numFmtId="168" xfId="0" applyFont="1" applyNumberFormat="1"/>
    <xf borderId="21" fillId="5" fontId="21" numFmtId="168" xfId="0" applyBorder="1" applyFill="1" applyFont="1" applyNumberFormat="1"/>
    <xf borderId="12" fillId="5" fontId="21" numFmtId="168" xfId="0" applyBorder="1" applyFill="1" applyFont="1" applyNumberFormat="1"/>
    <xf borderId="28" fillId="7" fontId="2" numFmtId="0" xfId="0" applyBorder="1" applyFill="1" applyFont="1"/>
    <xf borderId="0" fillId="0" fontId="23" numFmtId="164" xfId="0" applyFont="1" applyNumberFormat="1"/>
    <xf borderId="29" fillId="7" fontId="2" numFmtId="10" xfId="0" applyBorder="1" applyFill="1" applyFont="1" applyNumberFormat="1"/>
    <xf borderId="13" fillId="7" fontId="2" numFmtId="10" xfId="0" applyBorder="1" applyFill="1" applyFont="1" applyNumberFormat="1"/>
    <xf borderId="0" fillId="0" fontId="1" numFmtId="10" xfId="0" applyFont="1" applyNumberFormat="1"/>
    <xf borderId="21" fillId="14" fontId="24" numFmtId="0" xfId="0" applyBorder="1" applyFill="1" applyFont="1"/>
    <xf borderId="30" fillId="0" fontId="2" numFmtId="0" xfId="0" applyBorder="1" applyFont="1"/>
    <xf borderId="31" fillId="0" fontId="2" numFmtId="0" xfId="0" applyBorder="1" applyFont="1"/>
    <xf borderId="21" fillId="14" fontId="24" numFmtId="169" xfId="0" applyBorder="1" applyFill="1" applyFont="1" applyNumberFormat="1"/>
    <xf borderId="32" fillId="0" fontId="2" numFmtId="0" xfId="0" applyBorder="1" applyFont="1"/>
    <xf borderId="33" fillId="0" fontId="2" numFmtId="0" xfId="0" applyBorder="1" applyFont="1"/>
    <xf borderId="0" fillId="0" fontId="2" numFmtId="168" xfId="0" applyFont="1" applyNumberFormat="1"/>
    <xf borderId="3" fillId="0" fontId="2" numFmtId="0" xfId="0" applyAlignment="1" applyBorder="1" applyFont="1">
      <alignment horizontal="center"/>
    </xf>
    <xf borderId="3" fillId="8" fontId="25" numFmtId="0" xfId="0" applyAlignment="1" applyBorder="1" applyFill="1" applyFont="1">
      <alignment horizontal="center"/>
    </xf>
    <xf borderId="34" fillId="4" fontId="23" numFmtId="164" xfId="0" applyAlignment="1" applyBorder="1" applyFill="1" applyFont="1" applyNumberFormat="1">
      <alignment horizontal="center"/>
    </xf>
    <xf borderId="0" fillId="0" fontId="14" numFmtId="0" xfId="0" applyAlignment="1" applyFont="1">
      <alignment horizontal="center" vertical="center"/>
    </xf>
    <xf borderId="35" fillId="7" fontId="2" numFmtId="0" xfId="0" applyAlignment="1" applyBorder="1" applyFill="1" applyFont="1">
      <alignment horizontal="center"/>
    </xf>
    <xf borderId="36" fillId="0" fontId="2" numFmtId="0" xfId="0" applyBorder="1" applyFont="1"/>
    <xf borderId="11" fillId="5" fontId="26" numFmtId="0" xfId="0" applyAlignment="1" applyBorder="1" applyFill="1" applyFont="1">
      <alignment horizontal="center" vertical="center"/>
    </xf>
    <xf borderId="34" fillId="15" fontId="2" numFmtId="164" xfId="0" applyAlignment="1" applyBorder="1" applyFill="1" applyFont="1" applyNumberFormat="1">
      <alignment horizontal="center"/>
    </xf>
    <xf borderId="35" fillId="15" fontId="2" numFmtId="0" xfId="0" applyAlignment="1" applyBorder="1" applyFill="1" applyFont="1">
      <alignment horizontal="center"/>
    </xf>
    <xf borderId="11" fillId="15" fontId="27" numFmtId="169" xfId="0" applyBorder="1" applyFill="1" applyFont="1" applyNumberForma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19" fillId="0" fontId="2" numFmtId="0" xfId="0" applyAlignment="1" applyBorder="1" applyFont="1">
      <alignment horizontal="center"/>
    </xf>
    <xf borderId="21" fillId="0" fontId="12" numFmtId="0" xfId="0" applyBorder="1" applyFont="1"/>
    <xf borderId="1" fillId="0" fontId="22" numFmtId="0" xfId="0" applyAlignment="1" applyBorder="1" applyFont="1">
      <alignment horizontal="center"/>
    </xf>
    <xf borderId="21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center"/>
    </xf>
    <xf borderId="21" fillId="0" fontId="1" numFmtId="0" xfId="0" applyBorder="1" applyFont="1"/>
    <xf borderId="21" fillId="0" fontId="1" numFmtId="17" xfId="0" applyAlignment="1" applyBorder="1" applyFont="1" applyNumberFormat="1">
      <alignment horizontal="center"/>
    </xf>
    <xf borderId="21" fillId="0" fontId="1" numFmtId="164" xfId="0" applyAlignment="1" applyBorder="1" applyFont="1" applyNumberFormat="1">
      <alignment horizontal="center"/>
    </xf>
    <xf borderId="21" fillId="0" fontId="28" numFmtId="10" xfId="0" applyBorder="1" applyFont="1" applyNumberFormat="1"/>
    <xf borderId="21" fillId="16" fontId="1" numFmtId="164" xfId="0" applyBorder="1" applyFill="1" applyFont="1" applyNumberFormat="1"/>
    <xf borderId="21" fillId="0" fontId="28" numFmtId="9" xfId="0" applyBorder="1" applyFont="1" applyNumberFormat="1"/>
    <xf borderId="11" fillId="17" fontId="1" numFmtId="0" xfId="0" applyBorder="1" applyFill="1" applyFont="1"/>
    <xf borderId="21" fillId="17" fontId="1" numFmtId="0" xfId="0" applyAlignment="1" applyBorder="1" applyFill="1" applyFont="1">
      <alignment horizontal="center"/>
    </xf>
    <xf borderId="21" fillId="17" fontId="1" numFmtId="164" xfId="0" applyBorder="1" applyFill="1" applyFont="1" applyNumberFormat="1"/>
    <xf borderId="21" fillId="18" fontId="1" numFmtId="0" xfId="0" applyAlignment="1" applyBorder="1" applyFill="1" applyFont="1">
      <alignment horizontal="center"/>
    </xf>
    <xf borderId="21" fillId="18" fontId="1" numFmtId="164" xfId="0" applyBorder="1" applyFill="1" applyFont="1" applyNumberFormat="1"/>
    <xf borderId="11" fillId="18" fontId="2" numFmtId="0" xfId="0" applyBorder="1" applyFill="1" applyFont="1"/>
    <xf borderId="11" fillId="8" fontId="1" numFmtId="0" xfId="0" applyBorder="1" applyFill="1" applyFont="1"/>
    <xf borderId="21" fillId="8" fontId="1" numFmtId="0" xfId="0" applyAlignment="1" applyBorder="1" applyFill="1" applyFont="1">
      <alignment horizontal="center"/>
    </xf>
    <xf borderId="21" fillId="8" fontId="1" numFmtId="164" xfId="0" applyBorder="1" applyFill="1" applyFont="1" applyNumberFormat="1"/>
    <xf borderId="11" fillId="8" fontId="2" numFmtId="0" xfId="0" applyBorder="1" applyFill="1" applyFont="1"/>
    <xf borderId="0" fillId="0" fontId="1" numFmtId="9" xfId="0" applyFont="1" applyNumberFormat="1"/>
    <xf borderId="0" fillId="0" fontId="1" numFmtId="17" xfId="0" applyFont="1" applyNumberFormat="1"/>
    <xf borderId="0" fillId="0" fontId="29" numFmtId="164" xfId="0" applyFont="1" applyNumberFormat="1"/>
    <xf borderId="21" fillId="5" fontId="21" numFmtId="164" xfId="0" applyBorder="1" applyFill="1" applyFont="1" applyNumberFormat="1"/>
    <xf borderId="21" fillId="12" fontId="1" numFmtId="164" xfId="0" applyBorder="1" applyFill="1" applyFont="1" applyNumberFormat="1"/>
    <xf borderId="40" fillId="10" fontId="2" numFmtId="0" xfId="0" applyAlignment="1" applyBorder="1" applyFill="1" applyFont="1">
      <alignment horizontal="center"/>
    </xf>
    <xf borderId="41" fillId="0" fontId="4" numFmtId="0" xfId="0" applyBorder="1" applyFont="1"/>
    <xf borderId="42" fillId="0" fontId="4" numFmtId="0" xfId="0" applyBorder="1" applyFont="1"/>
    <xf borderId="24" fillId="7" fontId="2" numFmtId="10" xfId="0" applyAlignment="1" applyBorder="1" applyFill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21" fillId="5" fontId="2" numFmtId="0" xfId="0" applyBorder="1" applyFill="1" applyFont="1"/>
    <xf borderId="21" fillId="5" fontId="2" numFmtId="164" xfId="0" applyBorder="1" applyFill="1" applyFont="1" applyNumberFormat="1"/>
    <xf borderId="21" fillId="5" fontId="30" numFmtId="164" xfId="0" applyBorder="1" applyFill="1" applyFont="1" applyNumberFormat="1"/>
    <xf borderId="0" fillId="0" fontId="30" numFmtId="0" xfId="0" applyAlignment="1" applyFont="1">
      <alignment horizontal="center"/>
    </xf>
    <xf borderId="11" fillId="6" fontId="31" numFmtId="164" xfId="0" applyBorder="1" applyFill="1" applyFont="1" applyNumberFormat="1"/>
    <xf borderId="11" fillId="10" fontId="2" numFmtId="164" xfId="0" applyBorder="1" applyFill="1" applyFont="1" applyNumberFormat="1"/>
    <xf borderId="11" fillId="5" fontId="32" numFmtId="164" xfId="0" applyBorder="1" applyFill="1" applyFont="1" applyNumberFormat="1"/>
    <xf borderId="11" fillId="5" fontId="2" numFmtId="0" xfId="0" applyBorder="1" applyFill="1" applyFont="1"/>
    <xf borderId="21" fillId="14" fontId="24" numFmtId="164" xfId="0" applyBorder="1" applyFill="1" applyFont="1" applyNumberFormat="1"/>
    <xf borderId="0" fillId="0" fontId="2" numFmtId="17" xfId="0" applyFont="1" applyNumberFormat="1"/>
    <xf borderId="21" fillId="3" fontId="1" numFmtId="0" xfId="0" applyAlignment="1" applyBorder="1" applyFill="1" applyFont="1">
      <alignment horizontal="center"/>
    </xf>
    <xf borderId="21" fillId="10" fontId="1" numFmtId="164" xfId="0" applyBorder="1" applyFill="1" applyFont="1" applyNumberFormat="1"/>
    <xf borderId="21" fillId="5" fontId="1" numFmtId="0" xfId="0" applyAlignment="1" applyBorder="1" applyFill="1" applyFont="1">
      <alignment horizontal="center"/>
    </xf>
    <xf borderId="11" fillId="17" fontId="2" numFmtId="0" xfId="0" applyAlignment="1" applyBorder="1" applyFill="1" applyFont="1">
      <alignment horizontal="center"/>
    </xf>
    <xf borderId="11" fillId="17" fontId="2" numFmtId="10" xfId="0" applyAlignment="1" applyBorder="1" applyFill="1" applyFont="1" applyNumberFormat="1">
      <alignment horizontal="center"/>
    </xf>
    <xf borderId="0" fillId="0" fontId="2" numFmtId="9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21" fillId="7" fontId="1" numFmtId="164" xfId="0" applyAlignment="1" applyBorder="1" applyFill="1" applyFont="1" applyNumberFormat="1">
      <alignment horizontal="center"/>
    </xf>
    <xf borderId="21" fillId="16" fontId="1" numFmtId="0" xfId="0" applyAlignment="1" applyBorder="1" applyFill="1" applyFont="1">
      <alignment horizontal="center"/>
    </xf>
    <xf borderId="21" fillId="16" fontId="1" numFmtId="164" xfId="0" applyAlignment="1" applyBorder="1" applyFill="1" applyFont="1" applyNumberFormat="1">
      <alignment horizontal="center"/>
    </xf>
    <xf borderId="21" fillId="16" fontId="16" numFmtId="167" xfId="0" applyBorder="1" applyFill="1" applyFont="1" applyNumberFormat="1"/>
    <xf borderId="21" fillId="5" fontId="1" numFmtId="164" xfId="0" applyAlignment="1" applyBorder="1" applyFill="1" applyFont="1" applyNumberFormat="1">
      <alignment horizontal="center"/>
    </xf>
    <xf borderId="11" fillId="12" fontId="2" numFmtId="0" xfId="0" applyBorder="1" applyFill="1" applyFont="1"/>
    <xf borderId="0" fillId="0" fontId="2" numFmtId="169" xfId="0" applyFont="1" applyNumberFormat="1"/>
    <xf borderId="11" fillId="17" fontId="2" numFmtId="0" xfId="0" applyBorder="1" applyFill="1" applyFont="1"/>
    <xf borderId="1" fillId="0" fontId="2" numFmtId="1" xfId="0" applyBorder="1" applyFont="1" applyNumberFormat="1"/>
    <xf borderId="20" fillId="0" fontId="2" numFmtId="1" xfId="0" applyBorder="1" applyFont="1" applyNumberFormat="1"/>
    <xf borderId="43" fillId="17" fontId="2" numFmtId="1" xfId="0" applyBorder="1" applyFill="1" applyFont="1" applyNumberFormat="1"/>
    <xf borderId="11" fillId="12" fontId="2" numFmtId="1" xfId="0" applyBorder="1" applyFill="1" applyFont="1" applyNumberFormat="1"/>
    <xf borderId="11" fillId="7" fontId="2" numFmtId="0" xfId="0" applyBorder="1" applyFill="1" applyFont="1"/>
    <xf borderId="0" fillId="0" fontId="32" numFmtId="0" xfId="0" applyAlignment="1" applyFont="1">
      <alignment horizontal="center"/>
    </xf>
    <xf borderId="21" fillId="19" fontId="1" numFmtId="164" xfId="0" applyBorder="1" applyFill="1" applyFont="1" applyNumberFormat="1"/>
    <xf borderId="43" fillId="12" fontId="2" numFmtId="1" xfId="0" applyBorder="1" applyFill="1" applyFont="1" applyNumberFormat="1"/>
    <xf borderId="0" fillId="0" fontId="2" numFmtId="1" xfId="0" applyFont="1" applyNumberFormat="1"/>
    <xf borderId="0" fillId="0" fontId="2" numFmtId="170" xfId="0" applyFont="1" applyNumberFormat="1"/>
    <xf borderId="0" fillId="0" fontId="2" numFmtId="16" xfId="0" applyFont="1" applyNumberFormat="1"/>
    <xf borderId="18" fillId="0" fontId="12" numFmtId="0" xfId="0" applyAlignment="1" applyBorder="1" applyFont="1">
      <alignment horizontal="center"/>
    </xf>
    <xf borderId="21" fillId="17" fontId="1" numFmtId="164" xfId="0" applyAlignment="1" applyBorder="1" applyFill="1" applyFont="1" applyNumberFormat="1">
      <alignment horizontal="center"/>
    </xf>
    <xf borderId="21" fillId="20" fontId="1" numFmtId="0" xfId="0" applyAlignment="1" applyBorder="1" applyFill="1" applyFont="1">
      <alignment horizontal="center"/>
    </xf>
    <xf borderId="21" fillId="0" fontId="1" numFmtId="1" xfId="0" applyAlignment="1" applyBorder="1" applyFont="1" applyNumberFormat="1">
      <alignment horizontal="center"/>
    </xf>
    <xf borderId="21" fillId="7" fontId="1" numFmtId="170" xfId="0" applyAlignment="1" applyBorder="1" applyFill="1" applyFont="1" applyNumberFormat="1">
      <alignment horizontal="center"/>
    </xf>
    <xf borderId="21" fillId="17" fontId="1" numFmtId="171" xfId="0" applyAlignment="1" applyBorder="1" applyFill="1" applyFont="1" applyNumberFormat="1">
      <alignment horizontal="center" readingOrder="0"/>
    </xf>
    <xf borderId="21" fillId="17" fontId="1" numFmtId="0" xfId="0" applyAlignment="1" applyBorder="1" applyFill="1" applyFont="1">
      <alignment horizontal="center" readingOrder="0"/>
    </xf>
    <xf borderId="21" fillId="17" fontId="2" numFmtId="164" xfId="0" applyBorder="1" applyFill="1" applyFont="1" applyNumberFormat="1"/>
    <xf borderId="21" fillId="7" fontId="1" numFmtId="0" xfId="0" applyAlignment="1" applyBorder="1" applyFill="1" applyFont="1">
      <alignment readingOrder="0"/>
    </xf>
    <xf borderId="21" fillId="7" fontId="1" numFmtId="164" xfId="0" applyAlignment="1" applyBorder="1" applyFill="1" applyFont="1" applyNumberFormat="1">
      <alignment readingOrder="0"/>
    </xf>
    <xf borderId="21" fillId="20" fontId="1" numFmtId="171" xfId="0" applyAlignment="1" applyBorder="1" applyFill="1" applyFont="1" applyNumberFormat="1">
      <alignment horizontal="center"/>
    </xf>
    <xf borderId="21" fillId="20" fontId="2" numFmtId="164" xfId="0" applyBorder="1" applyFill="1" applyFont="1" applyNumberFormat="1"/>
    <xf borderId="21" fillId="0" fontId="1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0" fillId="0" fontId="19" numFmtId="164" xfId="0" applyFont="1" applyNumberFormat="1"/>
    <xf borderId="21" fillId="0" fontId="1" numFmtId="1" xfId="0" applyAlignment="1" applyBorder="1" applyFont="1" applyNumberFormat="1">
      <alignment readingOrder="0"/>
    </xf>
    <xf borderId="11" fillId="17" fontId="1" numFmtId="0" xfId="0" applyAlignment="1" applyBorder="1" applyFill="1" applyFont="1">
      <alignment horizontal="center"/>
    </xf>
    <xf borderId="11" fillId="17" fontId="14" numFmtId="164" xfId="0" applyBorder="1" applyFill="1" applyFont="1" applyNumberFormat="1"/>
    <xf borderId="28" fillId="20" fontId="1" numFmtId="164" xfId="0" applyAlignment="1" applyBorder="1" applyFill="1" applyFont="1" applyNumberFormat="1">
      <alignment horizontal="center"/>
    </xf>
    <xf borderId="12" fillId="20" fontId="1" numFmtId="0" xfId="0" applyAlignment="1" applyBorder="1" applyFill="1" applyFont="1">
      <alignment horizontal="center"/>
    </xf>
    <xf borderId="21" fillId="20" fontId="20" numFmtId="168" xfId="0" applyBorder="1" applyFill="1" applyFont="1" applyNumberFormat="1"/>
    <xf borderId="21" fillId="0" fontId="22" numFmtId="167" xfId="0" applyBorder="1" applyFont="1" applyNumberFormat="1"/>
    <xf borderId="21" fillId="0" fontId="22" numFmtId="170" xfId="0" applyBorder="1" applyFont="1" applyNumberFormat="1"/>
    <xf borderId="0" fillId="0" fontId="18" numFmtId="164" xfId="0" applyFont="1" applyNumberFormat="1"/>
    <xf borderId="0" fillId="0" fontId="2" numFmtId="0" xfId="0" applyAlignment="1" applyFont="1">
      <alignment horizontal="left"/>
    </xf>
    <xf borderId="44" fillId="7" fontId="29" numFmtId="164" xfId="0" applyBorder="1" applyFill="1" applyFont="1" applyNumberFormat="1"/>
    <xf borderId="21" fillId="21" fontId="2" numFmtId="165" xfId="0" applyBorder="1" applyFill="1" applyFont="1" applyNumberFormat="1"/>
    <xf borderId="21" fillId="0" fontId="2" numFmtId="164" xfId="0" applyBorder="1" applyFont="1" applyNumberFormat="1"/>
    <xf borderId="21" fillId="0" fontId="2" numFmtId="165" xfId="0" applyBorder="1" applyFont="1" applyNumberFormat="1"/>
    <xf borderId="3" fillId="0" fontId="32" numFmtId="0" xfId="0" applyAlignment="1" applyBorder="1" applyFont="1">
      <alignment horizontal="center"/>
    </xf>
    <xf borderId="45" fillId="8" fontId="18" numFmtId="0" xfId="0" applyAlignment="1" applyBorder="1" applyFill="1" applyFont="1">
      <alignment horizontal="center"/>
    </xf>
    <xf borderId="46" fillId="0" fontId="4" numFmtId="0" xfId="0" applyBorder="1" applyFont="1"/>
    <xf borderId="47" fillId="0" fontId="4" numFmtId="0" xfId="0" applyBorder="1" applyFont="1"/>
    <xf borderId="45" fillId="22" fontId="33" numFmtId="0" xfId="0" applyAlignment="1" applyBorder="1" applyFill="1" applyFont="1">
      <alignment horizontal="center"/>
    </xf>
    <xf borderId="33" fillId="0" fontId="2" numFmtId="0" xfId="0" applyAlignment="1" applyBorder="1" applyFont="1">
      <alignment horizontal="left"/>
    </xf>
    <xf borderId="36" fillId="0" fontId="2" numFmtId="164" xfId="0" applyBorder="1" applyFont="1" applyNumberFormat="1"/>
    <xf borderId="11" fillId="3" fontId="2" numFmtId="0" xfId="0" applyBorder="1" applyFill="1" applyFont="1"/>
    <xf borderId="33" fillId="0" fontId="30" numFmtId="0" xfId="0" applyAlignment="1" applyBorder="1" applyFont="1">
      <alignment horizontal="left"/>
    </xf>
    <xf borderId="36" fillId="0" fontId="30" numFmtId="164" xfId="0" applyBorder="1" applyFont="1" applyNumberFormat="1"/>
    <xf borderId="11" fillId="12" fontId="2" numFmtId="9" xfId="0" applyBorder="1" applyFill="1" applyFont="1" applyNumberFormat="1"/>
    <xf borderId="33" fillId="0" fontId="2" numFmtId="0" xfId="0" applyAlignment="1" applyBorder="1" applyFont="1">
      <alignment horizontal="left" vertical="center"/>
    </xf>
    <xf borderId="33" fillId="0" fontId="2" numFmtId="0" xfId="0" applyAlignment="1" applyBorder="1" applyFont="1">
      <alignment shrinkToFit="0" wrapText="1"/>
    </xf>
    <xf borderId="37" fillId="0" fontId="30" numFmtId="0" xfId="0" applyAlignment="1" applyBorder="1" applyFont="1">
      <alignment horizontal="left"/>
    </xf>
    <xf borderId="38" fillId="0" fontId="4" numFmtId="0" xfId="0" applyBorder="1" applyFont="1"/>
    <xf borderId="39" fillId="0" fontId="30" numFmtId="164" xfId="0" applyBorder="1" applyFont="1" applyNumberFormat="1"/>
    <xf borderId="21" fillId="5" fontId="2" numFmtId="9" xfId="0" applyBorder="1" applyFill="1" applyFont="1" applyNumberFormat="1"/>
    <xf borderId="8" fillId="0" fontId="2" numFmtId="0" xfId="0" applyAlignment="1" applyBorder="1" applyFont="1">
      <alignment horizontal="center" shrinkToFit="0" wrapText="1"/>
    </xf>
    <xf borderId="24" fillId="5" fontId="2" numFmtId="9" xfId="0" applyBorder="1" applyFill="1" applyFont="1" applyNumberFormat="1"/>
    <xf borderId="21" fillId="23" fontId="6" numFmtId="164" xfId="0" applyBorder="1" applyFill="1" applyFont="1" applyNumberFormat="1"/>
    <xf borderId="45" fillId="10" fontId="18" numFmtId="0" xfId="0" applyAlignment="1" applyBorder="1" applyFill="1" applyFont="1">
      <alignment horizontal="center"/>
    </xf>
    <xf borderId="45" fillId="24" fontId="33" numFmtId="0" xfId="0" applyAlignment="1" applyBorder="1" applyFill="1" applyFont="1">
      <alignment horizontal="center"/>
    </xf>
    <xf borderId="33" fillId="0" fontId="2" numFmtId="0" xfId="0" applyAlignment="1" applyBorder="1" applyFont="1">
      <alignment horizontal="left" shrinkToFit="0" vertical="center" wrapText="1"/>
    </xf>
    <xf borderId="11" fillId="17" fontId="2" numFmtId="9" xfId="0" applyBorder="1" applyFill="1" applyFont="1" applyNumberFormat="1"/>
    <xf borderId="1" fillId="0" fontId="2" numFmtId="0" xfId="0" applyAlignment="1" applyBorder="1" applyFont="1">
      <alignment horizontal="center" shrinkToFit="0" wrapText="1"/>
    </xf>
    <xf borderId="21" fillId="17" fontId="2" numFmtId="9" xfId="0" applyBorder="1" applyFill="1" applyFont="1" applyNumberFormat="1"/>
    <xf borderId="21" fillId="5" fontId="2" numFmtId="165" xfId="0" applyBorder="1" applyFill="1" applyFont="1" applyNumberFormat="1"/>
    <xf borderId="11" fillId="5" fontId="23" numFmtId="0" xfId="0" applyBorder="1" applyFill="1" applyFont="1"/>
    <xf borderId="11" fillId="3" fontId="2" numFmtId="0" xfId="0" applyAlignment="1" applyBorder="1" applyFill="1" applyFont="1">
      <alignment horizontal="center"/>
    </xf>
    <xf borderId="11" fillId="3" fontId="2" numFmtId="10" xfId="0" applyAlignment="1" applyBorder="1" applyFill="1" applyFont="1" applyNumberFormat="1">
      <alignment horizontal="center"/>
    </xf>
    <xf borderId="21" fillId="0" fontId="2" numFmtId="17" xfId="0" applyBorder="1" applyFont="1" applyNumberFormat="1"/>
    <xf borderId="21" fillId="0" fontId="3" numFmtId="165" xfId="0" applyBorder="1" applyFont="1" applyNumberFormat="1"/>
    <xf borderId="11" fillId="25" fontId="2" numFmtId="0" xfId="0" applyAlignment="1" applyBorder="1" applyFill="1" applyFont="1">
      <alignment horizontal="center"/>
    </xf>
    <xf borderId="11" fillId="25" fontId="2" numFmtId="10" xfId="0" applyAlignment="1" applyBorder="1" applyFill="1" applyFont="1" applyNumberFormat="1">
      <alignment horizontal="center"/>
    </xf>
    <xf borderId="21" fillId="7" fontId="2" numFmtId="164" xfId="0" applyBorder="1" applyFill="1" applyFont="1" applyNumberFormat="1"/>
    <xf borderId="0" fillId="0" fontId="3" numFmtId="164" xfId="0" applyFont="1" applyNumberFormat="1"/>
    <xf borderId="48" fillId="8" fontId="1" numFmtId="0" xfId="0" applyAlignment="1" applyBorder="1" applyFill="1" applyFont="1">
      <alignment horizontal="center"/>
    </xf>
    <xf borderId="48" fillId="26" fontId="1" numFmtId="0" xfId="0" applyAlignment="1" applyBorder="1" applyFill="1" applyFont="1">
      <alignment horizontal="center"/>
    </xf>
    <xf borderId="11" fillId="26" fontId="2" numFmtId="0" xfId="0" applyBorder="1" applyFill="1" applyFont="1"/>
    <xf borderId="11" fillId="7" fontId="2" numFmtId="164" xfId="0" applyBorder="1" applyFill="1" applyFont="1" applyNumberFormat="1"/>
    <xf borderId="0" fillId="0" fontId="14" numFmtId="164" xfId="0" applyFont="1" applyNumberFormat="1"/>
    <xf borderId="11" fillId="7" fontId="20" numFmtId="168" xfId="0" applyBorder="1" applyFill="1" applyFont="1" applyNumberFormat="1"/>
    <xf borderId="17" fillId="0" fontId="1" numFmtId="0" xfId="0" applyAlignment="1" applyBorder="1" applyFont="1">
      <alignment horizontal="center"/>
    </xf>
    <xf borderId="21" fillId="0" fontId="6" numFmtId="164" xfId="0" applyBorder="1" applyFont="1" applyNumberFormat="1"/>
    <xf borderId="11" fillId="7" fontId="29" numFmtId="164" xfId="0" applyBorder="1" applyFill="1" applyFont="1" applyNumberFormat="1"/>
    <xf borderId="5" fillId="0" fontId="6" numFmtId="164" xfId="0" applyBorder="1" applyFont="1" applyNumberFormat="1"/>
    <xf borderId="43" fillId="7" fontId="1" numFmtId="0" xfId="0" applyAlignment="1" applyBorder="1" applyFill="1" applyFont="1">
      <alignment horizontal="center"/>
    </xf>
    <xf borderId="11" fillId="5" fontId="2" numFmtId="0" xfId="0" applyAlignment="1" applyBorder="1" applyFill="1" applyFont="1">
      <alignment horizontal="center"/>
    </xf>
    <xf borderId="21" fillId="0" fontId="2" numFmtId="9" xfId="0" applyBorder="1" applyFont="1" applyNumberFormat="1"/>
    <xf borderId="21" fillId="12" fontId="2" numFmtId="9" xfId="0" applyBorder="1" applyFill="1" applyFont="1" applyNumberFormat="1"/>
    <xf borderId="11" fillId="5" fontId="2" numFmtId="10" xfId="0" applyAlignment="1" applyBorder="1" applyFill="1" applyFont="1" applyNumberFormat="1">
      <alignment horizontal="center"/>
    </xf>
    <xf borderId="21" fillId="17" fontId="2" numFmtId="165" xfId="0" applyBorder="1" applyFill="1" applyFont="1" applyNumberFormat="1"/>
    <xf borderId="21" fillId="20" fontId="2" numFmtId="165" xfId="0" applyBorder="1" applyFill="1" applyFont="1" applyNumberFormat="1"/>
    <xf borderId="0" fillId="0" fontId="20" numFmtId="164" xfId="0" applyFont="1" applyNumberFormat="1"/>
    <xf borderId="0" fillId="0" fontId="1" numFmtId="0" xfId="0" applyAlignment="1" applyFont="1">
      <alignment horizontal="left"/>
    </xf>
    <xf borderId="11" fillId="20" fontId="1" numFmtId="164" xfId="0" applyAlignment="1" applyBorder="1" applyFill="1" applyFont="1" applyNumberFormat="1">
      <alignment horizontal="center"/>
    </xf>
    <xf borderId="48" fillId="20" fontId="1" numFmtId="0" xfId="0" applyAlignment="1" applyBorder="1" applyFill="1" applyFont="1">
      <alignment horizontal="center"/>
    </xf>
    <xf borderId="0" fillId="0" fontId="8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21" fillId="7" fontId="2" numFmtId="0" xfId="0" applyBorder="1" applyFill="1" applyFont="1"/>
    <xf borderId="21" fillId="0" fontId="2" numFmtId="1" xfId="0" applyBorder="1" applyFont="1" applyNumberFormat="1"/>
    <xf borderId="0" fillId="0" fontId="22" numFmtId="167" xfId="0" applyFont="1" applyNumberFormat="1"/>
    <xf borderId="49" fillId="0" fontId="2" numFmtId="0" xfId="0" applyBorder="1" applyFont="1"/>
    <xf borderId="21" fillId="12" fontId="2" numFmtId="0" xfId="0" applyBorder="1" applyFill="1" applyFont="1"/>
    <xf borderId="21" fillId="21" fontId="2" numFmtId="0" xfId="0" applyBorder="1" applyFill="1" applyFont="1"/>
    <xf borderId="21" fillId="17" fontId="2" numFmtId="0" xfId="0" applyBorder="1" applyFill="1" applyFont="1"/>
    <xf borderId="50" fillId="0" fontId="2" numFmtId="9" xfId="0" applyBorder="1" applyFont="1" applyNumberFormat="1"/>
    <xf borderId="21" fillId="12" fontId="2" numFmtId="3" xfId="0" applyBorder="1" applyFill="1" applyFont="1" applyNumberFormat="1"/>
    <xf borderId="21" fillId="21" fontId="2" numFmtId="3" xfId="0" applyBorder="1" applyFill="1" applyFont="1" applyNumberFormat="1"/>
    <xf borderId="21" fillId="5" fontId="2" numFmtId="3" xfId="0" applyBorder="1" applyFill="1" applyFont="1" applyNumberFormat="1"/>
    <xf borderId="21" fillId="17" fontId="2" numFmtId="3" xfId="0" applyBorder="1" applyFill="1" applyFont="1" applyNumberFormat="1"/>
    <xf borderId="51" fillId="27" fontId="19" numFmtId="0" xfId="0" applyBorder="1" applyFill="1" applyFont="1"/>
    <xf borderId="52" fillId="27" fontId="19" numFmtId="0" xfId="0" applyBorder="1" applyFill="1" applyFont="1"/>
    <xf borderId="52" fillId="27" fontId="19" numFmtId="164" xfId="0" applyBorder="1" applyFill="1" applyFont="1" applyNumberFormat="1"/>
    <xf borderId="53" fillId="27" fontId="19" numFmtId="164" xfId="0" applyBorder="1" applyFill="1" applyFont="1" applyNumberFormat="1"/>
    <xf borderId="54" fillId="0" fontId="3" numFmtId="0" xfId="0" applyBorder="1" applyFont="1"/>
    <xf borderId="55" fillId="0" fontId="2" numFmtId="10" xfId="0" applyBorder="1" applyFont="1" applyNumberFormat="1"/>
    <xf borderId="21" fillId="5" fontId="2" numFmtId="10" xfId="0" applyBorder="1" applyFill="1" applyFont="1" applyNumberFormat="1"/>
    <xf borderId="21" fillId="5" fontId="2" numFmtId="1" xfId="0" applyBorder="1" applyFill="1" applyFont="1" applyNumberFormat="1"/>
    <xf borderId="54" fillId="0" fontId="2" numFmtId="0" xfId="0" applyBorder="1" applyFont="1"/>
    <xf borderId="56" fillId="0" fontId="3" numFmtId="0" xfId="0" applyBorder="1" applyFont="1"/>
    <xf borderId="57" fillId="0" fontId="2" numFmtId="0" xfId="0" applyBorder="1" applyFont="1"/>
    <xf borderId="57" fillId="0" fontId="2" numFmtId="164" xfId="0" applyBorder="1" applyFont="1" applyNumberFormat="1"/>
    <xf borderId="58" fillId="0" fontId="2" numFmtId="10" xfId="0" applyBorder="1" applyFont="1" applyNumberFormat="1"/>
    <xf borderId="21" fillId="21" fontId="2" numFmtId="1" xfId="0" applyBorder="1" applyFill="1" applyFont="1" applyNumberFormat="1"/>
    <xf borderId="21" fillId="17" fontId="2" numFmtId="1" xfId="0" applyBorder="1" applyFill="1" applyFont="1" applyNumberFormat="1"/>
    <xf borderId="0" fillId="0" fontId="14" numFmtId="0" xfId="0" applyFont="1"/>
    <xf borderId="49" fillId="0" fontId="14" numFmtId="0" xfId="0" applyBorder="1" applyFont="1"/>
    <xf borderId="50" fillId="0" fontId="14" numFmtId="9" xfId="0" applyBorder="1" applyFont="1" applyNumberFormat="1"/>
    <xf borderId="51" fillId="27" fontId="34" numFmtId="0" xfId="0" applyBorder="1" applyFill="1" applyFont="1"/>
    <xf borderId="52" fillId="27" fontId="34" numFmtId="0" xfId="0" applyBorder="1" applyFill="1" applyFont="1"/>
    <xf borderId="52" fillId="27" fontId="34" numFmtId="164" xfId="0" applyBorder="1" applyFill="1" applyFont="1" applyNumberFormat="1"/>
    <xf borderId="53" fillId="27" fontId="34" numFmtId="164" xfId="0" applyBorder="1" applyFill="1" applyFont="1" applyNumberFormat="1"/>
    <xf borderId="21" fillId="0" fontId="11" numFmtId="0" xfId="0" applyBorder="1" applyFont="1"/>
    <xf borderId="21" fillId="0" fontId="14" numFmtId="0" xfId="0" applyBorder="1" applyFont="1"/>
    <xf borderId="21" fillId="0" fontId="14" numFmtId="164" xfId="0" applyBorder="1" applyFont="1" applyNumberFormat="1"/>
    <xf borderId="55" fillId="0" fontId="14" numFmtId="10" xfId="0" applyBorder="1" applyFont="1" applyNumberFormat="1"/>
    <xf borderId="57" fillId="0" fontId="14" numFmtId="0" xfId="0" applyBorder="1" applyFont="1"/>
    <xf borderId="57" fillId="0" fontId="14" numFmtId="164" xfId="0" applyBorder="1" applyFont="1" applyNumberFormat="1"/>
    <xf borderId="54" fillId="0" fontId="11" numFmtId="0" xfId="0" applyBorder="1" applyFont="1"/>
    <xf borderId="0" fillId="0" fontId="0" numFmtId="0" xfId="0" applyFont="1"/>
    <xf borderId="0" fillId="0" fontId="35" numFmtId="0" xfId="0" applyAlignment="1" applyFont="1">
      <alignment horizontal="center" vertical="center"/>
    </xf>
    <xf borderId="8" fillId="2" fontId="35" numFmtId="0" xfId="0" applyAlignment="1" applyBorder="1" applyFill="1" applyFont="1">
      <alignment horizontal="center" vertical="center"/>
    </xf>
    <xf borderId="8" fillId="5" fontId="35" numFmtId="0" xfId="0" applyAlignment="1" applyBorder="1" applyFill="1" applyFont="1">
      <alignment horizontal="center" vertical="center"/>
    </xf>
    <xf borderId="52" fillId="27" fontId="36" numFmtId="164" xfId="0" applyAlignment="1" applyBorder="1" applyFill="1" applyFont="1" applyNumberFormat="1">
      <alignment readingOrder="0"/>
    </xf>
    <xf borderId="21" fillId="0" fontId="37" numFmtId="0" xfId="0" applyAlignment="1" applyBorder="1" applyFont="1">
      <alignment readingOrder="0"/>
    </xf>
    <xf borderId="18" fillId="0" fontId="30" numFmtId="0" xfId="0" applyAlignment="1" applyBorder="1" applyFont="1">
      <alignment horizontal="center"/>
    </xf>
    <xf borderId="21" fillId="0" fontId="38" numFmtId="0" xfId="0" applyAlignment="1" applyBorder="1" applyFont="1">
      <alignment readingOrder="0"/>
    </xf>
    <xf borderId="0" fillId="0" fontId="39" numFmtId="0" xfId="0" applyAlignment="1" applyFont="1">
      <alignment readingOrder="0"/>
    </xf>
    <xf borderId="21" fillId="12" fontId="2" numFmtId="164" xfId="0" applyBorder="1" applyFill="1" applyFont="1" applyNumberFormat="1"/>
    <xf borderId="21" fillId="17" fontId="1" numFmtId="164" xfId="0" applyAlignment="1" applyBorder="1" applyFill="1" applyFont="1" applyNumberFormat="1">
      <alignment readingOrder="0"/>
    </xf>
    <xf borderId="0" fillId="0" fontId="2" numFmtId="164" xfId="0" applyAlignment="1" applyFont="1" applyNumberFormat="1">
      <alignment horizontal="right"/>
    </xf>
    <xf borderId="21" fillId="12" fontId="2" numFmtId="169" xfId="0" applyBorder="1" applyFill="1" applyFont="1" applyNumberFormat="1"/>
    <xf borderId="21" fillId="5" fontId="2" numFmtId="169" xfId="0" applyBorder="1" applyFill="1" applyFont="1" applyNumberFormat="1"/>
    <xf borderId="21" fillId="17" fontId="2" numFmtId="169" xfId="0" applyBorder="1" applyFill="1" applyFont="1" applyNumberFormat="1"/>
    <xf borderId="21" fillId="0" fontId="2" numFmtId="169" xfId="0" applyBorder="1" applyFont="1" applyNumberFormat="1"/>
    <xf borderId="2" fillId="0" fontId="2" numFmtId="9" xfId="0" applyBorder="1" applyFont="1" applyNumberFormat="1"/>
    <xf borderId="11" fillId="5" fontId="30" numFmtId="164" xfId="0" applyBorder="1" applyFill="1" applyFont="1" applyNumberFormat="1"/>
    <xf borderId="21" fillId="0" fontId="37" numFmtId="164" xfId="0" applyAlignment="1" applyBorder="1" applyFont="1" applyNumberFormat="1">
      <alignment readingOrder="0"/>
    </xf>
    <xf borderId="21" fillId="20" fontId="1" numFmtId="171" xfId="0" applyAlignment="1" applyBorder="1" applyFill="1" applyFont="1" applyNumberFormat="1">
      <alignment horizontal="center" readingOrder="0"/>
    </xf>
    <xf borderId="21" fillId="20" fontId="1" numFmtId="164" xfId="0" applyAlignment="1" applyBorder="1" applyFill="1" applyFont="1" applyNumberFormat="1">
      <alignment readingOrder="0"/>
    </xf>
    <xf borderId="10" fillId="0" fontId="2" numFmtId="0" xfId="0" applyAlignment="1" applyBorder="1" applyFont="1">
      <alignment horizontal="center"/>
    </xf>
    <xf borderId="0" fillId="0" fontId="19" numFmtId="0" xfId="0" applyFont="1"/>
    <xf borderId="0" fillId="0" fontId="14" numFmtId="170" xfId="0" applyFont="1" applyNumberFormat="1"/>
    <xf borderId="0" fillId="0" fontId="37" numFmtId="0" xfId="0" applyAlignment="1" applyFont="1">
      <alignment readingOrder="0"/>
    </xf>
    <xf borderId="0" fillId="0" fontId="22" numFmtId="0" xfId="0" applyAlignment="1" applyFont="1">
      <alignment horizontal="left"/>
    </xf>
    <xf borderId="21" fillId="2" fontId="8" numFmtId="0" xfId="0" applyAlignment="1" applyBorder="1" applyFill="1" applyFont="1">
      <alignment horizontal="center" vertical="center"/>
    </xf>
    <xf borderId="21" fillId="5" fontId="8" numFmtId="0" xfId="0" applyAlignment="1" applyBorder="1" applyFill="1" applyFont="1">
      <alignment horizontal="center" vertical="center"/>
    </xf>
    <xf borderId="21" fillId="0" fontId="1" numFmtId="17" xfId="0" applyAlignment="1" applyBorder="1" applyFont="1" applyNumberFormat="1">
      <alignment readingOrder="0"/>
    </xf>
    <xf borderId="0" fillId="0" fontId="1" numFmtId="17" xfId="0" applyAlignment="1" applyFont="1" applyNumberFormat="1">
      <alignment readingOrder="0"/>
    </xf>
    <xf borderId="0" fillId="0" fontId="6" numFmtId="164" xfId="0" applyFont="1" applyNumberFormat="1"/>
    <xf borderId="21" fillId="0" fontId="12" numFmtId="0" xfId="0" applyAlignment="1" applyBorder="1" applyFont="1">
      <alignment horizontal="center"/>
    </xf>
    <xf borderId="21" fillId="7" fontId="1" numFmtId="3" xfId="0" applyAlignment="1" applyBorder="1" applyFill="1" applyFont="1" applyNumberFormat="1">
      <alignment readingOrder="0"/>
    </xf>
    <xf borderId="21" fillId="7" fontId="2" numFmtId="3" xfId="0" applyBorder="1" applyFill="1" applyFont="1" applyNumberFormat="1"/>
    <xf borderId="16" fillId="0" fontId="1" numFmtId="164" xfId="0" applyAlignment="1" applyBorder="1" applyFont="1" applyNumberFormat="1">
      <alignment horizontal="center" readingOrder="0"/>
    </xf>
    <xf borderId="0" fillId="0" fontId="14" numFmtId="9" xfId="0" applyFont="1" applyNumberFormat="1"/>
    <xf borderId="0" fillId="0" fontId="34" numFmtId="0" xfId="0" applyFont="1"/>
    <xf borderId="0" fillId="0" fontId="34" numFmtId="164" xfId="0" applyFont="1" applyNumberFormat="1"/>
    <xf borderId="0" fillId="0" fontId="11" numFmtId="0" xfId="0" applyFont="1"/>
    <xf borderId="0" fillId="0" fontId="14" numFmtId="10" xfId="0" applyFont="1" applyNumberFormat="1"/>
    <xf borderId="0" fillId="5" fontId="2" numFmtId="164" xfId="0" applyFill="1" applyFont="1" applyNumberFormat="1"/>
    <xf borderId="11" fillId="17" fontId="2" numFmtId="164" xfId="0" applyBorder="1" applyFill="1" applyFont="1" applyNumberFormat="1"/>
    <xf borderId="21" fillId="8" fontId="1" numFmtId="167" xfId="0" applyBorder="1" applyFill="1" applyFont="1" applyNumberFormat="1"/>
    <xf borderId="21" fillId="20" fontId="1" numFmtId="168" xfId="0" applyBorder="1" applyFill="1" applyFont="1" applyNumberFormat="1"/>
    <xf borderId="21" fillId="17" fontId="2" numFmtId="164" xfId="0" applyAlignment="1" applyBorder="1" applyFill="1" applyFont="1" applyNumberFormat="1">
      <alignment readingOrder="0"/>
    </xf>
    <xf borderId="0" fillId="0" fontId="1" numFmtId="0" xfId="0" applyAlignment="1" applyFont="1">
      <alignment horizontal="left" readingOrder="0"/>
    </xf>
    <xf borderId="11" fillId="7" fontId="1" numFmtId="164" xfId="0" applyBorder="1" applyFill="1" applyFont="1" applyNumberFormat="1"/>
    <xf borderId="21" fillId="20" fontId="2" numFmtId="164" xfId="0" applyAlignment="1" applyBorder="1" applyFill="1" applyFont="1" applyNumberFormat="1">
      <alignment readingOrder="0"/>
    </xf>
    <xf borderId="21" fillId="14" fontId="30" numFmtId="164" xfId="0" applyBorder="1" applyFill="1" applyFont="1" applyNumberFormat="1"/>
    <xf borderId="21" fillId="14" fontId="30" numFmtId="169" xfId="0" applyBorder="1" applyFill="1" applyFont="1" applyNumberFormat="1"/>
    <xf borderId="21" fillId="14" fontId="30" numFmtId="0" xfId="0" applyBorder="1" applyFill="1" applyFont="1"/>
    <xf borderId="34" fillId="4" fontId="2" numFmtId="164" xfId="0" applyAlignment="1" applyBorder="1" applyFill="1" applyFont="1" applyNumberFormat="1">
      <alignment horizontal="center"/>
    </xf>
    <xf borderId="0" fillId="0" fontId="0" numFmtId="164" xfId="0" applyFont="1" applyNumberFormat="1"/>
    <xf borderId="21" fillId="0" fontId="1" numFmtId="164" xfId="0" applyAlignment="1" applyBorder="1" applyFont="1" applyNumberFormat="1">
      <alignment readingOrder="0"/>
    </xf>
    <xf borderId="21" fillId="0" fontId="17" numFmtId="0" xfId="0" applyBorder="1" applyFont="1"/>
    <xf borderId="0" fillId="0" fontId="1" numFmtId="164" xfId="0" applyAlignment="1" applyFont="1" applyNumberFormat="1">
      <alignment horizontal="center" readingOrder="0"/>
    </xf>
    <xf borderId="21" fillId="0" fontId="1" numFmtId="169" xfId="0" applyAlignment="1" applyBorder="1" applyFont="1" applyNumberFormat="1">
      <alignment readingOrder="0"/>
    </xf>
    <xf borderId="21" fillId="28" fontId="39" numFmtId="0" xfId="0" applyAlignment="1" applyBorder="1" applyFill="1" applyFont="1">
      <alignment readingOrder="0"/>
    </xf>
    <xf borderId="21" fillId="28" fontId="2" numFmtId="169" xfId="0" applyBorder="1" applyFill="1" applyFont="1" applyNumberFormat="1"/>
    <xf borderId="21" fillId="28" fontId="39" numFmtId="172" xfId="0" applyAlignment="1" applyBorder="1" applyFill="1" applyFont="1" applyNumberFormat="1">
      <alignment readingOrder="0"/>
    </xf>
    <xf borderId="21" fillId="0" fontId="1" numFmtId="10" xfId="0" applyAlignment="1" applyBorder="1" applyFont="1" applyNumberFormat="1">
      <alignment readingOrder="0"/>
    </xf>
    <xf borderId="0" fillId="0" fontId="22" numFmtId="0" xfId="0" applyAlignment="1" applyFont="1">
      <alignment horizontal="left" readingOrder="0"/>
    </xf>
    <xf borderId="21" fillId="0" fontId="39" numFmtId="0" xfId="0" applyAlignment="1" applyBorder="1" applyFont="1">
      <alignment readingOrder="0"/>
    </xf>
    <xf borderId="34" fillId="4" fontId="22" numFmtId="164" xfId="0" applyAlignment="1" applyBorder="1" applyFill="1" applyFont="1" applyNumberFormat="1">
      <alignment horizontal="center" readingOrder="0"/>
    </xf>
    <xf borderId="21" fillId="5" fontId="39" numFmtId="0" xfId="0" applyAlignment="1" applyBorder="1" applyFill="1" applyFont="1">
      <alignment readingOrder="0"/>
    </xf>
    <xf borderId="21" fillId="0" fontId="2" numFmtId="10" xfId="0" applyBorder="1" applyFont="1" applyNumberFormat="1"/>
    <xf borderId="21" fillId="23" fontId="39" numFmtId="0" xfId="0" applyAlignment="1" applyBorder="1" applyFill="1" applyFont="1">
      <alignment readingOrder="0"/>
    </xf>
    <xf borderId="0" fillId="0" fontId="17" numFmtId="164" xfId="0" applyFont="1" applyNumberFormat="1"/>
    <xf borderId="0" fillId="0" fontId="17" numFmtId="168" xfId="0" applyFont="1" applyNumberFormat="1"/>
    <xf borderId="21" fillId="23" fontId="2" numFmtId="169" xfId="0" applyBorder="1" applyFill="1" applyFont="1" applyNumberFormat="1"/>
    <xf borderId="21" fillId="23" fontId="39" numFmtId="172" xfId="0" applyAlignment="1" applyBorder="1" applyFill="1" applyFont="1" applyNumberFormat="1">
      <alignment readingOrder="0"/>
    </xf>
    <xf borderId="11" fillId="23" fontId="2" numFmtId="0" xfId="0" applyBorder="1" applyFill="1" applyFont="1"/>
    <xf borderId="11" fillId="23" fontId="2" numFmtId="164" xfId="0" applyBorder="1" applyFill="1" applyFont="1" applyNumberFormat="1"/>
    <xf borderId="0" fillId="0" fontId="17" numFmtId="170" xfId="0" applyFont="1" applyNumberFormat="1"/>
    <xf borderId="0" fillId="0" fontId="39" numFmtId="170" xfId="0" applyAlignment="1" applyFont="1" applyNumberFormat="1">
      <alignment readingOrder="0"/>
    </xf>
    <xf borderId="0" fillId="0" fontId="17" numFmtId="10" xfId="0" applyFont="1" applyNumberFormat="1"/>
    <xf borderId="0" fillId="0" fontId="39" numFmtId="10" xfId="0" applyAlignment="1" applyFont="1" applyNumberFormat="1">
      <alignment readingOrder="0"/>
    </xf>
    <xf borderId="0" fillId="0" fontId="37" numFmtId="17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5" fontId="8" numFmtId="0" xfId="0" applyAlignment="1" applyFill="1" applyFont="1">
      <alignment horizontal="center" vertical="center"/>
    </xf>
    <xf borderId="50" fillId="0" fontId="37" numFmtId="9" xfId="0" applyAlignment="1" applyBorder="1" applyFont="1" applyNumberFormat="1">
      <alignment readingOrder="0"/>
    </xf>
    <xf borderId="21" fillId="8" fontId="16" numFmtId="168" xfId="0" applyBorder="1" applyFill="1" applyFont="1" applyNumberFormat="1"/>
    <xf borderId="21" fillId="7" fontId="2" numFmtId="173" xfId="0" applyBorder="1" applyFill="1" applyFont="1" applyNumberFormat="1"/>
    <xf borderId="21" fillId="0" fontId="2" numFmtId="174" xfId="0" applyBorder="1" applyFont="1" applyNumberFormat="1"/>
    <xf borderId="21" fillId="8" fontId="16" numFmtId="167" xfId="0" applyAlignment="1" applyBorder="1" applyFill="1" applyFont="1" applyNumberFormat="1">
      <alignment readingOrder="0"/>
    </xf>
    <xf borderId="21" fillId="7" fontId="1" numFmtId="173" xfId="0" applyAlignment="1" applyBorder="1" applyFill="1" applyFont="1" applyNumberFormat="1">
      <alignment readingOrder="0"/>
    </xf>
    <xf borderId="21" fillId="23" fontId="16" numFmtId="167" xfId="0" applyBorder="1" applyFill="1" applyFont="1" applyNumberFormat="1"/>
    <xf borderId="21" fillId="0" fontId="2" numFmtId="170" xfId="0" applyBorder="1" applyFont="1" applyNumberFormat="1"/>
    <xf borderId="34" fillId="4" fontId="40" numFmtId="164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8ED873"/>
          <bgColor rgb="FF8ED87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DADOS DE FATURAMENTO MAJOR - ABRIL</a:t>
            </a:r>
          </a:p>
        </c:rich>
      </c:tx>
      <c:overlay val="0"/>
    </c:title>
    <c:plotArea>
      <c:layout>
        <c:manualLayout>
          <c:xMode val="edge"/>
          <c:yMode val="edge"/>
          <c:x val="0.011539470233412012"/>
          <c:y val="0.11334862638096437"/>
          <c:w val="0.976921059533176"/>
          <c:h val="0.6966283185436103"/>
        </c:manualLayout>
      </c:layout>
      <c:barChart>
        <c:barDir val="col"/>
        <c:varyColors val="0"/>
        <c:ser>
          <c:idx val="0"/>
          <c:order val="0"/>
          <c:tx>
            <c:v>Real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'FAT ABRIL'!$C$10:$C$40</c:f>
            </c:strRef>
          </c:cat>
          <c:val>
            <c:numRef>
              <c:f>'FAT ABRIL'!$G$10:$G$40</c:f>
              <c:numCache/>
            </c:numRef>
          </c:val>
        </c:ser>
        <c:axId val="1292572684"/>
        <c:axId val="1502334317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'FAT ABRIL'!$C$10:$C$40</c:f>
            </c:strRef>
          </c:cat>
          <c:val>
            <c:numRef>
              <c:f>'FAT ABRIL'!$F$10:$F$40</c:f>
              <c:numCache/>
            </c:numRef>
          </c:val>
          <c:smooth val="0"/>
        </c:ser>
        <c:axId val="1292572684"/>
        <c:axId val="1502334317"/>
      </c:lineChart>
      <c:catAx>
        <c:axId val="1292572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502334317"/>
      </c:catAx>
      <c:valAx>
        <c:axId val="15023343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572684"/>
      </c:valAx>
    </c:plotArea>
    <c:legend>
      <c:legendPos val="b"/>
      <c:overlay val="0"/>
      <c:txPr>
        <a:bodyPr/>
        <a:lstStyle/>
        <a:p>
          <a:pPr lvl="0">
            <a:defRPr b="1" i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DADOS DE FATURAMENTO DELIVERY - ABRIL</a:t>
            </a:r>
          </a:p>
        </c:rich>
      </c:tx>
      <c:overlay val="0"/>
    </c:title>
    <c:plotArea>
      <c:layout>
        <c:manualLayout>
          <c:xMode val="edge"/>
          <c:yMode val="edge"/>
          <c:x val="0.011539470233412012"/>
          <c:y val="0.11334862638096437"/>
          <c:w val="0.976921059533176"/>
          <c:h val="0.6966283185436103"/>
        </c:manualLayout>
      </c:layout>
      <c:barChart>
        <c:barDir val="col"/>
        <c:varyColors val="0"/>
        <c:ser>
          <c:idx val="0"/>
          <c:order val="0"/>
          <c:tx>
            <c:v>Real</c:v>
          </c:tx>
          <c:spPr>
            <a:solidFill>
              <a:srgbClr val="FFFF6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'FAT ABRIL'!$K$10:$K$40</c:f>
            </c:strRef>
          </c:cat>
          <c:val>
            <c:numRef>
              <c:f>'FAT ABRIL'!$O$10:$O$40</c:f>
              <c:numCache/>
            </c:numRef>
          </c:val>
        </c:ser>
        <c:axId val="2045376580"/>
        <c:axId val="2003497069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FF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FF00">
                  <a:alpha val="100000"/>
                </a:srgbClr>
              </a:solidFill>
              <a:ln cmpd="sng">
                <a:solidFill>
                  <a:srgbClr val="FFFF00">
                    <a:alpha val="100000"/>
                  </a:srgbClr>
                </a:solidFill>
              </a:ln>
            </c:spPr>
          </c:marker>
          <c:cat>
            <c:strRef>
              <c:f>'FAT ABRIL'!$K$10:$K$40</c:f>
            </c:strRef>
          </c:cat>
          <c:val>
            <c:numRef>
              <c:f>'FAT ABRIL'!$N$10:$N$40</c:f>
              <c:numCache/>
            </c:numRef>
          </c:val>
          <c:smooth val="0"/>
        </c:ser>
        <c:axId val="2045376580"/>
        <c:axId val="2003497069"/>
      </c:lineChart>
      <c:catAx>
        <c:axId val="204537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003497069"/>
      </c:catAx>
      <c:valAx>
        <c:axId val="20034970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376580"/>
      </c:valAx>
    </c:plotArea>
    <c:legend>
      <c:legendPos val="b"/>
      <c:overlay val="0"/>
      <c:txPr>
        <a:bodyPr/>
        <a:lstStyle/>
        <a:p>
          <a:pPr lvl="0">
            <a:defRPr b="1" i="0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4</xdr:row>
      <xdr:rowOff>0</xdr:rowOff>
    </xdr:from>
    <xdr:ext cx="4667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4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4</xdr:row>
      <xdr:rowOff>0</xdr:rowOff>
    </xdr:from>
    <xdr:ext cx="46672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4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4</xdr:row>
      <xdr:rowOff>38100</xdr:rowOff>
    </xdr:from>
    <xdr:ext cx="46672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4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2</xdr:row>
      <xdr:rowOff>180975</xdr:rowOff>
    </xdr:from>
    <xdr:ext cx="13163550" cy="4124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171450</xdr:colOff>
      <xdr:row>24</xdr:row>
      <xdr:rowOff>114300</xdr:rowOff>
    </xdr:from>
    <xdr:ext cx="13230225" cy="4124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552450</xdr:colOff>
      <xdr:row>6</xdr:row>
      <xdr:rowOff>0</xdr:rowOff>
    </xdr:from>
    <xdr:ext cx="809625" cy="447675"/>
    <xdr:sp>
      <xdr:nvSpPr>
        <xdr:cNvPr id="3" name="Shape 3"/>
        <xdr:cNvSpPr txBox="1"/>
      </xdr:nvSpPr>
      <xdr:spPr>
        <a:xfrm>
          <a:off x="4945634" y="3556894"/>
          <a:ext cx="800732" cy="446212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0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0</xdr:colOff>
      <xdr:row>27</xdr:row>
      <xdr:rowOff>66675</xdr:rowOff>
    </xdr:from>
    <xdr:ext cx="809625" cy="447675"/>
    <xdr:sp>
      <xdr:nvSpPr>
        <xdr:cNvPr id="4" name="Shape 4"/>
        <xdr:cNvSpPr txBox="1"/>
      </xdr:nvSpPr>
      <xdr:spPr>
        <a:xfrm>
          <a:off x="4945634" y="3556894"/>
          <a:ext cx="800733" cy="44621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0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21</xdr:col>
      <xdr:colOff>123825</xdr:colOff>
      <xdr:row>22</xdr:row>
      <xdr:rowOff>123825</xdr:rowOff>
    </xdr:from>
    <xdr:ext cx="1228725" cy="600075"/>
    <xdr:sp>
      <xdr:nvSpPr>
        <xdr:cNvPr id="5" name="Shape 5"/>
        <xdr:cNvSpPr txBox="1"/>
      </xdr:nvSpPr>
      <xdr:spPr>
        <a:xfrm>
          <a:off x="4732563" y="3483381"/>
          <a:ext cx="1226874" cy="59323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80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257175</xdr:colOff>
      <xdr:row>4</xdr:row>
      <xdr:rowOff>38100</xdr:rowOff>
    </xdr:from>
    <xdr:ext cx="466725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4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4</xdr:row>
      <xdr:rowOff>38100</xdr:rowOff>
    </xdr:from>
    <xdr:ext cx="466725" cy="400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4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257175</xdr:colOff>
      <xdr:row>4</xdr:row>
      <xdr:rowOff>38100</xdr:rowOff>
    </xdr:from>
    <xdr:ext cx="466725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4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257175</xdr:colOff>
      <xdr:row>4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4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</xdr:row>
      <xdr:rowOff>85725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</xdr:row>
      <xdr:rowOff>85725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</xdr:row>
      <xdr:rowOff>85725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</xdr:row>
      <xdr:rowOff>85725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3</xdr:row>
      <xdr:rowOff>28575</xdr:rowOff>
    </xdr:from>
    <xdr:ext cx="495300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3</xdr:row>
      <xdr:rowOff>38100</xdr:rowOff>
    </xdr:from>
    <xdr:ext cx="46672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1.22" defaultRowHeight="15.0"/>
  <cols>
    <col customWidth="1" min="1" max="1" width="1.67"/>
    <col customWidth="1" min="2" max="2" width="17.11"/>
    <col customWidth="1" min="3" max="3" width="16.11"/>
    <col customWidth="1" min="4" max="4" width="6.11"/>
    <col customWidth="1" min="5" max="5" width="6.0"/>
    <col customWidth="1" min="6" max="6" width="18.78"/>
    <col customWidth="1" min="7" max="7" width="17.44"/>
    <col customWidth="1" min="8" max="8" width="16.78"/>
    <col customWidth="1" min="9" max="9" width="2.11"/>
    <col customWidth="1" min="10" max="10" width="11.11"/>
    <col customWidth="1" min="11" max="11" width="16.11"/>
    <col customWidth="1" min="12" max="12" width="6.11"/>
    <col customWidth="1" min="13" max="13" width="6.0"/>
    <col customWidth="1" min="14" max="14" width="18.78"/>
    <col customWidth="1" min="15" max="15" width="17.44"/>
    <col customWidth="1" min="16" max="16" width="16.78"/>
    <col customWidth="1" min="17" max="17" width="2.0"/>
    <col customWidth="1" min="18" max="20" width="15.0"/>
    <col customWidth="1" min="21" max="23" width="11.0"/>
    <col customWidth="1" min="24" max="24" width="15.0"/>
    <col customWidth="1" min="25" max="25" width="11.0"/>
    <col customWidth="1" min="26" max="26" width="15.0"/>
    <col customWidth="1" min="27" max="28" width="11.0"/>
    <col customWidth="1" min="29" max="30" width="14.0"/>
    <col customWidth="1" min="31" max="33" width="11.0"/>
    <col customWidth="1" min="34" max="34" width="21.44"/>
    <col customWidth="1" min="35" max="36" width="11.0"/>
    <col customWidth="1" min="37" max="37" width="21.33"/>
    <col customWidth="1" min="38" max="38" width="11.0"/>
  </cols>
  <sheetData>
    <row r="1" ht="10.5" customHeight="1">
      <c r="B1" s="2"/>
      <c r="C1" s="2"/>
      <c r="D1" s="2"/>
      <c r="E1" s="2"/>
      <c r="L1" s="2"/>
      <c r="M1" s="2"/>
    </row>
    <row r="2" ht="15.75" customHeight="1">
      <c r="B2" s="7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2"/>
    </row>
    <row r="3" ht="16.5" customHeight="1">
      <c r="B3" s="2"/>
      <c r="C3" s="2"/>
      <c r="D3" s="2"/>
      <c r="E3" s="2"/>
      <c r="L3" s="2"/>
      <c r="M3" s="2"/>
    </row>
    <row r="4" ht="16.5" customHeight="1">
      <c r="B4" s="2"/>
      <c r="C4" s="2"/>
      <c r="D4" s="2"/>
      <c r="E4" s="2"/>
      <c r="H4" s="15" t="s">
        <v>9</v>
      </c>
      <c r="J4" s="2"/>
      <c r="K4" s="2"/>
      <c r="L4" s="2"/>
      <c r="M4" s="2"/>
      <c r="P4" s="15" t="s">
        <v>9</v>
      </c>
    </row>
    <row r="5" ht="15.75" customHeight="1">
      <c r="B5" s="17" t="s">
        <v>13</v>
      </c>
      <c r="C5" s="18"/>
      <c r="D5" s="18"/>
      <c r="E5" s="18"/>
      <c r="F5" s="18"/>
      <c r="G5" s="19"/>
      <c r="H5" s="25">
        <f>F41/4</f>
        <v>63303.75</v>
      </c>
      <c r="J5" s="27" t="s">
        <v>22</v>
      </c>
      <c r="K5" s="18"/>
      <c r="L5" s="18"/>
      <c r="M5" s="18"/>
      <c r="N5" s="18"/>
      <c r="O5" s="19"/>
      <c r="P5" s="25">
        <f>N41/4</f>
        <v>68938.5125</v>
      </c>
    </row>
    <row r="6" ht="15.75" customHeight="1">
      <c r="B6" s="31"/>
      <c r="G6" s="32"/>
      <c r="H6" s="33"/>
      <c r="J6" s="31"/>
      <c r="O6" s="32"/>
      <c r="P6" s="33"/>
    </row>
    <row r="7" ht="9.75" customHeight="1">
      <c r="B7" s="34"/>
      <c r="C7" s="35"/>
      <c r="D7" s="35"/>
      <c r="E7" s="35"/>
      <c r="F7" s="35"/>
      <c r="G7" s="36"/>
      <c r="H7" s="37"/>
      <c r="J7" s="34"/>
      <c r="K7" s="35"/>
      <c r="L7" s="35"/>
      <c r="M7" s="35"/>
      <c r="N7" s="35"/>
      <c r="O7" s="36"/>
      <c r="P7" s="37"/>
    </row>
    <row r="8" ht="15.75" customHeight="1">
      <c r="B8" s="40" t="s">
        <v>28</v>
      </c>
      <c r="C8" s="41"/>
      <c r="D8" s="41"/>
      <c r="E8" s="41"/>
      <c r="F8" s="41"/>
      <c r="G8" s="41"/>
      <c r="H8" s="6"/>
      <c r="J8" s="40" t="s">
        <v>28</v>
      </c>
      <c r="K8" s="41"/>
      <c r="L8" s="41"/>
      <c r="M8" s="41"/>
      <c r="N8" s="41"/>
      <c r="O8" s="41"/>
      <c r="P8" s="6"/>
      <c r="R8" s="1"/>
      <c r="S8" s="3" t="s">
        <v>31</v>
      </c>
      <c r="AB8" s="1"/>
      <c r="AC8" s="3"/>
    </row>
    <row r="9" ht="15.75" customHeight="1">
      <c r="B9" s="44" t="s">
        <v>32</v>
      </c>
      <c r="C9" s="44" t="s">
        <v>33</v>
      </c>
      <c r="D9" s="44" t="s">
        <v>34</v>
      </c>
      <c r="E9" s="44" t="s">
        <v>35</v>
      </c>
      <c r="F9" s="44" t="s">
        <v>36</v>
      </c>
      <c r="G9" s="44" t="s">
        <v>37</v>
      </c>
      <c r="H9" s="44" t="s">
        <v>38</v>
      </c>
      <c r="J9" s="44" t="s">
        <v>32</v>
      </c>
      <c r="K9" s="44" t="s">
        <v>33</v>
      </c>
      <c r="L9" s="44" t="s">
        <v>34</v>
      </c>
      <c r="M9" s="44" t="s">
        <v>35</v>
      </c>
      <c r="N9" s="44" t="s">
        <v>36</v>
      </c>
      <c r="O9" s="44" t="s">
        <v>37</v>
      </c>
      <c r="P9" s="44" t="s">
        <v>38</v>
      </c>
      <c r="R9" s="1"/>
      <c r="S9" s="8" t="s">
        <v>1</v>
      </c>
      <c r="T9" s="8" t="s">
        <v>5</v>
      </c>
      <c r="AB9" s="1"/>
      <c r="AC9" s="8"/>
      <c r="AD9" s="8"/>
      <c r="AG9" s="46" t="s">
        <v>1</v>
      </c>
      <c r="AH9" s="6"/>
      <c r="AJ9" s="46" t="s">
        <v>4</v>
      </c>
      <c r="AK9" s="6"/>
    </row>
    <row r="10" ht="15.75" customHeight="1">
      <c r="B10" s="47">
        <v>1.0</v>
      </c>
      <c r="C10" s="47" t="s">
        <v>39</v>
      </c>
      <c r="D10" s="48">
        <v>0.12305025996533793</v>
      </c>
      <c r="E10" s="48">
        <f t="shared" ref="E10:E39" si="1">G10/$H$5</f>
        <v>0.03738325139</v>
      </c>
      <c r="F10" s="49">
        <v>2839.0</v>
      </c>
      <c r="G10" s="50">
        <v>2366.5</v>
      </c>
      <c r="H10" s="51">
        <f t="shared" ref="H10:H39" si="2">G10-F10</f>
        <v>-472.5</v>
      </c>
      <c r="J10" s="44">
        <v>1.0</v>
      </c>
      <c r="K10" s="44" t="s">
        <v>39</v>
      </c>
      <c r="L10" s="52">
        <v>0.14942528735632182</v>
      </c>
      <c r="M10" s="52">
        <f t="shared" ref="M10:M39" si="3">O10/$P$5</f>
        <v>0.04345306986</v>
      </c>
      <c r="N10" s="54">
        <v>2995.0</v>
      </c>
      <c r="O10" s="55">
        <f>3137.59-142</f>
        <v>2995.59</v>
      </c>
      <c r="P10" s="56">
        <f t="shared" ref="P10:P40" si="4">O10-N10</f>
        <v>0.59</v>
      </c>
      <c r="R10" s="1" t="s">
        <v>6</v>
      </c>
      <c r="S10" s="13">
        <v>3927.59</v>
      </c>
      <c r="T10" s="13">
        <v>3073.62</v>
      </c>
      <c r="AB10" s="1"/>
      <c r="AC10" s="13"/>
      <c r="AD10" s="13"/>
      <c r="AG10" s="57" t="s">
        <v>6</v>
      </c>
      <c r="AH10" s="55">
        <v>3927.59</v>
      </c>
      <c r="AJ10" s="57" t="s">
        <v>6</v>
      </c>
      <c r="AK10" s="55">
        <v>3073.62</v>
      </c>
    </row>
    <row r="11" ht="15.75" customHeight="1">
      <c r="B11" s="47">
        <v>2.0</v>
      </c>
      <c r="C11" s="47" t="s">
        <v>42</v>
      </c>
      <c r="D11" s="48">
        <v>0.31715771230502593</v>
      </c>
      <c r="E11" s="48">
        <f t="shared" si="1"/>
        <v>0.04570266374</v>
      </c>
      <c r="F11" s="49">
        <v>3518.0</v>
      </c>
      <c r="G11" s="50">
        <v>2893.15</v>
      </c>
      <c r="H11" s="51">
        <f t="shared" si="2"/>
        <v>-624.85</v>
      </c>
      <c r="J11" s="44">
        <v>2.0</v>
      </c>
      <c r="K11" s="44" t="s">
        <v>42</v>
      </c>
      <c r="L11" s="52">
        <v>0.2512315270935961</v>
      </c>
      <c r="M11" s="52">
        <f t="shared" si="3"/>
        <v>0.08699636506</v>
      </c>
      <c r="N11" s="54">
        <v>5997.0</v>
      </c>
      <c r="O11" s="59">
        <f>6158.4-161</f>
        <v>5997.4</v>
      </c>
      <c r="P11" s="56">
        <f t="shared" si="4"/>
        <v>0.4</v>
      </c>
      <c r="R11" s="1" t="s">
        <v>10</v>
      </c>
      <c r="S11" s="16">
        <v>3755.69</v>
      </c>
      <c r="T11" s="13">
        <v>6686.79</v>
      </c>
      <c r="AB11" s="1"/>
      <c r="AC11" s="16"/>
      <c r="AD11" s="13"/>
      <c r="AG11" s="57" t="s">
        <v>6</v>
      </c>
      <c r="AH11" s="55">
        <v>3927.59</v>
      </c>
      <c r="AJ11" s="57" t="s">
        <v>6</v>
      </c>
      <c r="AK11" s="55">
        <v>3073.62</v>
      </c>
    </row>
    <row r="12" ht="15.75" customHeight="1">
      <c r="B12" s="47">
        <v>3.0</v>
      </c>
      <c r="C12" s="47" t="s">
        <v>40</v>
      </c>
      <c r="D12" s="48">
        <v>0.27902946273830154</v>
      </c>
      <c r="E12" s="48">
        <f t="shared" si="1"/>
        <v>0.07236064214</v>
      </c>
      <c r="F12" s="49">
        <v>4643.0</v>
      </c>
      <c r="G12" s="50">
        <v>4580.7</v>
      </c>
      <c r="H12" s="51">
        <f t="shared" si="2"/>
        <v>-62.3</v>
      </c>
      <c r="J12" s="44">
        <v>3.0</v>
      </c>
      <c r="K12" s="44" t="s">
        <v>40</v>
      </c>
      <c r="L12" s="52">
        <v>0.3382594417077176</v>
      </c>
      <c r="M12" s="52">
        <f t="shared" si="3"/>
        <v>0.07788172105</v>
      </c>
      <c r="N12" s="54">
        <v>5369.0</v>
      </c>
      <c r="O12" s="59">
        <f>5590.05-221</f>
        <v>5369.05</v>
      </c>
      <c r="P12" s="56">
        <f t="shared" si="4"/>
        <v>0.05</v>
      </c>
      <c r="R12" s="1" t="s">
        <v>12</v>
      </c>
      <c r="S12" s="16">
        <v>4782.26</v>
      </c>
      <c r="T12" s="13">
        <v>4695.86</v>
      </c>
      <c r="AB12" s="1"/>
      <c r="AC12" s="16"/>
      <c r="AD12" s="13"/>
      <c r="AG12" s="57" t="s">
        <v>6</v>
      </c>
      <c r="AH12" s="55">
        <v>3927.59</v>
      </c>
      <c r="AJ12" s="57" t="s">
        <v>6</v>
      </c>
      <c r="AK12" s="55">
        <v>3073.62</v>
      </c>
    </row>
    <row r="13" ht="15.75" customHeight="1">
      <c r="B13" s="47">
        <v>4.0</v>
      </c>
      <c r="C13" s="47" t="s">
        <v>47</v>
      </c>
      <c r="D13" s="48">
        <v>0.05545927209705372</v>
      </c>
      <c r="E13" s="48">
        <f t="shared" si="1"/>
        <v>0.08351400983</v>
      </c>
      <c r="F13" s="49">
        <v>6310.0</v>
      </c>
      <c r="G13" s="50">
        <f>4922.5+364.25</f>
        <v>5286.75</v>
      </c>
      <c r="H13" s="51">
        <f t="shared" si="2"/>
        <v>-1023.25</v>
      </c>
      <c r="J13" s="44">
        <v>4.0</v>
      </c>
      <c r="K13" s="44" t="s">
        <v>47</v>
      </c>
      <c r="L13" s="52">
        <v>0.05582922824302135</v>
      </c>
      <c r="M13" s="52">
        <f t="shared" si="3"/>
        <v>0.09995907585</v>
      </c>
      <c r="N13" s="54">
        <v>9375.0</v>
      </c>
      <c r="O13" s="59">
        <f>7191.03-300</f>
        <v>6891.03</v>
      </c>
      <c r="P13" s="56">
        <f t="shared" si="4"/>
        <v>-2483.97</v>
      </c>
      <c r="R13" s="1" t="s">
        <v>15</v>
      </c>
      <c r="S13" s="16">
        <v>4955.18</v>
      </c>
      <c r="T13" s="13">
        <v>5289.67</v>
      </c>
      <c r="AB13" s="1"/>
      <c r="AC13" s="16"/>
      <c r="AD13" s="13"/>
      <c r="AG13" s="57" t="s">
        <v>6</v>
      </c>
      <c r="AH13" s="55">
        <v>3927.59</v>
      </c>
      <c r="AJ13" s="57" t="s">
        <v>6</v>
      </c>
      <c r="AK13" s="55">
        <v>3073.62</v>
      </c>
    </row>
    <row r="14" ht="15.75" customHeight="1">
      <c r="B14" s="47">
        <v>5.0</v>
      </c>
      <c r="C14" s="47" t="s">
        <v>48</v>
      </c>
      <c r="D14" s="48">
        <v>0.06932409012131714</v>
      </c>
      <c r="E14" s="48">
        <f t="shared" si="1"/>
        <v>0.1685137136</v>
      </c>
      <c r="F14" s="49">
        <v>10738.0</v>
      </c>
      <c r="G14" s="50">
        <f>10807.55-140</f>
        <v>10667.55</v>
      </c>
      <c r="H14" s="51">
        <f t="shared" si="2"/>
        <v>-70.45</v>
      </c>
      <c r="I14" s="61"/>
      <c r="J14" s="44">
        <v>5.0</v>
      </c>
      <c r="K14" s="44" t="s">
        <v>48</v>
      </c>
      <c r="L14" s="52">
        <v>0.07060755336617405</v>
      </c>
      <c r="M14" s="52">
        <f t="shared" si="3"/>
        <v>0.1343130228</v>
      </c>
      <c r="N14" s="54">
        <v>9259.34</v>
      </c>
      <c r="O14" s="59">
        <f>9714.33-454.99</f>
        <v>9259.34</v>
      </c>
      <c r="P14" s="56">
        <f t="shared" si="4"/>
        <v>0</v>
      </c>
      <c r="R14" s="1" t="s">
        <v>17</v>
      </c>
      <c r="S14" s="16">
        <v>11059.26</v>
      </c>
      <c r="T14" s="13">
        <v>8919.54</v>
      </c>
      <c r="AB14" s="1"/>
      <c r="AC14" s="16"/>
      <c r="AD14" s="13"/>
      <c r="AG14" s="57" t="s">
        <v>10</v>
      </c>
      <c r="AH14" s="55">
        <v>3755.69</v>
      </c>
      <c r="AJ14" s="57" t="s">
        <v>10</v>
      </c>
      <c r="AK14" s="55">
        <v>6686.79</v>
      </c>
    </row>
    <row r="15" ht="15.75" customHeight="1">
      <c r="B15" s="47">
        <v>6.0</v>
      </c>
      <c r="C15" s="47" t="s">
        <v>41</v>
      </c>
      <c r="D15" s="48">
        <v>0.09705372616984399</v>
      </c>
      <c r="E15" s="48">
        <f t="shared" si="1"/>
        <v>0.2905554568</v>
      </c>
      <c r="F15" s="49">
        <v>15583.0</v>
      </c>
      <c r="G15" s="50">
        <v>18393.25</v>
      </c>
      <c r="H15" s="51">
        <f t="shared" si="2"/>
        <v>2810.25</v>
      </c>
      <c r="J15" s="44">
        <v>6.0</v>
      </c>
      <c r="K15" s="44" t="s">
        <v>41</v>
      </c>
      <c r="L15" s="52">
        <v>0.05911330049261084</v>
      </c>
      <c r="M15" s="52">
        <f t="shared" si="3"/>
        <v>0.1506030464</v>
      </c>
      <c r="N15" s="54">
        <v>10382.0</v>
      </c>
      <c r="O15" s="55">
        <f>11032.35-650</f>
        <v>10382.35</v>
      </c>
      <c r="P15" s="51">
        <f t="shared" si="4"/>
        <v>0.35</v>
      </c>
      <c r="R15" s="1" t="s">
        <v>19</v>
      </c>
      <c r="S15" s="16">
        <v>19743.86</v>
      </c>
      <c r="T15" s="13">
        <v>12517.35</v>
      </c>
      <c r="AB15" s="1"/>
      <c r="AC15" s="16"/>
      <c r="AD15" s="13"/>
      <c r="AG15" s="57" t="s">
        <v>10</v>
      </c>
      <c r="AH15" s="55">
        <v>3755.69</v>
      </c>
      <c r="AJ15" s="57" t="s">
        <v>10</v>
      </c>
      <c r="AK15" s="55">
        <v>6686.79</v>
      </c>
    </row>
    <row r="16" ht="15.75" customHeight="1">
      <c r="B16" s="47">
        <v>7.0</v>
      </c>
      <c r="C16" s="47" t="s">
        <v>44</v>
      </c>
      <c r="D16" s="48">
        <v>0.05892547660311957</v>
      </c>
      <c r="E16" s="48">
        <f t="shared" si="1"/>
        <v>0.3104375333</v>
      </c>
      <c r="F16" s="49">
        <v>15544.0</v>
      </c>
      <c r="G16" s="50">
        <v>19651.86</v>
      </c>
      <c r="H16" s="51">
        <f t="shared" si="2"/>
        <v>4107.86</v>
      </c>
      <c r="J16" s="44">
        <v>7.0</v>
      </c>
      <c r="K16" s="44" t="s">
        <v>44</v>
      </c>
      <c r="L16" s="52">
        <v>0.08</v>
      </c>
      <c r="M16" s="52">
        <f t="shared" si="3"/>
        <v>0.2941393608</v>
      </c>
      <c r="N16" s="54">
        <v>20277.53</v>
      </c>
      <c r="O16" s="55">
        <f>21936.53-1659</f>
        <v>20277.53</v>
      </c>
      <c r="P16" s="51">
        <f t="shared" si="4"/>
        <v>0</v>
      </c>
      <c r="R16" s="1" t="s">
        <v>20</v>
      </c>
      <c r="S16" s="16">
        <v>19453.13</v>
      </c>
      <c r="T16" s="13">
        <v>21259.45</v>
      </c>
      <c r="AB16" s="1"/>
      <c r="AC16" s="16"/>
      <c r="AD16" s="13"/>
      <c r="AG16" s="57" t="s">
        <v>10</v>
      </c>
      <c r="AH16" s="55">
        <v>3755.69</v>
      </c>
      <c r="AJ16" s="57" t="s">
        <v>10</v>
      </c>
      <c r="AK16" s="55">
        <v>6686.79</v>
      </c>
    </row>
    <row r="17" ht="15.75" customHeight="1">
      <c r="B17" s="44">
        <v>8.0</v>
      </c>
      <c r="C17" s="44" t="s">
        <v>45</v>
      </c>
      <c r="D17" s="52">
        <v>0.12305025996533793</v>
      </c>
      <c r="E17" s="52">
        <f t="shared" si="1"/>
        <v>0.05114546927</v>
      </c>
      <c r="F17" s="49">
        <v>2839.0</v>
      </c>
      <c r="G17" s="50">
        <v>3237.7</v>
      </c>
      <c r="H17" s="51">
        <f t="shared" si="2"/>
        <v>398.7</v>
      </c>
      <c r="J17" s="44">
        <v>8.0</v>
      </c>
      <c r="K17" s="44" t="s">
        <v>45</v>
      </c>
      <c r="L17" s="52">
        <v>0.14942528735632182</v>
      </c>
      <c r="M17" s="52">
        <f t="shared" si="3"/>
        <v>0.04392711549</v>
      </c>
      <c r="N17" s="54">
        <v>2995.0</v>
      </c>
      <c r="O17" s="55">
        <v>3028.27</v>
      </c>
      <c r="P17" s="56">
        <f t="shared" si="4"/>
        <v>33.27</v>
      </c>
      <c r="AG17" s="57" t="s">
        <v>10</v>
      </c>
      <c r="AH17" s="55">
        <v>3755.69</v>
      </c>
      <c r="AJ17" s="57" t="s">
        <v>10</v>
      </c>
      <c r="AK17" s="55">
        <v>6686.79</v>
      </c>
    </row>
    <row r="18" ht="15.75" customHeight="1">
      <c r="B18" s="44">
        <v>9.0</v>
      </c>
      <c r="C18" s="44" t="s">
        <v>46</v>
      </c>
      <c r="D18" s="52">
        <v>0.31715771230502593</v>
      </c>
      <c r="E18" s="52">
        <f t="shared" si="1"/>
        <v>0.02863179511</v>
      </c>
      <c r="F18" s="49">
        <v>3518.0</v>
      </c>
      <c r="G18" s="50">
        <f>1232+580.5</f>
        <v>1812.5</v>
      </c>
      <c r="H18" s="51">
        <f t="shared" si="2"/>
        <v>-1705.5</v>
      </c>
      <c r="J18" s="44">
        <v>9.0</v>
      </c>
      <c r="K18" s="44" t="s">
        <v>46</v>
      </c>
      <c r="L18" s="52">
        <v>0.2512315270935961</v>
      </c>
      <c r="M18" s="52">
        <f t="shared" si="3"/>
        <v>0.06077024073</v>
      </c>
      <c r="N18" s="54">
        <v>5997.0</v>
      </c>
      <c r="O18" s="55">
        <v>4189.41</v>
      </c>
      <c r="P18" s="56">
        <f t="shared" si="4"/>
        <v>-1807.59</v>
      </c>
      <c r="AF18" s="58">
        <v>1.0</v>
      </c>
      <c r="AG18" s="57" t="s">
        <v>12</v>
      </c>
      <c r="AH18" s="63">
        <f>12820.05+231.5</f>
        <v>13051.55</v>
      </c>
      <c r="AI18" s="58">
        <v>1.0</v>
      </c>
      <c r="AJ18" s="57" t="s">
        <v>12</v>
      </c>
      <c r="AK18" s="63">
        <f>7315.08+6164.53-1076</f>
        <v>12403.61</v>
      </c>
    </row>
    <row r="19" ht="15.75" customHeight="1">
      <c r="B19" s="44">
        <v>10.0</v>
      </c>
      <c r="C19" s="44" t="s">
        <v>40</v>
      </c>
      <c r="D19" s="52">
        <v>0.27902946273830154</v>
      </c>
      <c r="E19" s="52">
        <f t="shared" si="1"/>
        <v>0.09489643189</v>
      </c>
      <c r="F19" s="49">
        <v>4643.0</v>
      </c>
      <c r="G19" s="50">
        <v>6007.3</v>
      </c>
      <c r="H19" s="51">
        <f t="shared" si="2"/>
        <v>1364.3</v>
      </c>
      <c r="J19" s="44">
        <v>10.0</v>
      </c>
      <c r="K19" s="44" t="s">
        <v>40</v>
      </c>
      <c r="L19" s="52">
        <v>0.3382594417077176</v>
      </c>
      <c r="M19" s="52">
        <f t="shared" si="3"/>
        <v>0.06567707709</v>
      </c>
      <c r="N19" s="54">
        <v>5369.0</v>
      </c>
      <c r="O19" s="55">
        <v>4527.68</v>
      </c>
      <c r="P19" s="56">
        <f t="shared" si="4"/>
        <v>-841.32</v>
      </c>
      <c r="R19" s="1"/>
      <c r="S19" s="8" t="s">
        <v>50</v>
      </c>
      <c r="AG19" s="57" t="s">
        <v>12</v>
      </c>
      <c r="AH19" s="55">
        <v>4782.26</v>
      </c>
      <c r="AJ19" s="57" t="s">
        <v>12</v>
      </c>
      <c r="AK19" s="55">
        <v>4695.86</v>
      </c>
    </row>
    <row r="20" ht="15.75" customHeight="1">
      <c r="B20" s="44">
        <v>11.0</v>
      </c>
      <c r="C20" s="44" t="s">
        <v>47</v>
      </c>
      <c r="D20" s="52">
        <v>0.05545927209705372</v>
      </c>
      <c r="E20" s="52">
        <f t="shared" si="1"/>
        <v>0.110323796</v>
      </c>
      <c r="F20" s="65">
        <v>10000.0</v>
      </c>
      <c r="G20" s="50">
        <f>7143.91-160</f>
        <v>6983.91</v>
      </c>
      <c r="H20" s="51">
        <f t="shared" si="2"/>
        <v>-3016.09</v>
      </c>
      <c r="J20" s="44">
        <v>11.0</v>
      </c>
      <c r="K20" s="44" t="s">
        <v>47</v>
      </c>
      <c r="L20" s="52">
        <v>0.05582922824302135</v>
      </c>
      <c r="M20" s="52">
        <f t="shared" si="3"/>
        <v>0.06622379617</v>
      </c>
      <c r="N20" s="54">
        <v>9375.0</v>
      </c>
      <c r="O20" s="55">
        <v>4565.37</v>
      </c>
      <c r="P20" s="51">
        <f t="shared" si="4"/>
        <v>-4809.63</v>
      </c>
      <c r="R20" s="1"/>
      <c r="S20" s="8" t="s">
        <v>1</v>
      </c>
      <c r="T20" s="8" t="s">
        <v>5</v>
      </c>
      <c r="AG20" s="57" t="s">
        <v>12</v>
      </c>
      <c r="AH20" s="55">
        <v>4782.26</v>
      </c>
      <c r="AJ20" s="57" t="s">
        <v>12</v>
      </c>
      <c r="AK20" s="55">
        <v>4695.86</v>
      </c>
    </row>
    <row r="21" ht="15.75" customHeight="1">
      <c r="B21" s="44">
        <v>12.0</v>
      </c>
      <c r="C21" s="44" t="s">
        <v>48</v>
      </c>
      <c r="D21" s="52">
        <v>0.06932409012131714</v>
      </c>
      <c r="E21" s="52">
        <f t="shared" si="1"/>
        <v>0.1648038228</v>
      </c>
      <c r="F21" s="49">
        <v>10738.0</v>
      </c>
      <c r="G21" s="50">
        <f>256+10306.7-130</f>
        <v>10432.7</v>
      </c>
      <c r="H21" s="51">
        <f t="shared" si="2"/>
        <v>-305.3</v>
      </c>
      <c r="J21" s="44">
        <v>12.0</v>
      </c>
      <c r="K21" s="44" t="s">
        <v>48</v>
      </c>
      <c r="L21" s="52">
        <v>0.07060755336617405</v>
      </c>
      <c r="M21" s="52">
        <f t="shared" si="3"/>
        <v>0.1275194326</v>
      </c>
      <c r="N21" s="54">
        <v>9259.34</v>
      </c>
      <c r="O21" s="55">
        <f>9366-575</f>
        <v>8791</v>
      </c>
      <c r="P21" s="51">
        <f t="shared" si="4"/>
        <v>-468.34</v>
      </c>
      <c r="R21" s="1" t="s">
        <v>6</v>
      </c>
      <c r="S21" s="13">
        <v>5077.36</v>
      </c>
      <c r="T21" s="13">
        <v>3244.45</v>
      </c>
      <c r="W21" s="70"/>
      <c r="X21" s="71" t="s">
        <v>52</v>
      </c>
      <c r="Y21" s="72"/>
      <c r="Z21" s="73" t="s">
        <v>53</v>
      </c>
      <c r="AG21" s="57" t="s">
        <v>12</v>
      </c>
      <c r="AH21" s="55">
        <v>4782.26</v>
      </c>
      <c r="AJ21" s="57" t="s">
        <v>12</v>
      </c>
      <c r="AK21" s="55">
        <v>4695.86</v>
      </c>
    </row>
    <row r="22" ht="15.75" customHeight="1">
      <c r="B22" s="44">
        <v>13.0</v>
      </c>
      <c r="C22" s="44" t="s">
        <v>41</v>
      </c>
      <c r="D22" s="52">
        <v>0.09705372616984399</v>
      </c>
      <c r="E22" s="52">
        <f t="shared" si="1"/>
        <v>0.3451122564</v>
      </c>
      <c r="F22" s="49">
        <v>15583.0</v>
      </c>
      <c r="G22" s="50">
        <v>21846.9</v>
      </c>
      <c r="H22" s="51">
        <f t="shared" si="2"/>
        <v>6263.9</v>
      </c>
      <c r="J22" s="44">
        <v>13.0</v>
      </c>
      <c r="K22" s="44" t="s">
        <v>41</v>
      </c>
      <c r="L22" s="52">
        <v>0.05911330049261084</v>
      </c>
      <c r="M22" s="52">
        <f t="shared" si="3"/>
        <v>0.1934914102</v>
      </c>
      <c r="N22" s="54">
        <v>10382.0</v>
      </c>
      <c r="O22" s="59">
        <f>14165.99-826.98</f>
        <v>13339.01</v>
      </c>
      <c r="P22" s="51">
        <f t="shared" si="4"/>
        <v>2957.01</v>
      </c>
      <c r="R22" s="1" t="s">
        <v>10</v>
      </c>
      <c r="S22" s="13">
        <v>5676.18</v>
      </c>
      <c r="T22" s="13">
        <v>7783.89</v>
      </c>
      <c r="W22" s="74"/>
      <c r="X22" s="75">
        <v>265000.0</v>
      </c>
      <c r="Y22" s="2"/>
      <c r="Z22" s="76">
        <v>265000.0</v>
      </c>
      <c r="AF22" s="58">
        <v>29.0</v>
      </c>
      <c r="AG22" s="57" t="s">
        <v>12</v>
      </c>
      <c r="AH22" s="60">
        <f>4782.26+1200</f>
        <v>5982.26</v>
      </c>
      <c r="AI22" s="58">
        <v>29.0</v>
      </c>
      <c r="AJ22" s="57" t="s">
        <v>12</v>
      </c>
      <c r="AK22" s="60">
        <f>4695.86+1200</f>
        <v>5895.86</v>
      </c>
      <c r="AL22" s="58" t="s">
        <v>23</v>
      </c>
    </row>
    <row r="23" ht="15.75" customHeight="1">
      <c r="B23" s="44">
        <v>14.0</v>
      </c>
      <c r="C23" s="44" t="s">
        <v>44</v>
      </c>
      <c r="D23" s="52">
        <v>0.05892547660311957</v>
      </c>
      <c r="E23" s="52">
        <f t="shared" si="1"/>
        <v>0.3101323381</v>
      </c>
      <c r="F23" s="49">
        <v>15544.0</v>
      </c>
      <c r="G23" s="50">
        <v>19632.54</v>
      </c>
      <c r="H23" s="51">
        <f t="shared" si="2"/>
        <v>4088.54</v>
      </c>
      <c r="J23" s="44">
        <v>14.0</v>
      </c>
      <c r="K23" s="44" t="s">
        <v>44</v>
      </c>
      <c r="L23" s="52">
        <v>0.08</v>
      </c>
      <c r="M23" s="52">
        <f t="shared" si="3"/>
        <v>0.3519259282</v>
      </c>
      <c r="N23" s="54">
        <v>20277.53</v>
      </c>
      <c r="O23" s="59">
        <f>26202.25-1941</f>
        <v>24261.25</v>
      </c>
      <c r="P23" s="51">
        <f t="shared" si="4"/>
        <v>3983.72</v>
      </c>
      <c r="R23" s="1" t="s">
        <v>12</v>
      </c>
      <c r="S23" s="13">
        <v>6007.3</v>
      </c>
      <c r="T23" s="13">
        <v>5369.05</v>
      </c>
      <c r="W23" s="74"/>
      <c r="X23" s="2"/>
      <c r="Y23" s="2"/>
      <c r="Z23" s="77"/>
      <c r="AF23" s="58">
        <v>2.0</v>
      </c>
      <c r="AG23" s="57" t="s">
        <v>15</v>
      </c>
      <c r="AH23" s="63">
        <f>3574.65</f>
        <v>3574.65</v>
      </c>
      <c r="AI23" s="58">
        <v>2.0</v>
      </c>
      <c r="AJ23" s="57" t="s">
        <v>15</v>
      </c>
      <c r="AK23" s="63">
        <f>3011.13+1589.65-354</f>
        <v>4246.78</v>
      </c>
    </row>
    <row r="24" ht="15.75" customHeight="1">
      <c r="B24" s="44">
        <v>15.0</v>
      </c>
      <c r="C24" s="44" t="s">
        <v>45</v>
      </c>
      <c r="D24" s="52">
        <v>0.12305025996533793</v>
      </c>
      <c r="E24" s="52">
        <f t="shared" si="1"/>
        <v>0.07139703414</v>
      </c>
      <c r="F24" s="49">
        <v>2839.0</v>
      </c>
      <c r="G24" s="55">
        <v>4519.7</v>
      </c>
      <c r="H24" s="51">
        <f t="shared" si="2"/>
        <v>1680.7</v>
      </c>
      <c r="J24" s="44">
        <v>15.0</v>
      </c>
      <c r="K24" s="44" t="s">
        <v>45</v>
      </c>
      <c r="L24" s="52">
        <v>0.14942528735632182</v>
      </c>
      <c r="M24" s="52">
        <f t="shared" si="3"/>
        <v>0.04706295338</v>
      </c>
      <c r="N24" s="54">
        <v>2995.0</v>
      </c>
      <c r="O24" s="59">
        <f>3384.45-140</f>
        <v>3244.45</v>
      </c>
      <c r="P24" s="51">
        <f t="shared" si="4"/>
        <v>249.45</v>
      </c>
      <c r="R24" s="1" t="s">
        <v>15</v>
      </c>
      <c r="S24" s="13">
        <v>5286.75</v>
      </c>
      <c r="T24" s="13">
        <v>6891.03</v>
      </c>
      <c r="W24" s="74" t="s">
        <v>58</v>
      </c>
      <c r="X24" s="75">
        <f>SUM(G10:G16)</f>
        <v>63839.76</v>
      </c>
      <c r="Y24" s="2"/>
      <c r="Z24" s="76">
        <v>61171.3</v>
      </c>
      <c r="AG24" s="57" t="s">
        <v>15</v>
      </c>
      <c r="AH24" s="55">
        <v>4955.18</v>
      </c>
      <c r="AJ24" s="57" t="s">
        <v>15</v>
      </c>
      <c r="AK24" s="55">
        <v>5289.67</v>
      </c>
    </row>
    <row r="25" ht="15.75" customHeight="1">
      <c r="B25" s="44">
        <v>16.0</v>
      </c>
      <c r="C25" s="44" t="s">
        <v>46</v>
      </c>
      <c r="D25" s="52">
        <v>0.31715771230502593</v>
      </c>
      <c r="E25" s="52">
        <f t="shared" si="1"/>
        <v>0.06474813893</v>
      </c>
      <c r="F25" s="49">
        <v>3518.0</v>
      </c>
      <c r="G25" s="55">
        <v>4098.8</v>
      </c>
      <c r="H25" s="51">
        <f t="shared" si="2"/>
        <v>580.8</v>
      </c>
      <c r="J25" s="44">
        <v>16.0</v>
      </c>
      <c r="K25" s="44" t="s">
        <v>46</v>
      </c>
      <c r="L25" s="52">
        <v>0.2512315270935961</v>
      </c>
      <c r="M25" s="52">
        <f t="shared" si="3"/>
        <v>0.1129106173</v>
      </c>
      <c r="N25" s="54">
        <v>5997.0</v>
      </c>
      <c r="O25" s="59">
        <f>3563.69+4565.2-345</f>
        <v>7783.89</v>
      </c>
      <c r="P25" s="51">
        <f t="shared" si="4"/>
        <v>1786.89</v>
      </c>
      <c r="R25" s="1" t="s">
        <v>17</v>
      </c>
      <c r="S25" s="13">
        <v>11849.4</v>
      </c>
      <c r="T25" s="13">
        <v>9259.34</v>
      </c>
      <c r="W25" s="74"/>
      <c r="X25" s="79">
        <f>X24/X22</f>
        <v>0.2409047547</v>
      </c>
      <c r="Y25" s="2"/>
      <c r="Z25" s="80">
        <f>Z24/X22</f>
        <v>0.2308350943</v>
      </c>
      <c r="AG25" s="57" t="s">
        <v>24</v>
      </c>
      <c r="AH25" s="55">
        <v>4955.18</v>
      </c>
      <c r="AJ25" s="57" t="s">
        <v>24</v>
      </c>
      <c r="AK25" s="55">
        <v>5289.67</v>
      </c>
    </row>
    <row r="26" ht="15.75" customHeight="1">
      <c r="B26" s="44">
        <v>17.0</v>
      </c>
      <c r="C26" s="44" t="s">
        <v>40</v>
      </c>
      <c r="D26" s="52">
        <v>0.27902946273830154</v>
      </c>
      <c r="E26" s="52">
        <f t="shared" si="1"/>
        <v>0.07837213435</v>
      </c>
      <c r="F26" s="49">
        <v>4643.0</v>
      </c>
      <c r="G26" s="55">
        <v>4961.25</v>
      </c>
      <c r="H26" s="51">
        <f t="shared" si="2"/>
        <v>318.25</v>
      </c>
      <c r="J26" s="44">
        <v>17.0</v>
      </c>
      <c r="K26" s="44" t="s">
        <v>40</v>
      </c>
      <c r="L26" s="52">
        <v>0.3382594417077176</v>
      </c>
      <c r="M26" s="52">
        <f t="shared" si="3"/>
        <v>0.0759830726</v>
      </c>
      <c r="N26" s="54">
        <v>5369.0</v>
      </c>
      <c r="O26" s="55">
        <f>1856.44+3581.72-200</f>
        <v>5238.16</v>
      </c>
      <c r="P26" s="51">
        <f t="shared" si="4"/>
        <v>-130.84</v>
      </c>
      <c r="R26" s="1" t="s">
        <v>19</v>
      </c>
      <c r="S26" s="13">
        <v>21846.9</v>
      </c>
      <c r="T26" s="13">
        <v>13377.62</v>
      </c>
      <c r="W26" s="74"/>
      <c r="X26" s="81"/>
      <c r="Y26" s="2"/>
      <c r="Z26" s="77"/>
      <c r="AG26" s="57" t="s">
        <v>24</v>
      </c>
      <c r="AH26" s="55">
        <v>4955.18</v>
      </c>
      <c r="AJ26" s="57" t="s">
        <v>24</v>
      </c>
      <c r="AK26" s="55">
        <v>5289.67</v>
      </c>
    </row>
    <row r="27" ht="15.75" customHeight="1">
      <c r="B27" s="44">
        <v>18.0</v>
      </c>
      <c r="C27" s="44" t="s">
        <v>47</v>
      </c>
      <c r="D27" s="52">
        <v>0.05545927209705372</v>
      </c>
      <c r="E27" s="52">
        <f t="shared" si="1"/>
        <v>0.07378709792</v>
      </c>
      <c r="F27" s="49">
        <v>6310.0</v>
      </c>
      <c r="G27" s="55">
        <v>4671.0</v>
      </c>
      <c r="H27" s="51">
        <f t="shared" si="2"/>
        <v>-1639</v>
      </c>
      <c r="J27" s="44">
        <v>18.0</v>
      </c>
      <c r="K27" s="44" t="s">
        <v>47</v>
      </c>
      <c r="L27" s="52">
        <v>0.05582922824302135</v>
      </c>
      <c r="M27" s="52">
        <f t="shared" si="3"/>
        <v>0.05726697396</v>
      </c>
      <c r="N27" s="54">
        <v>9375.0</v>
      </c>
      <c r="O27" s="55">
        <f>2661.42+1522.47-235.99</f>
        <v>3947.9</v>
      </c>
      <c r="P27" s="51">
        <f t="shared" si="4"/>
        <v>-5427.1</v>
      </c>
      <c r="R27" s="1" t="s">
        <v>20</v>
      </c>
      <c r="S27" s="13">
        <v>19651.86</v>
      </c>
      <c r="T27" s="13">
        <v>24261.25</v>
      </c>
      <c r="W27" s="74" t="s">
        <v>62</v>
      </c>
      <c r="X27" s="75">
        <f>SUM(G17:G23)</f>
        <v>69953.55</v>
      </c>
      <c r="Y27" s="2"/>
      <c r="Z27" s="76">
        <v>62701.99</v>
      </c>
      <c r="AF27" s="58">
        <v>30.0</v>
      </c>
      <c r="AG27" s="57" t="s">
        <v>24</v>
      </c>
      <c r="AH27" s="60">
        <v>7493.72</v>
      </c>
      <c r="AI27" s="64">
        <v>0.5123</v>
      </c>
      <c r="AJ27" s="57" t="s">
        <v>24</v>
      </c>
      <c r="AK27" s="60">
        <v>8463.47</v>
      </c>
      <c r="AL27" s="66">
        <v>0.6</v>
      </c>
    </row>
    <row r="28" ht="15.75" customHeight="1">
      <c r="B28" s="44">
        <v>19.0</v>
      </c>
      <c r="C28" s="44" t="s">
        <v>48</v>
      </c>
      <c r="D28" s="52">
        <v>0.06932409012131714</v>
      </c>
      <c r="E28" s="52">
        <f t="shared" si="1"/>
        <v>0.1871832237</v>
      </c>
      <c r="F28" s="49">
        <v>10738.0</v>
      </c>
      <c r="G28" s="55">
        <f>11849.4</f>
        <v>11849.4</v>
      </c>
      <c r="H28" s="51">
        <f t="shared" si="2"/>
        <v>1111.4</v>
      </c>
      <c r="J28" s="44">
        <v>19.0</v>
      </c>
      <c r="K28" s="44" t="s">
        <v>48</v>
      </c>
      <c r="L28" s="52">
        <v>0.07060755336617405</v>
      </c>
      <c r="M28" s="52">
        <f t="shared" si="3"/>
        <v>0.121513791</v>
      </c>
      <c r="N28" s="54">
        <v>9259.34</v>
      </c>
      <c r="O28" s="55">
        <f>8868.98-492</f>
        <v>8376.98</v>
      </c>
      <c r="P28" s="51">
        <f t="shared" si="4"/>
        <v>-882.36</v>
      </c>
      <c r="W28" s="74"/>
      <c r="X28" s="79">
        <f>X27/X22</f>
        <v>0.2639756604</v>
      </c>
      <c r="Y28" s="2"/>
      <c r="Z28" s="80">
        <f>Z27/X22</f>
        <v>0.236611283</v>
      </c>
      <c r="AG28" s="57" t="s">
        <v>17</v>
      </c>
      <c r="AH28" s="55">
        <v>11059.26</v>
      </c>
      <c r="AJ28" s="57" t="s">
        <v>17</v>
      </c>
      <c r="AK28" s="55">
        <v>8919.54</v>
      </c>
    </row>
    <row r="29" ht="15.75" customHeight="1">
      <c r="B29" s="44">
        <v>20.0</v>
      </c>
      <c r="C29" s="44" t="s">
        <v>41</v>
      </c>
      <c r="D29" s="52">
        <v>0.09705372616984399</v>
      </c>
      <c r="E29" s="52">
        <f t="shared" si="1"/>
        <v>0.2989728097</v>
      </c>
      <c r="F29" s="49">
        <v>15583.0</v>
      </c>
      <c r="G29" s="55">
        <v>18926.1</v>
      </c>
      <c r="H29" s="51">
        <f t="shared" si="2"/>
        <v>3343.1</v>
      </c>
      <c r="J29" s="44">
        <v>20.0</v>
      </c>
      <c r="K29" s="44" t="s">
        <v>41</v>
      </c>
      <c r="L29" s="52">
        <v>0.05911330049261084</v>
      </c>
      <c r="M29" s="52">
        <f t="shared" si="3"/>
        <v>0.1881449067</v>
      </c>
      <c r="N29" s="54">
        <v>10382.0</v>
      </c>
      <c r="O29" s="55">
        <f>13575.43-605</f>
        <v>12970.43</v>
      </c>
      <c r="P29" s="51">
        <f t="shared" si="4"/>
        <v>2588.43</v>
      </c>
      <c r="W29" s="74"/>
      <c r="X29" s="81"/>
      <c r="Y29" s="2"/>
      <c r="Z29" s="77"/>
      <c r="AG29" s="57" t="s">
        <v>17</v>
      </c>
      <c r="AH29" s="55">
        <v>11059.26</v>
      </c>
      <c r="AJ29" s="57" t="s">
        <v>17</v>
      </c>
      <c r="AK29" s="55">
        <v>8919.54</v>
      </c>
    </row>
    <row r="30" ht="15.75" customHeight="1">
      <c r="B30" s="44">
        <v>21.0</v>
      </c>
      <c r="C30" s="44" t="s">
        <v>44</v>
      </c>
      <c r="D30" s="52">
        <v>0.05892547660311957</v>
      </c>
      <c r="E30" s="52">
        <f t="shared" si="1"/>
        <v>0.1726438007</v>
      </c>
      <c r="F30" s="49">
        <v>15544.0</v>
      </c>
      <c r="G30" s="55">
        <v>10929.0</v>
      </c>
      <c r="H30" s="51">
        <f t="shared" si="2"/>
        <v>-4615</v>
      </c>
      <c r="J30" s="44">
        <v>21.0</v>
      </c>
      <c r="K30" s="44" t="s">
        <v>44</v>
      </c>
      <c r="L30" s="52">
        <v>0.08</v>
      </c>
      <c r="M30" s="52">
        <f t="shared" si="3"/>
        <v>0.2872932601</v>
      </c>
      <c r="N30" s="54">
        <v>20277.53</v>
      </c>
      <c r="O30" s="55">
        <f>21411.57-1606</f>
        <v>19805.57</v>
      </c>
      <c r="P30" s="51">
        <f t="shared" si="4"/>
        <v>-471.96</v>
      </c>
      <c r="W30" s="74" t="s">
        <v>63</v>
      </c>
      <c r="X30" s="75">
        <f>SUM(G24:G30)</f>
        <v>59955.25</v>
      </c>
      <c r="Y30" s="2"/>
      <c r="Z30" s="76">
        <f>SUM(O24:O30)</f>
        <v>61367.38</v>
      </c>
      <c r="AG30" s="57" t="s">
        <v>26</v>
      </c>
      <c r="AH30" s="55">
        <v>11059.26</v>
      </c>
      <c r="AJ30" s="57" t="s">
        <v>26</v>
      </c>
      <c r="AK30" s="55">
        <v>8919.54</v>
      </c>
    </row>
    <row r="31" ht="15.75" customHeight="1">
      <c r="B31" s="44">
        <v>22.0</v>
      </c>
      <c r="C31" s="44" t="s">
        <v>45</v>
      </c>
      <c r="D31" s="52">
        <v>0.12305025996533793</v>
      </c>
      <c r="E31" s="52">
        <f t="shared" si="1"/>
        <v>0.08020630689</v>
      </c>
      <c r="F31" s="49">
        <v>3000.0</v>
      </c>
      <c r="G31" s="55">
        <v>5077.36</v>
      </c>
      <c r="H31" s="51">
        <f t="shared" si="2"/>
        <v>2077.36</v>
      </c>
      <c r="J31" s="44">
        <v>22.0</v>
      </c>
      <c r="K31" s="44" t="s">
        <v>45</v>
      </c>
      <c r="L31" s="52">
        <v>0.14942528735632182</v>
      </c>
      <c r="M31" s="52">
        <f t="shared" si="3"/>
        <v>0.04498124325</v>
      </c>
      <c r="N31" s="54">
        <v>3089.44</v>
      </c>
      <c r="O31" s="55">
        <v>3100.94</v>
      </c>
      <c r="P31" s="51">
        <f t="shared" si="4"/>
        <v>11.5</v>
      </c>
      <c r="W31" s="74"/>
      <c r="X31" s="79">
        <f>X30/X22</f>
        <v>0.2262462264</v>
      </c>
      <c r="Y31" s="2"/>
      <c r="Z31" s="80">
        <f>Z30/Z22</f>
        <v>0.2315750189</v>
      </c>
      <c r="AG31" s="57" t="s">
        <v>26</v>
      </c>
      <c r="AH31" s="55">
        <v>11059.26</v>
      </c>
      <c r="AJ31" s="57" t="s">
        <v>26</v>
      </c>
      <c r="AK31" s="55">
        <v>8919.54</v>
      </c>
    </row>
    <row r="32" ht="15.75" customHeight="1">
      <c r="B32" s="44">
        <v>23.0</v>
      </c>
      <c r="C32" s="44" t="s">
        <v>46</v>
      </c>
      <c r="D32" s="52">
        <v>0.31715771230502593</v>
      </c>
      <c r="E32" s="52">
        <f t="shared" si="1"/>
        <v>0.06789171258</v>
      </c>
      <c r="F32" s="49">
        <v>3000.0</v>
      </c>
      <c r="G32" s="55">
        <v>4297.8</v>
      </c>
      <c r="H32" s="51">
        <f t="shared" si="2"/>
        <v>1297.8</v>
      </c>
      <c r="J32" s="44">
        <v>23.0</v>
      </c>
      <c r="K32" s="44" t="s">
        <v>46</v>
      </c>
      <c r="L32" s="52">
        <v>0.2512315270935961</v>
      </c>
      <c r="M32" s="52">
        <f t="shared" si="3"/>
        <v>0.07343210372</v>
      </c>
      <c r="N32" s="54">
        <v>7500.0</v>
      </c>
      <c r="O32" s="55">
        <f>2719.14+2583.16-240</f>
        <v>5062.3</v>
      </c>
      <c r="P32" s="51">
        <f t="shared" si="4"/>
        <v>-2437.7</v>
      </c>
      <c r="W32" s="74"/>
      <c r="Z32" s="82"/>
      <c r="AG32" s="57" t="s">
        <v>26</v>
      </c>
      <c r="AH32" s="55">
        <v>11059.26</v>
      </c>
      <c r="AJ32" s="57" t="s">
        <v>26</v>
      </c>
      <c r="AK32" s="55">
        <v>8919.54</v>
      </c>
    </row>
    <row r="33" ht="15.75" customHeight="1">
      <c r="B33" s="44">
        <v>24.0</v>
      </c>
      <c r="C33" s="44" t="s">
        <v>40</v>
      </c>
      <c r="D33" s="52">
        <v>0.27902946273830154</v>
      </c>
      <c r="E33" s="52">
        <f t="shared" si="1"/>
        <v>0.05654925656</v>
      </c>
      <c r="F33" s="49">
        <v>5000.0</v>
      </c>
      <c r="G33" s="55">
        <f>3579.78</f>
        <v>3579.78</v>
      </c>
      <c r="H33" s="51">
        <f t="shared" si="2"/>
        <v>-1420.22</v>
      </c>
      <c r="J33" s="44">
        <v>24.0</v>
      </c>
      <c r="K33" s="44" t="s">
        <v>40</v>
      </c>
      <c r="L33" s="52">
        <v>0.3382594417077176</v>
      </c>
      <c r="M33" s="52">
        <f t="shared" si="3"/>
        <v>0.05292440854</v>
      </c>
      <c r="N33" s="54">
        <v>5300.0</v>
      </c>
      <c r="O33" s="55">
        <f>3937.53-289</f>
        <v>3648.53</v>
      </c>
      <c r="P33" s="51">
        <f t="shared" si="4"/>
        <v>-1651.47</v>
      </c>
      <c r="W33" s="74" t="s">
        <v>64</v>
      </c>
      <c r="X33" s="61">
        <f>SUM(G31:G37)</f>
        <v>68034.34</v>
      </c>
      <c r="Z33" s="83">
        <f>SUM(O31:O37)</f>
        <v>60888.04</v>
      </c>
      <c r="AG33" s="57" t="s">
        <v>27</v>
      </c>
      <c r="AH33" s="55">
        <v>19743.86</v>
      </c>
      <c r="AJ33" s="57" t="s">
        <v>27</v>
      </c>
      <c r="AK33" s="55">
        <v>12517.35</v>
      </c>
    </row>
    <row r="34" ht="15.75" customHeight="1">
      <c r="B34" s="44">
        <v>25.0</v>
      </c>
      <c r="C34" s="44" t="s">
        <v>47</v>
      </c>
      <c r="D34" s="52">
        <v>0.05545927209705372</v>
      </c>
      <c r="E34" s="52">
        <f t="shared" si="1"/>
        <v>0.07752779259</v>
      </c>
      <c r="F34" s="49">
        <v>5500.0</v>
      </c>
      <c r="G34" s="55">
        <v>4907.8</v>
      </c>
      <c r="H34" s="51">
        <f t="shared" si="2"/>
        <v>-592.2</v>
      </c>
      <c r="J34" s="44">
        <v>25.0</v>
      </c>
      <c r="K34" s="44" t="s">
        <v>47</v>
      </c>
      <c r="L34" s="52">
        <v>0.05582922824302135</v>
      </c>
      <c r="M34" s="52">
        <f t="shared" si="3"/>
        <v>0.08347119471</v>
      </c>
      <c r="N34" s="54">
        <v>6700.0</v>
      </c>
      <c r="O34" s="55">
        <f>3051.32+3200.06-497</f>
        <v>5754.38</v>
      </c>
      <c r="P34" s="51">
        <f t="shared" si="4"/>
        <v>-945.62</v>
      </c>
      <c r="W34" s="74"/>
      <c r="X34" s="79">
        <f>X33/X22</f>
        <v>0.2567333585</v>
      </c>
      <c r="Y34" s="2"/>
      <c r="Z34" s="80">
        <f>Z33/Z22</f>
        <v>0.2297661887</v>
      </c>
      <c r="AG34" s="57" t="s">
        <v>27</v>
      </c>
      <c r="AH34" s="55">
        <v>19743.86</v>
      </c>
      <c r="AJ34" s="57" t="s">
        <v>27</v>
      </c>
      <c r="AK34" s="55">
        <v>12517.35</v>
      </c>
    </row>
    <row r="35" ht="15.75" customHeight="1">
      <c r="B35" s="44">
        <v>26.0</v>
      </c>
      <c r="C35" s="44" t="s">
        <v>48</v>
      </c>
      <c r="D35" s="52">
        <v>0.06932409012131714</v>
      </c>
      <c r="E35" s="52">
        <f t="shared" si="1"/>
        <v>0.1783053927</v>
      </c>
      <c r="F35" s="49">
        <v>10500.0</v>
      </c>
      <c r="G35" s="55">
        <f>11417.4-130</f>
        <v>11287.4</v>
      </c>
      <c r="H35" s="51">
        <f t="shared" si="2"/>
        <v>787.4</v>
      </c>
      <c r="J35" s="44">
        <v>26.0</v>
      </c>
      <c r="K35" s="44" t="s">
        <v>48</v>
      </c>
      <c r="L35" s="52">
        <v>0.07060755336617405</v>
      </c>
      <c r="M35" s="52">
        <f t="shared" si="3"/>
        <v>0.1341895794</v>
      </c>
      <c r="N35" s="54">
        <v>10500.0</v>
      </c>
      <c r="O35" s="55">
        <f>9955.83-705</f>
        <v>9250.83</v>
      </c>
      <c r="P35" s="51">
        <f t="shared" si="4"/>
        <v>-1249.17</v>
      </c>
      <c r="W35" s="74"/>
      <c r="Z35" s="82"/>
      <c r="AG35" s="57" t="s">
        <v>27</v>
      </c>
      <c r="AH35" s="55">
        <v>19743.86</v>
      </c>
      <c r="AJ35" s="57" t="s">
        <v>27</v>
      </c>
      <c r="AK35" s="55">
        <v>12517.35</v>
      </c>
    </row>
    <row r="36" ht="15.75" customHeight="1">
      <c r="B36" s="44">
        <v>27.0</v>
      </c>
      <c r="C36" s="44" t="s">
        <v>41</v>
      </c>
      <c r="D36" s="52">
        <v>0.09705372616984399</v>
      </c>
      <c r="E36" s="52">
        <f t="shared" si="1"/>
        <v>0.3129230101</v>
      </c>
      <c r="F36" s="49">
        <v>20000.0</v>
      </c>
      <c r="G36" s="55">
        <v>19809.2</v>
      </c>
      <c r="H36" s="51">
        <f t="shared" si="2"/>
        <v>-190.8</v>
      </c>
      <c r="J36" s="44">
        <v>27.0</v>
      </c>
      <c r="K36" s="44" t="s">
        <v>41</v>
      </c>
      <c r="L36" s="52">
        <v>0.05911330049261084</v>
      </c>
      <c r="M36" s="52">
        <f t="shared" si="3"/>
        <v>0.1940514745</v>
      </c>
      <c r="N36" s="54">
        <v>15000.0</v>
      </c>
      <c r="O36" s="55">
        <f>14510.62-1133</f>
        <v>13377.62</v>
      </c>
      <c r="P36" s="51">
        <f t="shared" si="4"/>
        <v>-1622.38</v>
      </c>
      <c r="W36" s="74" t="s">
        <v>67</v>
      </c>
      <c r="X36" s="75">
        <f>SUM(G38:G39)</f>
        <v>10112.88</v>
      </c>
      <c r="Z36" s="76">
        <f>SUM(O38:O39)</f>
        <v>13399.8</v>
      </c>
      <c r="AA36" s="58" t="s">
        <v>68</v>
      </c>
      <c r="AB36" s="58">
        <f>12820.05+231.5</f>
        <v>13051.55</v>
      </c>
      <c r="AC36" s="58">
        <f>3574.65</f>
        <v>3574.65</v>
      </c>
      <c r="AG36" s="57" t="s">
        <v>27</v>
      </c>
      <c r="AH36" s="55">
        <v>19743.86</v>
      </c>
      <c r="AJ36" s="57" t="s">
        <v>27</v>
      </c>
      <c r="AK36" s="55">
        <v>12517.35</v>
      </c>
    </row>
    <row r="37" ht="15.75" customHeight="1">
      <c r="B37" s="44">
        <v>28.0</v>
      </c>
      <c r="C37" s="44" t="s">
        <v>44</v>
      </c>
      <c r="D37" s="52">
        <v>0.05892547660311957</v>
      </c>
      <c r="E37" s="52">
        <f t="shared" si="1"/>
        <v>0.301324961</v>
      </c>
      <c r="F37" s="49">
        <v>19000.0</v>
      </c>
      <c r="G37" s="55">
        <v>19075.0</v>
      </c>
      <c r="H37" s="51">
        <f t="shared" si="2"/>
        <v>75</v>
      </c>
      <c r="J37" s="44">
        <v>28.0</v>
      </c>
      <c r="K37" s="44" t="s">
        <v>44</v>
      </c>
      <c r="L37" s="52">
        <v>0.08</v>
      </c>
      <c r="M37" s="52">
        <f t="shared" si="3"/>
        <v>0.3001724181</v>
      </c>
      <c r="N37" s="54">
        <v>24500.0</v>
      </c>
      <c r="O37" s="55">
        <f>22353.44-1660</f>
        <v>20693.44</v>
      </c>
      <c r="P37" s="51">
        <f t="shared" si="4"/>
        <v>-3806.56</v>
      </c>
      <c r="W37" s="84" t="s">
        <v>69</v>
      </c>
      <c r="X37" s="85">
        <f>X36/X22</f>
        <v>0.03816181132</v>
      </c>
      <c r="Y37" s="86"/>
      <c r="Z37" s="87">
        <f>Z36/Z22</f>
        <v>0.05056528302</v>
      </c>
      <c r="AA37" s="58" t="s">
        <v>71</v>
      </c>
      <c r="AB37" s="58">
        <f>7315.08+6164.53-1076</f>
        <v>12403.61</v>
      </c>
      <c r="AC37" s="58">
        <f>3011.13+1589.65-354</f>
        <v>4246.78</v>
      </c>
      <c r="AG37" s="57" t="s">
        <v>20</v>
      </c>
      <c r="AH37" s="55">
        <v>19453.13</v>
      </c>
      <c r="AJ37" s="57" t="s">
        <v>20</v>
      </c>
      <c r="AK37" s="55">
        <v>21259.45</v>
      </c>
    </row>
    <row r="38" ht="15.75" customHeight="1">
      <c r="B38" s="44">
        <v>29.0</v>
      </c>
      <c r="C38" s="44" t="s">
        <v>45</v>
      </c>
      <c r="D38" s="52">
        <v>0.12305025996533793</v>
      </c>
      <c r="E38" s="52">
        <f t="shared" si="1"/>
        <v>0.07008589539</v>
      </c>
      <c r="F38" s="91">
        <v>3000.0</v>
      </c>
      <c r="G38" s="55">
        <v>4436.7</v>
      </c>
      <c r="H38" s="51">
        <f t="shared" si="2"/>
        <v>1436.7</v>
      </c>
      <c r="J38" s="44">
        <v>29.0</v>
      </c>
      <c r="K38" s="44" t="s">
        <v>45</v>
      </c>
      <c r="L38" s="52">
        <v>0.14942528735632182</v>
      </c>
      <c r="M38" s="52">
        <f t="shared" si="3"/>
        <v>0.04350006827</v>
      </c>
      <c r="N38" s="54">
        <v>4000.0</v>
      </c>
      <c r="O38" s="55">
        <f>3298.83-300</f>
        <v>2998.83</v>
      </c>
      <c r="P38" s="51">
        <f t="shared" si="4"/>
        <v>-1001.17</v>
      </c>
      <c r="AG38" s="57" t="s">
        <v>20</v>
      </c>
      <c r="AH38" s="55">
        <v>19453.13</v>
      </c>
      <c r="AJ38" s="57" t="s">
        <v>20</v>
      </c>
      <c r="AK38" s="55">
        <v>21259.45</v>
      </c>
    </row>
    <row r="39" ht="15.75" customHeight="1">
      <c r="B39" s="44">
        <v>30.0</v>
      </c>
      <c r="C39" s="44" t="s">
        <v>46</v>
      </c>
      <c r="D39" s="52">
        <v>0.31715771230502593</v>
      </c>
      <c r="E39" s="52">
        <f t="shared" si="1"/>
        <v>0.08966577809</v>
      </c>
      <c r="F39" s="91">
        <v>3000.0</v>
      </c>
      <c r="G39" s="55">
        <v>5676.18</v>
      </c>
      <c r="H39" s="51">
        <f t="shared" si="2"/>
        <v>2676.18</v>
      </c>
      <c r="J39" s="44">
        <v>30.0</v>
      </c>
      <c r="K39" s="44" t="s">
        <v>46</v>
      </c>
      <c r="L39" s="52">
        <v>0.2512315270935961</v>
      </c>
      <c r="M39" s="52">
        <f t="shared" si="3"/>
        <v>0.1508731422</v>
      </c>
      <c r="N39" s="54">
        <v>8200.0</v>
      </c>
      <c r="O39" s="55">
        <f>11067.97-667</f>
        <v>10400.97</v>
      </c>
      <c r="P39" s="51">
        <f t="shared" si="4"/>
        <v>2200.97</v>
      </c>
      <c r="W39" s="93" t="s">
        <v>73</v>
      </c>
      <c r="X39" s="94">
        <f>X24+X27+X30+X33+X36</f>
        <v>271895.78</v>
      </c>
      <c r="Y39" s="95" t="s">
        <v>74</v>
      </c>
      <c r="Z39" s="96">
        <f>Z24+Z27+Z30+Z33</f>
        <v>246128.71</v>
      </c>
      <c r="AG39" s="57" t="s">
        <v>20</v>
      </c>
      <c r="AH39" s="55">
        <v>19453.13</v>
      </c>
      <c r="AJ39" s="57" t="s">
        <v>20</v>
      </c>
      <c r="AK39" s="55">
        <v>21259.45</v>
      </c>
    </row>
    <row r="40" ht="15.75" customHeight="1">
      <c r="B40" s="44"/>
      <c r="C40" s="44"/>
      <c r="D40" s="52"/>
      <c r="E40" s="52"/>
      <c r="F40" s="91"/>
      <c r="G40" s="55"/>
      <c r="H40" s="51"/>
      <c r="J40" s="44"/>
      <c r="K40" s="44"/>
      <c r="L40" s="52"/>
      <c r="M40" s="52"/>
      <c r="N40" s="54"/>
      <c r="O40" s="55"/>
      <c r="P40" s="56">
        <f t="shared" si="4"/>
        <v>0</v>
      </c>
      <c r="W40" s="98"/>
      <c r="X40" s="99">
        <f>X39/X22</f>
        <v>1.026021811</v>
      </c>
      <c r="Y40" s="64">
        <f>28/30</f>
        <v>0.9333333333</v>
      </c>
      <c r="Z40" s="100">
        <f>Z39/Z22</f>
        <v>0.9287875849</v>
      </c>
      <c r="AG40" s="57" t="s">
        <v>20</v>
      </c>
      <c r="AH40" s="55">
        <v>19453.13</v>
      </c>
      <c r="AJ40" s="57" t="s">
        <v>20</v>
      </c>
      <c r="AK40" s="55">
        <v>21259.45</v>
      </c>
    </row>
    <row r="41" ht="15.75" customHeight="1">
      <c r="B41" s="8"/>
      <c r="C41" s="8"/>
      <c r="D41" s="101" t="s">
        <v>75</v>
      </c>
      <c r="E41" s="18"/>
      <c r="F41" s="102">
        <f t="shared" ref="F41:H41" si="5">SUM(F10:F40)</f>
        <v>253215</v>
      </c>
      <c r="G41" s="103">
        <f t="shared" si="5"/>
        <v>271895.78</v>
      </c>
      <c r="H41" s="105">
        <f t="shared" si="5"/>
        <v>18680.78</v>
      </c>
      <c r="J41" s="8"/>
      <c r="K41" s="8"/>
      <c r="L41" s="101" t="s">
        <v>75</v>
      </c>
      <c r="M41" s="18"/>
      <c r="N41" s="102">
        <f t="shared" ref="N41:P41" si="6">SUM(N10:N40)</f>
        <v>275754.05</v>
      </c>
      <c r="O41" s="108">
        <f t="shared" si="6"/>
        <v>259529.5</v>
      </c>
      <c r="P41" s="105">
        <f t="shared" si="6"/>
        <v>-16224.55</v>
      </c>
      <c r="Q41" s="61"/>
      <c r="W41" s="98" t="s">
        <v>76</v>
      </c>
      <c r="X41" s="104">
        <f>X22-X39</f>
        <v>-6895.78</v>
      </c>
      <c r="Y41" s="99"/>
      <c r="Z41" s="106">
        <f>Z22-Z39</f>
        <v>18871.29</v>
      </c>
      <c r="AH41" s="111">
        <f>SUM(AH10:AH40)</f>
        <v>302131.88</v>
      </c>
      <c r="AK41" s="111">
        <f>SUM(AK10:AK40)</f>
        <v>279712.85</v>
      </c>
    </row>
    <row r="42" ht="15.75" customHeight="1">
      <c r="B42" s="8"/>
      <c r="C42" s="55">
        <v>5077.36</v>
      </c>
      <c r="D42" s="8"/>
      <c r="E42" s="8"/>
      <c r="F42" s="1"/>
      <c r="G42" s="114">
        <f>G41/C45</f>
        <v>1.026021811</v>
      </c>
      <c r="H42" s="1"/>
      <c r="L42" s="2"/>
      <c r="M42" s="2"/>
      <c r="O42" s="64">
        <f>O41/K45</f>
        <v>0.9793566038</v>
      </c>
      <c r="W42" s="110"/>
      <c r="X42" s="112">
        <f>X41/X22</f>
        <v>-0.02602181132</v>
      </c>
      <c r="Y42" s="112"/>
      <c r="Z42" s="113">
        <f>Z41/Z22</f>
        <v>0.07121241509</v>
      </c>
    </row>
    <row r="43" ht="15.75" customHeight="1">
      <c r="B43" s="2"/>
      <c r="C43" s="2"/>
      <c r="D43" s="2"/>
      <c r="E43" s="2"/>
      <c r="L43" s="2"/>
      <c r="M43" s="2"/>
    </row>
    <row r="44" ht="15.75" customHeight="1">
      <c r="B44" s="2"/>
      <c r="C44" s="2"/>
      <c r="D44" s="2"/>
      <c r="E44" s="2"/>
      <c r="L44" s="2"/>
      <c r="M44" s="2"/>
      <c r="N44" s="115" t="s">
        <v>77</v>
      </c>
      <c r="O44" s="118">
        <f>N41+P41</f>
        <v>259529.5</v>
      </c>
      <c r="T44" s="121">
        <f>O41-259529.5</f>
        <v>0</v>
      </c>
      <c r="AG44" s="125" t="s">
        <v>29</v>
      </c>
      <c r="AH44" s="128" t="s">
        <v>79</v>
      </c>
      <c r="AI44" s="125"/>
      <c r="AJ44" s="125"/>
      <c r="AK44" s="128" t="s">
        <v>80</v>
      </c>
    </row>
    <row r="45" ht="15.75" customHeight="1">
      <c r="B45" s="122" t="s">
        <v>29</v>
      </c>
      <c r="C45" s="129">
        <v>265000.0</v>
      </c>
      <c r="D45" s="2"/>
      <c r="E45" s="2"/>
      <c r="J45" s="130" t="s">
        <v>29</v>
      </c>
      <c r="K45" s="129">
        <v>265000.0</v>
      </c>
      <c r="L45" s="2"/>
      <c r="M45" s="2"/>
    </row>
    <row r="46" ht="15.75" customHeight="1">
      <c r="B46" s="2"/>
      <c r="C46" s="2"/>
      <c r="D46" s="2"/>
      <c r="E46" s="2"/>
      <c r="L46" s="2"/>
      <c r="M46" s="2"/>
    </row>
    <row r="47" ht="15.75" customHeight="1">
      <c r="B47" s="2"/>
      <c r="C47" s="2"/>
      <c r="D47" s="2"/>
      <c r="E47" s="2"/>
      <c r="F47" s="115" t="s">
        <v>77</v>
      </c>
      <c r="G47" s="118">
        <f>F41+H41</f>
        <v>271895.78</v>
      </c>
      <c r="L47" s="2"/>
      <c r="M47" s="2"/>
    </row>
    <row r="48" ht="15.75" customHeight="1">
      <c r="B48" s="2"/>
      <c r="C48" s="2"/>
      <c r="D48" s="2"/>
      <c r="E48" s="2"/>
      <c r="L48" s="2"/>
      <c r="M48" s="2"/>
    </row>
    <row r="49" ht="15.75" customHeight="1">
      <c r="B49" s="2"/>
      <c r="C49" s="2"/>
      <c r="D49" s="2"/>
      <c r="E49" s="2"/>
      <c r="L49" s="2"/>
      <c r="M49" s="2"/>
    </row>
    <row r="50" ht="15.75" customHeight="1">
      <c r="B50" s="2"/>
      <c r="C50" s="2"/>
      <c r="D50" s="2"/>
      <c r="E50" s="2"/>
      <c r="L50" s="2"/>
      <c r="M50" s="2"/>
    </row>
    <row r="51" ht="15.75" customHeight="1">
      <c r="B51" s="2"/>
      <c r="C51" s="2"/>
      <c r="D51" s="2"/>
      <c r="E51" s="2"/>
      <c r="L51" s="2"/>
      <c r="M51" s="2"/>
    </row>
    <row r="52" ht="15.75" customHeight="1">
      <c r="B52" s="2"/>
      <c r="C52" s="2"/>
      <c r="D52" s="2"/>
      <c r="E52" s="2"/>
      <c r="L52" s="2"/>
      <c r="M52" s="2"/>
    </row>
    <row r="53" ht="15.75" customHeight="1">
      <c r="B53" s="2"/>
      <c r="C53" s="2"/>
      <c r="D53" s="2"/>
      <c r="E53" s="2"/>
      <c r="L53" s="2"/>
      <c r="M53" s="2"/>
    </row>
    <row r="54" ht="15.75" customHeight="1">
      <c r="B54" s="2"/>
      <c r="C54" s="2"/>
      <c r="D54" s="2"/>
      <c r="E54" s="2"/>
      <c r="L54" s="2"/>
      <c r="M54" s="2"/>
    </row>
    <row r="55" ht="15.75" customHeight="1">
      <c r="B55" s="2"/>
      <c r="C55" s="2"/>
      <c r="D55" s="2"/>
      <c r="E55" s="2"/>
      <c r="L55" s="2"/>
      <c r="M55" s="2"/>
    </row>
    <row r="56" ht="15.75" customHeight="1">
      <c r="B56" s="2"/>
      <c r="C56" s="2"/>
      <c r="D56" s="2"/>
      <c r="E56" s="2"/>
      <c r="L56" s="2"/>
      <c r="M56" s="2"/>
    </row>
    <row r="57" ht="15.75" customHeight="1">
      <c r="B57" s="2"/>
      <c r="C57" s="2"/>
      <c r="D57" s="2"/>
      <c r="E57" s="2"/>
      <c r="L57" s="2"/>
      <c r="M57" s="2"/>
    </row>
    <row r="58" ht="15.75" customHeight="1">
      <c r="B58" s="2"/>
      <c r="C58" s="2"/>
      <c r="D58" s="2"/>
      <c r="E58" s="2"/>
      <c r="L58" s="2"/>
      <c r="M58" s="2"/>
    </row>
    <row r="59" ht="15.75" customHeight="1">
      <c r="B59" s="2"/>
      <c r="C59" s="2"/>
      <c r="D59" s="2"/>
      <c r="E59" s="2"/>
      <c r="L59" s="2"/>
      <c r="M59" s="2"/>
    </row>
    <row r="60" ht="15.75" customHeight="1">
      <c r="B60" s="2"/>
      <c r="C60" s="2"/>
      <c r="D60" s="2"/>
      <c r="E60" s="2"/>
      <c r="L60" s="2"/>
      <c r="M60" s="2"/>
    </row>
    <row r="61" ht="15.75" customHeight="1">
      <c r="B61" s="2"/>
      <c r="C61" s="2"/>
      <c r="D61" s="2"/>
      <c r="E61" s="2"/>
      <c r="L61" s="2"/>
      <c r="M61" s="2"/>
    </row>
    <row r="62" ht="15.75" customHeight="1">
      <c r="B62" s="2"/>
      <c r="C62" s="2"/>
      <c r="D62" s="2"/>
      <c r="E62" s="2"/>
      <c r="L62" s="2"/>
      <c r="M62" s="2"/>
    </row>
    <row r="63" ht="15.75" customHeight="1">
      <c r="B63" s="2"/>
      <c r="C63" s="2"/>
      <c r="D63" s="2"/>
      <c r="E63" s="2"/>
      <c r="L63" s="2"/>
      <c r="M63" s="2"/>
    </row>
    <row r="64" ht="15.75" customHeight="1">
      <c r="B64" s="2"/>
      <c r="C64" s="2"/>
      <c r="D64" s="2"/>
      <c r="E64" s="2"/>
      <c r="L64" s="2"/>
      <c r="M64" s="2"/>
    </row>
    <row r="65" ht="15.75" customHeight="1">
      <c r="B65" s="2"/>
      <c r="C65" s="2"/>
      <c r="D65" s="2"/>
      <c r="E65" s="2"/>
      <c r="L65" s="2"/>
      <c r="M65" s="2"/>
    </row>
    <row r="66" ht="15.75" customHeight="1">
      <c r="B66" s="2"/>
      <c r="C66" s="2"/>
      <c r="D66" s="2"/>
      <c r="E66" s="2"/>
      <c r="L66" s="2"/>
      <c r="M66" s="2"/>
    </row>
    <row r="67" ht="15.75" customHeight="1">
      <c r="B67" s="2"/>
      <c r="C67" s="2"/>
      <c r="D67" s="2"/>
      <c r="E67" s="2"/>
      <c r="L67" s="2"/>
      <c r="M67" s="2"/>
    </row>
    <row r="68" ht="15.75" customHeight="1">
      <c r="B68" s="2"/>
      <c r="C68" s="2"/>
      <c r="D68" s="2"/>
      <c r="E68" s="2"/>
      <c r="L68" s="2"/>
      <c r="M68" s="2"/>
    </row>
    <row r="69" ht="15.75" customHeight="1">
      <c r="B69" s="2"/>
      <c r="C69" s="2"/>
      <c r="D69" s="2"/>
      <c r="E69" s="2"/>
      <c r="L69" s="2"/>
      <c r="M69" s="2"/>
    </row>
    <row r="70" ht="15.75" customHeight="1">
      <c r="B70" s="2"/>
      <c r="C70" s="2"/>
      <c r="D70" s="2"/>
      <c r="E70" s="2"/>
      <c r="L70" s="2"/>
      <c r="M70" s="2"/>
    </row>
    <row r="71" ht="15.75" customHeight="1">
      <c r="B71" s="2"/>
      <c r="C71" s="2"/>
      <c r="D71" s="2"/>
      <c r="E71" s="2"/>
      <c r="L71" s="2"/>
      <c r="M71" s="2"/>
    </row>
    <row r="72" ht="15.75" customHeight="1">
      <c r="B72" s="2"/>
      <c r="C72" s="2"/>
      <c r="D72" s="2"/>
      <c r="E72" s="2"/>
      <c r="L72" s="2"/>
      <c r="M72" s="2"/>
    </row>
    <row r="73" ht="15.75" customHeight="1">
      <c r="B73" s="2"/>
      <c r="C73" s="2"/>
      <c r="D73" s="2"/>
      <c r="E73" s="2"/>
      <c r="L73" s="2"/>
      <c r="M73" s="2"/>
    </row>
    <row r="74" ht="15.75" customHeight="1">
      <c r="B74" s="2"/>
      <c r="C74" s="2"/>
      <c r="D74" s="2"/>
      <c r="E74" s="2"/>
      <c r="L74" s="2"/>
      <c r="M74" s="2"/>
    </row>
    <row r="75" ht="15.75" customHeight="1">
      <c r="B75" s="2"/>
      <c r="C75" s="2"/>
      <c r="D75" s="2"/>
      <c r="E75" s="2"/>
      <c r="L75" s="2"/>
      <c r="M75" s="2"/>
    </row>
    <row r="76" ht="15.75" customHeight="1">
      <c r="B76" s="2"/>
      <c r="C76" s="2"/>
      <c r="D76" s="2"/>
      <c r="E76" s="2"/>
      <c r="L76" s="2"/>
      <c r="M76" s="2"/>
    </row>
    <row r="77" ht="15.75" customHeight="1">
      <c r="B77" s="2"/>
      <c r="C77" s="2"/>
      <c r="D77" s="2"/>
      <c r="E77" s="2"/>
      <c r="L77" s="2"/>
      <c r="M77" s="2"/>
    </row>
    <row r="78" ht="15.75" customHeight="1">
      <c r="B78" s="2"/>
      <c r="C78" s="2"/>
      <c r="D78" s="2"/>
      <c r="E78" s="2"/>
      <c r="L78" s="2"/>
      <c r="M78" s="2"/>
    </row>
    <row r="79" ht="15.75" customHeight="1">
      <c r="B79" s="2"/>
      <c r="C79" s="2"/>
      <c r="D79" s="2"/>
      <c r="E79" s="2"/>
      <c r="L79" s="2"/>
      <c r="M79" s="2"/>
    </row>
    <row r="80" ht="15.75" customHeight="1">
      <c r="B80" s="2"/>
      <c r="C80" s="2"/>
      <c r="D80" s="2"/>
      <c r="E80" s="2"/>
      <c r="L80" s="2"/>
      <c r="M80" s="2"/>
    </row>
    <row r="81" ht="15.75" customHeight="1">
      <c r="B81" s="2"/>
      <c r="C81" s="2"/>
      <c r="D81" s="2"/>
      <c r="E81" s="2"/>
      <c r="L81" s="2"/>
      <c r="M81" s="2"/>
    </row>
    <row r="82" ht="15.75" customHeight="1">
      <c r="B82" s="2"/>
      <c r="C82" s="2"/>
      <c r="D82" s="2"/>
      <c r="E82" s="2"/>
      <c r="L82" s="2"/>
      <c r="M82" s="2"/>
    </row>
    <row r="83" ht="15.75" customHeight="1">
      <c r="B83" s="2"/>
      <c r="C83" s="2"/>
      <c r="D83" s="2"/>
      <c r="E83" s="2"/>
      <c r="L83" s="2"/>
      <c r="M83" s="2"/>
    </row>
    <row r="84" ht="15.75" customHeight="1">
      <c r="B84" s="2"/>
      <c r="C84" s="2"/>
      <c r="D84" s="2"/>
      <c r="E84" s="2"/>
      <c r="L84" s="2"/>
      <c r="M84" s="2"/>
    </row>
    <row r="85" ht="15.75" customHeight="1">
      <c r="B85" s="2"/>
      <c r="C85" s="2"/>
      <c r="D85" s="2"/>
      <c r="E85" s="2"/>
      <c r="L85" s="2"/>
      <c r="M85" s="2"/>
    </row>
    <row r="86" ht="15.75" customHeight="1">
      <c r="B86" s="2"/>
      <c r="C86" s="2"/>
      <c r="D86" s="2"/>
      <c r="E86" s="2"/>
      <c r="L86" s="2"/>
      <c r="M86" s="2"/>
    </row>
    <row r="87" ht="15.75" customHeight="1">
      <c r="B87" s="2"/>
      <c r="C87" s="2"/>
      <c r="D87" s="2"/>
      <c r="E87" s="2"/>
      <c r="L87" s="2"/>
      <c r="M87" s="2"/>
    </row>
    <row r="88" ht="15.75" customHeight="1">
      <c r="B88" s="2"/>
      <c r="C88" s="2"/>
      <c r="D88" s="2"/>
      <c r="E88" s="2"/>
      <c r="L88" s="2"/>
      <c r="M88" s="2"/>
    </row>
    <row r="89" ht="15.75" customHeight="1">
      <c r="B89" s="2"/>
      <c r="C89" s="2"/>
      <c r="D89" s="2"/>
      <c r="E89" s="2"/>
      <c r="L89" s="2"/>
      <c r="M89" s="2"/>
    </row>
    <row r="90" ht="15.75" customHeight="1">
      <c r="B90" s="2"/>
      <c r="C90" s="2"/>
      <c r="D90" s="2"/>
      <c r="E90" s="2"/>
      <c r="L90" s="2"/>
      <c r="M90" s="2"/>
    </row>
    <row r="91" ht="15.75" customHeight="1">
      <c r="B91" s="2"/>
      <c r="C91" s="2"/>
      <c r="D91" s="2"/>
      <c r="E91" s="2"/>
      <c r="L91" s="2"/>
      <c r="M91" s="2"/>
    </row>
    <row r="92" ht="15.75" customHeight="1">
      <c r="B92" s="2"/>
      <c r="C92" s="2"/>
      <c r="D92" s="2"/>
      <c r="E92" s="2"/>
      <c r="L92" s="2"/>
      <c r="M92" s="2"/>
    </row>
    <row r="93" ht="15.75" customHeight="1">
      <c r="B93" s="2"/>
      <c r="C93" s="2"/>
      <c r="D93" s="2"/>
      <c r="E93" s="2"/>
      <c r="L93" s="2"/>
      <c r="M93" s="2"/>
    </row>
    <row r="94" ht="15.75" customHeight="1">
      <c r="B94" s="2"/>
      <c r="C94" s="2"/>
      <c r="D94" s="2"/>
      <c r="E94" s="2"/>
      <c r="L94" s="2"/>
      <c r="M94" s="2"/>
    </row>
    <row r="95" ht="15.75" customHeight="1">
      <c r="B95" s="2"/>
      <c r="C95" s="2"/>
      <c r="D95" s="2"/>
      <c r="E95" s="2"/>
      <c r="L95" s="2"/>
      <c r="M95" s="2"/>
    </row>
    <row r="96" ht="15.75" customHeight="1">
      <c r="B96" s="2"/>
      <c r="C96" s="2"/>
      <c r="D96" s="2"/>
      <c r="E96" s="2"/>
      <c r="L96" s="2"/>
      <c r="M96" s="2"/>
    </row>
    <row r="97" ht="15.75" customHeight="1">
      <c r="B97" s="2"/>
      <c r="C97" s="2"/>
      <c r="D97" s="2"/>
      <c r="E97" s="2"/>
      <c r="L97" s="2"/>
      <c r="M97" s="2"/>
    </row>
    <row r="98" ht="15.75" customHeight="1">
      <c r="B98" s="2"/>
      <c r="C98" s="2"/>
      <c r="D98" s="2"/>
      <c r="E98" s="2"/>
      <c r="L98" s="2"/>
      <c r="M98" s="2"/>
    </row>
    <row r="99" ht="15.75" customHeight="1">
      <c r="B99" s="2"/>
      <c r="C99" s="2"/>
      <c r="D99" s="2"/>
      <c r="E99" s="2"/>
      <c r="L99" s="2"/>
      <c r="M99" s="2"/>
    </row>
    <row r="100" ht="15.75" customHeight="1">
      <c r="B100" s="2"/>
      <c r="C100" s="2"/>
      <c r="D100" s="2"/>
      <c r="E100" s="2"/>
      <c r="L100" s="2"/>
      <c r="M100" s="2"/>
    </row>
    <row r="101" ht="15.75" customHeight="1">
      <c r="B101" s="2"/>
      <c r="C101" s="2"/>
      <c r="D101" s="2"/>
      <c r="E101" s="2"/>
      <c r="L101" s="2"/>
      <c r="M101" s="2"/>
    </row>
    <row r="102" ht="15.75" customHeight="1">
      <c r="B102" s="2"/>
      <c r="C102" s="2"/>
      <c r="D102" s="2"/>
      <c r="E102" s="2"/>
      <c r="L102" s="2"/>
      <c r="M102" s="2"/>
    </row>
    <row r="103" ht="15.75" customHeight="1">
      <c r="B103" s="2"/>
      <c r="C103" s="2"/>
      <c r="D103" s="2"/>
      <c r="E103" s="2"/>
      <c r="L103" s="2"/>
      <c r="M103" s="2"/>
    </row>
    <row r="104" ht="15.75" customHeight="1">
      <c r="B104" s="2"/>
      <c r="C104" s="2"/>
      <c r="D104" s="2"/>
      <c r="E104" s="2"/>
      <c r="L104" s="2"/>
      <c r="M104" s="2"/>
    </row>
    <row r="105" ht="15.75" customHeight="1">
      <c r="B105" s="2"/>
      <c r="C105" s="2"/>
      <c r="D105" s="2"/>
      <c r="E105" s="2"/>
      <c r="L105" s="2"/>
      <c r="M105" s="2"/>
    </row>
    <row r="106" ht="15.75" customHeight="1">
      <c r="B106" s="2"/>
      <c r="C106" s="2"/>
      <c r="D106" s="2"/>
      <c r="E106" s="2"/>
      <c r="L106" s="2"/>
      <c r="M106" s="2"/>
    </row>
    <row r="107" ht="15.75" customHeight="1">
      <c r="B107" s="2"/>
      <c r="C107" s="2"/>
      <c r="D107" s="2"/>
      <c r="E107" s="2"/>
      <c r="L107" s="2"/>
      <c r="M107" s="2"/>
    </row>
    <row r="108" ht="15.75" customHeight="1">
      <c r="B108" s="2"/>
      <c r="C108" s="2"/>
      <c r="D108" s="2"/>
      <c r="E108" s="2"/>
      <c r="L108" s="2"/>
      <c r="M108" s="2"/>
    </row>
    <row r="109" ht="15.75" customHeight="1">
      <c r="B109" s="2"/>
      <c r="C109" s="2"/>
      <c r="D109" s="2"/>
      <c r="E109" s="2"/>
      <c r="L109" s="2"/>
      <c r="M109" s="2"/>
    </row>
    <row r="110" ht="15.75" customHeight="1">
      <c r="B110" s="2"/>
      <c r="C110" s="2"/>
      <c r="D110" s="2"/>
      <c r="E110" s="2"/>
      <c r="L110" s="2"/>
      <c r="M110" s="2"/>
    </row>
    <row r="111" ht="15.75" customHeight="1">
      <c r="B111" s="2"/>
      <c r="C111" s="2"/>
      <c r="D111" s="2"/>
      <c r="E111" s="2"/>
      <c r="L111" s="2"/>
      <c r="M111" s="2"/>
    </row>
    <row r="112" ht="15.75" customHeight="1">
      <c r="B112" s="2"/>
      <c r="C112" s="2"/>
      <c r="D112" s="2"/>
      <c r="E112" s="2"/>
      <c r="L112" s="2"/>
      <c r="M112" s="2"/>
    </row>
    <row r="113" ht="15.75" customHeight="1">
      <c r="B113" s="2"/>
      <c r="C113" s="2"/>
      <c r="D113" s="2"/>
      <c r="E113" s="2"/>
      <c r="L113" s="2"/>
      <c r="M113" s="2"/>
    </row>
    <row r="114" ht="15.75" customHeight="1">
      <c r="B114" s="2"/>
      <c r="C114" s="2"/>
      <c r="D114" s="2"/>
      <c r="E114" s="2"/>
      <c r="L114" s="2"/>
      <c r="M114" s="2"/>
    </row>
    <row r="115" ht="15.75" customHeight="1">
      <c r="B115" s="2"/>
      <c r="C115" s="2"/>
      <c r="D115" s="2"/>
      <c r="E115" s="2"/>
      <c r="L115" s="2"/>
      <c r="M115" s="2"/>
    </row>
    <row r="116" ht="15.75" customHeight="1">
      <c r="B116" s="2"/>
      <c r="C116" s="2"/>
      <c r="D116" s="2"/>
      <c r="E116" s="2"/>
      <c r="L116" s="2"/>
      <c r="M116" s="2"/>
    </row>
    <row r="117" ht="15.75" customHeight="1">
      <c r="B117" s="2"/>
      <c r="C117" s="2"/>
      <c r="D117" s="2"/>
      <c r="E117" s="2"/>
      <c r="L117" s="2"/>
      <c r="M117" s="2"/>
    </row>
    <row r="118" ht="15.75" customHeight="1">
      <c r="B118" s="2"/>
      <c r="C118" s="2"/>
      <c r="D118" s="2"/>
      <c r="E118" s="2"/>
      <c r="L118" s="2"/>
      <c r="M118" s="2"/>
    </row>
    <row r="119" ht="15.75" customHeight="1">
      <c r="B119" s="2"/>
      <c r="C119" s="2"/>
      <c r="D119" s="2"/>
      <c r="E119" s="2"/>
      <c r="L119" s="2"/>
      <c r="M119" s="2"/>
    </row>
    <row r="120" ht="15.75" customHeight="1">
      <c r="B120" s="2"/>
      <c r="C120" s="2"/>
      <c r="D120" s="2"/>
      <c r="E120" s="2"/>
      <c r="L120" s="2"/>
      <c r="M120" s="2"/>
    </row>
    <row r="121" ht="15.75" customHeight="1">
      <c r="B121" s="2"/>
      <c r="C121" s="2"/>
      <c r="D121" s="2"/>
      <c r="E121" s="2"/>
      <c r="L121" s="2"/>
      <c r="M121" s="2"/>
    </row>
    <row r="122" ht="15.75" customHeight="1">
      <c r="B122" s="2"/>
      <c r="C122" s="2"/>
      <c r="D122" s="2"/>
      <c r="E122" s="2"/>
      <c r="L122" s="2"/>
      <c r="M122" s="2"/>
    </row>
    <row r="123" ht="15.75" customHeight="1">
      <c r="B123" s="2"/>
      <c r="C123" s="2"/>
      <c r="D123" s="2"/>
      <c r="E123" s="2"/>
      <c r="L123" s="2"/>
      <c r="M123" s="2"/>
    </row>
    <row r="124" ht="15.75" customHeight="1">
      <c r="B124" s="2"/>
      <c r="C124" s="2"/>
      <c r="D124" s="2"/>
      <c r="E124" s="2"/>
      <c r="L124" s="2"/>
      <c r="M124" s="2"/>
    </row>
    <row r="125" ht="15.75" customHeight="1">
      <c r="B125" s="2"/>
      <c r="C125" s="2"/>
      <c r="D125" s="2"/>
      <c r="E125" s="2"/>
      <c r="L125" s="2"/>
      <c r="M125" s="2"/>
    </row>
    <row r="126" ht="15.75" customHeight="1">
      <c r="B126" s="2"/>
      <c r="C126" s="2"/>
      <c r="D126" s="2"/>
      <c r="E126" s="2"/>
      <c r="L126" s="2"/>
      <c r="M126" s="2"/>
    </row>
    <row r="127" ht="15.75" customHeight="1">
      <c r="B127" s="2"/>
      <c r="C127" s="2"/>
      <c r="D127" s="2"/>
      <c r="E127" s="2"/>
      <c r="L127" s="2"/>
      <c r="M127" s="2"/>
    </row>
    <row r="128" ht="15.75" customHeight="1">
      <c r="B128" s="2"/>
      <c r="C128" s="2"/>
      <c r="D128" s="2"/>
      <c r="E128" s="2"/>
      <c r="L128" s="2"/>
      <c r="M128" s="2"/>
    </row>
    <row r="129" ht="15.75" customHeight="1">
      <c r="B129" s="2"/>
      <c r="C129" s="2"/>
      <c r="D129" s="2"/>
      <c r="E129" s="2"/>
      <c r="L129" s="2"/>
      <c r="M129" s="2"/>
    </row>
    <row r="130" ht="15.75" customHeight="1">
      <c r="B130" s="2"/>
      <c r="C130" s="2"/>
      <c r="D130" s="2"/>
      <c r="E130" s="2"/>
      <c r="L130" s="2"/>
      <c r="M130" s="2"/>
    </row>
    <row r="131" ht="15.75" customHeight="1">
      <c r="B131" s="2"/>
      <c r="C131" s="2"/>
      <c r="D131" s="2"/>
      <c r="E131" s="2"/>
      <c r="L131" s="2"/>
      <c r="M131" s="2"/>
    </row>
    <row r="132" ht="15.75" customHeight="1">
      <c r="B132" s="2"/>
      <c r="C132" s="2"/>
      <c r="D132" s="2"/>
      <c r="E132" s="2"/>
      <c r="L132" s="2"/>
      <c r="M132" s="2"/>
    </row>
    <row r="133" ht="15.75" customHeight="1">
      <c r="B133" s="2"/>
      <c r="C133" s="2"/>
      <c r="D133" s="2"/>
      <c r="E133" s="2"/>
      <c r="L133" s="2"/>
      <c r="M133" s="2"/>
    </row>
    <row r="134" ht="15.75" customHeight="1">
      <c r="B134" s="2"/>
      <c r="C134" s="2"/>
      <c r="D134" s="2"/>
      <c r="E134" s="2"/>
      <c r="L134" s="2"/>
      <c r="M134" s="2"/>
    </row>
    <row r="135" ht="15.75" customHeight="1">
      <c r="B135" s="2"/>
      <c r="C135" s="2"/>
      <c r="D135" s="2"/>
      <c r="E135" s="2"/>
      <c r="L135" s="2"/>
      <c r="M135" s="2"/>
    </row>
    <row r="136" ht="15.75" customHeight="1">
      <c r="B136" s="2"/>
      <c r="C136" s="2"/>
      <c r="D136" s="2"/>
      <c r="E136" s="2"/>
      <c r="L136" s="2"/>
      <c r="M136" s="2"/>
    </row>
    <row r="137" ht="15.75" customHeight="1">
      <c r="B137" s="2"/>
      <c r="C137" s="2"/>
      <c r="D137" s="2"/>
      <c r="E137" s="2"/>
      <c r="L137" s="2"/>
      <c r="M137" s="2"/>
    </row>
    <row r="138" ht="15.75" customHeight="1">
      <c r="B138" s="2"/>
      <c r="C138" s="2"/>
      <c r="D138" s="2"/>
      <c r="E138" s="2"/>
      <c r="L138" s="2"/>
      <c r="M138" s="2"/>
    </row>
    <row r="139" ht="15.75" customHeight="1">
      <c r="B139" s="2"/>
      <c r="C139" s="2"/>
      <c r="D139" s="2"/>
      <c r="E139" s="2"/>
      <c r="L139" s="2"/>
      <c r="M139" s="2"/>
    </row>
    <row r="140" ht="15.75" customHeight="1">
      <c r="B140" s="2"/>
      <c r="C140" s="2"/>
      <c r="D140" s="2"/>
      <c r="E140" s="2"/>
      <c r="L140" s="2"/>
      <c r="M140" s="2"/>
    </row>
    <row r="141" ht="15.75" customHeight="1">
      <c r="B141" s="2"/>
      <c r="C141" s="2"/>
      <c r="D141" s="2"/>
      <c r="E141" s="2"/>
      <c r="L141" s="2"/>
      <c r="M141" s="2"/>
    </row>
    <row r="142" ht="15.75" customHeight="1">
      <c r="B142" s="2"/>
      <c r="C142" s="2"/>
      <c r="D142" s="2"/>
      <c r="E142" s="2"/>
      <c r="L142" s="2"/>
      <c r="M142" s="2"/>
    </row>
    <row r="143" ht="15.75" customHeight="1">
      <c r="B143" s="2"/>
      <c r="C143" s="2"/>
      <c r="D143" s="2"/>
      <c r="E143" s="2"/>
      <c r="L143" s="2"/>
      <c r="M143" s="2"/>
    </row>
    <row r="144" ht="15.75" customHeight="1">
      <c r="B144" s="2"/>
      <c r="C144" s="2"/>
      <c r="D144" s="2"/>
      <c r="E144" s="2"/>
      <c r="L144" s="2"/>
      <c r="M144" s="2"/>
    </row>
    <row r="145" ht="15.75" customHeight="1">
      <c r="B145" s="2"/>
      <c r="C145" s="2"/>
      <c r="D145" s="2"/>
      <c r="E145" s="2"/>
      <c r="L145" s="2"/>
      <c r="M145" s="2"/>
    </row>
    <row r="146" ht="15.75" customHeight="1">
      <c r="B146" s="2"/>
      <c r="C146" s="2"/>
      <c r="D146" s="2"/>
      <c r="E146" s="2"/>
      <c r="L146" s="2"/>
      <c r="M146" s="2"/>
    </row>
    <row r="147" ht="15.75" customHeight="1">
      <c r="B147" s="2"/>
      <c r="C147" s="2"/>
      <c r="D147" s="2"/>
      <c r="E147" s="2"/>
      <c r="L147" s="2"/>
      <c r="M147" s="2"/>
    </row>
    <row r="148" ht="15.75" customHeight="1">
      <c r="B148" s="2"/>
      <c r="C148" s="2"/>
      <c r="D148" s="2"/>
      <c r="E148" s="2"/>
      <c r="L148" s="2"/>
      <c r="M148" s="2"/>
    </row>
    <row r="149" ht="15.75" customHeight="1">
      <c r="B149" s="2"/>
      <c r="C149" s="2"/>
      <c r="D149" s="2"/>
      <c r="E149" s="2"/>
      <c r="L149" s="2"/>
      <c r="M149" s="2"/>
    </row>
    <row r="150" ht="15.75" customHeight="1">
      <c r="B150" s="2"/>
      <c r="C150" s="2"/>
      <c r="D150" s="2"/>
      <c r="E150" s="2"/>
      <c r="L150" s="2"/>
      <c r="M150" s="2"/>
    </row>
    <row r="151" ht="15.75" customHeight="1">
      <c r="B151" s="2"/>
      <c r="C151" s="2"/>
      <c r="D151" s="2"/>
      <c r="E151" s="2"/>
      <c r="L151" s="2"/>
      <c r="M151" s="2"/>
    </row>
    <row r="152" ht="15.75" customHeight="1">
      <c r="B152" s="2"/>
      <c r="C152" s="2"/>
      <c r="D152" s="2"/>
      <c r="E152" s="2"/>
      <c r="L152" s="2"/>
      <c r="M152" s="2"/>
    </row>
    <row r="153" ht="15.75" customHeight="1">
      <c r="B153" s="2"/>
      <c r="C153" s="2"/>
      <c r="D153" s="2"/>
      <c r="E153" s="2"/>
      <c r="L153" s="2"/>
      <c r="M153" s="2"/>
    </row>
    <row r="154" ht="15.75" customHeight="1">
      <c r="B154" s="2"/>
      <c r="C154" s="2"/>
      <c r="D154" s="2"/>
      <c r="E154" s="2"/>
      <c r="L154" s="2"/>
      <c r="M154" s="2"/>
    </row>
    <row r="155" ht="15.75" customHeight="1">
      <c r="B155" s="2"/>
      <c r="C155" s="2"/>
      <c r="D155" s="2"/>
      <c r="E155" s="2"/>
      <c r="L155" s="2"/>
      <c r="M155" s="2"/>
    </row>
    <row r="156" ht="15.75" customHeight="1">
      <c r="B156" s="2"/>
      <c r="C156" s="2"/>
      <c r="D156" s="2"/>
      <c r="E156" s="2"/>
      <c r="L156" s="2"/>
      <c r="M156" s="2"/>
    </row>
    <row r="157" ht="15.75" customHeight="1">
      <c r="B157" s="2"/>
      <c r="C157" s="2"/>
      <c r="D157" s="2"/>
      <c r="E157" s="2"/>
      <c r="L157" s="2"/>
      <c r="M157" s="2"/>
    </row>
    <row r="158" ht="15.75" customHeight="1">
      <c r="B158" s="2"/>
      <c r="C158" s="2"/>
      <c r="D158" s="2"/>
      <c r="E158" s="2"/>
      <c r="L158" s="2"/>
      <c r="M158" s="2"/>
    </row>
    <row r="159" ht="15.75" customHeight="1">
      <c r="B159" s="2"/>
      <c r="C159" s="2"/>
      <c r="D159" s="2"/>
      <c r="E159" s="2"/>
      <c r="L159" s="2"/>
      <c r="M159" s="2"/>
    </row>
    <row r="160" ht="15.75" customHeight="1">
      <c r="B160" s="2"/>
      <c r="C160" s="2"/>
      <c r="D160" s="2"/>
      <c r="E160" s="2"/>
      <c r="L160" s="2"/>
      <c r="M160" s="2"/>
    </row>
    <row r="161" ht="15.75" customHeight="1">
      <c r="B161" s="2"/>
      <c r="C161" s="2"/>
      <c r="D161" s="2"/>
      <c r="E161" s="2"/>
      <c r="L161" s="2"/>
      <c r="M161" s="2"/>
    </row>
    <row r="162" ht="15.75" customHeight="1">
      <c r="B162" s="2"/>
      <c r="C162" s="2"/>
      <c r="D162" s="2"/>
      <c r="E162" s="2"/>
      <c r="L162" s="2"/>
      <c r="M162" s="2"/>
    </row>
    <row r="163" ht="15.75" customHeight="1">
      <c r="B163" s="2"/>
      <c r="C163" s="2"/>
      <c r="D163" s="2"/>
      <c r="E163" s="2"/>
      <c r="L163" s="2"/>
      <c r="M163" s="2"/>
    </row>
    <row r="164" ht="15.75" customHeight="1">
      <c r="B164" s="2"/>
      <c r="C164" s="2"/>
      <c r="D164" s="2"/>
      <c r="E164" s="2"/>
      <c r="L164" s="2"/>
      <c r="M164" s="2"/>
    </row>
    <row r="165" ht="15.75" customHeight="1">
      <c r="B165" s="2"/>
      <c r="C165" s="2"/>
      <c r="D165" s="2"/>
      <c r="E165" s="2"/>
      <c r="L165" s="2"/>
      <c r="M165" s="2"/>
    </row>
    <row r="166" ht="15.75" customHeight="1">
      <c r="B166" s="2"/>
      <c r="C166" s="2"/>
      <c r="D166" s="2"/>
      <c r="E166" s="2"/>
      <c r="L166" s="2"/>
      <c r="M166" s="2"/>
    </row>
    <row r="167" ht="15.75" customHeight="1">
      <c r="B167" s="2"/>
      <c r="C167" s="2"/>
      <c r="D167" s="2"/>
      <c r="E167" s="2"/>
      <c r="L167" s="2"/>
      <c r="M167" s="2"/>
    </row>
    <row r="168" ht="15.75" customHeight="1">
      <c r="B168" s="2"/>
      <c r="C168" s="2"/>
      <c r="D168" s="2"/>
      <c r="E168" s="2"/>
      <c r="L168" s="2"/>
      <c r="M168" s="2"/>
    </row>
    <row r="169" ht="15.75" customHeight="1">
      <c r="B169" s="2"/>
      <c r="C169" s="2"/>
      <c r="D169" s="2"/>
      <c r="E169" s="2"/>
      <c r="L169" s="2"/>
      <c r="M169" s="2"/>
    </row>
    <row r="170" ht="15.75" customHeight="1">
      <c r="B170" s="2"/>
      <c r="C170" s="2"/>
      <c r="D170" s="2"/>
      <c r="E170" s="2"/>
      <c r="L170" s="2"/>
      <c r="M170" s="2"/>
    </row>
    <row r="171" ht="15.75" customHeight="1">
      <c r="B171" s="2"/>
      <c r="C171" s="2"/>
      <c r="D171" s="2"/>
      <c r="E171" s="2"/>
      <c r="L171" s="2"/>
      <c r="M171" s="2"/>
    </row>
    <row r="172" ht="15.75" customHeight="1">
      <c r="B172" s="2"/>
      <c r="C172" s="2"/>
      <c r="D172" s="2"/>
      <c r="E172" s="2"/>
      <c r="L172" s="2"/>
      <c r="M172" s="2"/>
    </row>
    <row r="173" ht="15.75" customHeight="1">
      <c r="B173" s="2"/>
      <c r="C173" s="2"/>
      <c r="D173" s="2"/>
      <c r="E173" s="2"/>
      <c r="L173" s="2"/>
      <c r="M173" s="2"/>
    </row>
    <row r="174" ht="15.75" customHeight="1">
      <c r="B174" s="2"/>
      <c r="C174" s="2"/>
      <c r="D174" s="2"/>
      <c r="E174" s="2"/>
      <c r="L174" s="2"/>
      <c r="M174" s="2"/>
    </row>
    <row r="175" ht="15.75" customHeight="1">
      <c r="B175" s="2"/>
      <c r="C175" s="2"/>
      <c r="D175" s="2"/>
      <c r="E175" s="2"/>
      <c r="L175" s="2"/>
      <c r="M175" s="2"/>
    </row>
    <row r="176" ht="15.75" customHeight="1">
      <c r="B176" s="2"/>
      <c r="C176" s="2"/>
      <c r="D176" s="2"/>
      <c r="E176" s="2"/>
      <c r="L176" s="2"/>
      <c r="M176" s="2"/>
    </row>
    <row r="177" ht="15.75" customHeight="1">
      <c r="B177" s="2"/>
      <c r="C177" s="2"/>
      <c r="D177" s="2"/>
      <c r="E177" s="2"/>
      <c r="L177" s="2"/>
      <c r="M177" s="2"/>
    </row>
    <row r="178" ht="15.75" customHeight="1">
      <c r="B178" s="2"/>
      <c r="C178" s="2"/>
      <c r="D178" s="2"/>
      <c r="E178" s="2"/>
      <c r="L178" s="2"/>
      <c r="M178" s="2"/>
    </row>
    <row r="179" ht="15.75" customHeight="1">
      <c r="B179" s="2"/>
      <c r="C179" s="2"/>
      <c r="D179" s="2"/>
      <c r="E179" s="2"/>
      <c r="L179" s="2"/>
      <c r="M179" s="2"/>
    </row>
    <row r="180" ht="15.75" customHeight="1">
      <c r="B180" s="2"/>
      <c r="C180" s="2"/>
      <c r="D180" s="2"/>
      <c r="E180" s="2"/>
      <c r="L180" s="2"/>
      <c r="M180" s="2"/>
    </row>
    <row r="181" ht="15.75" customHeight="1">
      <c r="B181" s="2"/>
      <c r="C181" s="2"/>
      <c r="D181" s="2"/>
      <c r="E181" s="2"/>
      <c r="L181" s="2"/>
      <c r="M181" s="2"/>
    </row>
    <row r="182" ht="15.75" customHeight="1">
      <c r="B182" s="2"/>
      <c r="C182" s="2"/>
      <c r="D182" s="2"/>
      <c r="E182" s="2"/>
      <c r="L182" s="2"/>
      <c r="M182" s="2"/>
    </row>
    <row r="183" ht="15.75" customHeight="1">
      <c r="B183" s="2"/>
      <c r="C183" s="2"/>
      <c r="D183" s="2"/>
      <c r="E183" s="2"/>
      <c r="L183" s="2"/>
      <c r="M183" s="2"/>
    </row>
    <row r="184" ht="15.75" customHeight="1">
      <c r="B184" s="2"/>
      <c r="C184" s="2"/>
      <c r="D184" s="2"/>
      <c r="E184" s="2"/>
      <c r="L184" s="2"/>
      <c r="M184" s="2"/>
    </row>
    <row r="185" ht="15.75" customHeight="1">
      <c r="B185" s="2"/>
      <c r="C185" s="2"/>
      <c r="D185" s="2"/>
      <c r="E185" s="2"/>
      <c r="L185" s="2"/>
      <c r="M185" s="2"/>
    </row>
    <row r="186" ht="15.75" customHeight="1">
      <c r="B186" s="2"/>
      <c r="C186" s="2"/>
      <c r="D186" s="2"/>
      <c r="E186" s="2"/>
      <c r="L186" s="2"/>
      <c r="M186" s="2"/>
    </row>
    <row r="187" ht="15.75" customHeight="1">
      <c r="B187" s="2"/>
      <c r="C187" s="2"/>
      <c r="D187" s="2"/>
      <c r="E187" s="2"/>
      <c r="L187" s="2"/>
      <c r="M187" s="2"/>
    </row>
    <row r="188" ht="15.75" customHeight="1">
      <c r="B188" s="2"/>
      <c r="C188" s="2"/>
      <c r="D188" s="2"/>
      <c r="E188" s="2"/>
      <c r="L188" s="2"/>
      <c r="M188" s="2"/>
    </row>
    <row r="189" ht="15.75" customHeight="1">
      <c r="B189" s="2"/>
      <c r="C189" s="2"/>
      <c r="D189" s="2"/>
      <c r="E189" s="2"/>
      <c r="L189" s="2"/>
      <c r="M189" s="2"/>
    </row>
    <row r="190" ht="15.75" customHeight="1">
      <c r="B190" s="2"/>
      <c r="C190" s="2"/>
      <c r="D190" s="2"/>
      <c r="E190" s="2"/>
      <c r="L190" s="2"/>
      <c r="M190" s="2"/>
    </row>
    <row r="191" ht="15.75" customHeight="1">
      <c r="B191" s="2"/>
      <c r="C191" s="2"/>
      <c r="D191" s="2"/>
      <c r="E191" s="2"/>
      <c r="L191" s="2"/>
      <c r="M191" s="2"/>
    </row>
    <row r="192" ht="15.75" customHeight="1">
      <c r="B192" s="2"/>
      <c r="C192" s="2"/>
      <c r="D192" s="2"/>
      <c r="E192" s="2"/>
      <c r="L192" s="2"/>
      <c r="M192" s="2"/>
    </row>
    <row r="193" ht="15.75" customHeight="1">
      <c r="B193" s="2"/>
      <c r="C193" s="2"/>
      <c r="D193" s="2"/>
      <c r="E193" s="2"/>
      <c r="L193" s="2"/>
      <c r="M193" s="2"/>
    </row>
    <row r="194" ht="15.75" customHeight="1">
      <c r="B194" s="2"/>
      <c r="C194" s="2"/>
      <c r="D194" s="2"/>
      <c r="E194" s="2"/>
      <c r="L194" s="2"/>
      <c r="M194" s="2"/>
    </row>
    <row r="195" ht="15.75" customHeight="1">
      <c r="B195" s="2"/>
      <c r="C195" s="2"/>
      <c r="D195" s="2"/>
      <c r="E195" s="2"/>
      <c r="L195" s="2"/>
      <c r="M195" s="2"/>
    </row>
    <row r="196" ht="15.75" customHeight="1">
      <c r="B196" s="2"/>
      <c r="C196" s="2"/>
      <c r="D196" s="2"/>
      <c r="E196" s="2"/>
      <c r="L196" s="2"/>
      <c r="M196" s="2"/>
    </row>
    <row r="197" ht="15.75" customHeight="1">
      <c r="B197" s="2"/>
      <c r="C197" s="2"/>
      <c r="D197" s="2"/>
      <c r="E197" s="2"/>
      <c r="L197" s="2"/>
      <c r="M197" s="2"/>
    </row>
    <row r="198" ht="15.75" customHeight="1">
      <c r="B198" s="2"/>
      <c r="C198" s="2"/>
      <c r="D198" s="2"/>
      <c r="E198" s="2"/>
      <c r="L198" s="2"/>
      <c r="M198" s="2"/>
    </row>
    <row r="199" ht="15.75" customHeight="1">
      <c r="B199" s="2"/>
      <c r="C199" s="2"/>
      <c r="D199" s="2"/>
      <c r="E199" s="2"/>
      <c r="L199" s="2"/>
      <c r="M199" s="2"/>
    </row>
    <row r="200" ht="15.75" customHeight="1">
      <c r="B200" s="2"/>
      <c r="C200" s="2"/>
      <c r="D200" s="2"/>
      <c r="E200" s="2"/>
      <c r="L200" s="2"/>
      <c r="M200" s="2"/>
    </row>
    <row r="201" ht="15.75" customHeight="1">
      <c r="B201" s="2"/>
      <c r="C201" s="2"/>
      <c r="D201" s="2"/>
      <c r="E201" s="2"/>
      <c r="L201" s="2"/>
      <c r="M201" s="2"/>
    </row>
    <row r="202" ht="15.75" customHeight="1">
      <c r="B202" s="2"/>
      <c r="C202" s="2"/>
      <c r="D202" s="2"/>
      <c r="E202" s="2"/>
      <c r="L202" s="2"/>
      <c r="M202" s="2"/>
    </row>
    <row r="203" ht="15.75" customHeight="1">
      <c r="B203" s="2"/>
      <c r="C203" s="2"/>
      <c r="D203" s="2"/>
      <c r="E203" s="2"/>
      <c r="L203" s="2"/>
      <c r="M203" s="2"/>
    </row>
    <row r="204" ht="15.75" customHeight="1">
      <c r="B204" s="2"/>
      <c r="C204" s="2"/>
      <c r="D204" s="2"/>
      <c r="E204" s="2"/>
      <c r="L204" s="2"/>
      <c r="M204" s="2"/>
    </row>
    <row r="205" ht="15.75" customHeight="1">
      <c r="B205" s="2"/>
      <c r="C205" s="2"/>
      <c r="D205" s="2"/>
      <c r="E205" s="2"/>
      <c r="L205" s="2"/>
      <c r="M205" s="2"/>
    </row>
    <row r="206" ht="15.75" customHeight="1">
      <c r="B206" s="2"/>
      <c r="C206" s="2"/>
      <c r="D206" s="2"/>
      <c r="E206" s="2"/>
      <c r="L206" s="2"/>
      <c r="M206" s="2"/>
    </row>
    <row r="207" ht="15.75" customHeight="1">
      <c r="B207" s="2"/>
      <c r="C207" s="2"/>
      <c r="D207" s="2"/>
      <c r="E207" s="2"/>
      <c r="L207" s="2"/>
      <c r="M207" s="2"/>
    </row>
    <row r="208" ht="15.75" customHeight="1">
      <c r="B208" s="2"/>
      <c r="C208" s="2"/>
      <c r="D208" s="2"/>
      <c r="E208" s="2"/>
      <c r="L208" s="2"/>
      <c r="M208" s="2"/>
    </row>
    <row r="209" ht="15.75" customHeight="1">
      <c r="B209" s="2"/>
      <c r="C209" s="2"/>
      <c r="D209" s="2"/>
      <c r="E209" s="2"/>
      <c r="L209" s="2"/>
      <c r="M209" s="2"/>
    </row>
    <row r="210" ht="15.75" customHeight="1">
      <c r="B210" s="2"/>
      <c r="C210" s="2"/>
      <c r="D210" s="2"/>
      <c r="E210" s="2"/>
      <c r="L210" s="2"/>
      <c r="M210" s="2"/>
    </row>
    <row r="211" ht="15.75" customHeight="1">
      <c r="B211" s="2"/>
      <c r="C211" s="2"/>
      <c r="D211" s="2"/>
      <c r="E211" s="2"/>
      <c r="L211" s="2"/>
      <c r="M211" s="2"/>
    </row>
    <row r="212" ht="15.75" customHeight="1">
      <c r="B212" s="2"/>
      <c r="C212" s="2"/>
      <c r="D212" s="2"/>
      <c r="E212" s="2"/>
      <c r="L212" s="2"/>
      <c r="M212" s="2"/>
    </row>
    <row r="213" ht="15.75" customHeight="1">
      <c r="B213" s="2"/>
      <c r="C213" s="2"/>
      <c r="D213" s="2"/>
      <c r="E213" s="2"/>
      <c r="L213" s="2"/>
      <c r="M213" s="2"/>
    </row>
    <row r="214" ht="15.75" customHeight="1">
      <c r="B214" s="2"/>
      <c r="C214" s="2"/>
      <c r="D214" s="2"/>
      <c r="E214" s="2"/>
      <c r="L214" s="2"/>
      <c r="M214" s="2"/>
    </row>
    <row r="215" ht="15.75" customHeight="1">
      <c r="B215" s="2"/>
      <c r="C215" s="2"/>
      <c r="D215" s="2"/>
      <c r="E215" s="2"/>
      <c r="L215" s="2"/>
      <c r="M215" s="2"/>
    </row>
    <row r="216" ht="15.75" customHeight="1">
      <c r="B216" s="2"/>
      <c r="C216" s="2"/>
      <c r="D216" s="2"/>
      <c r="E216" s="2"/>
      <c r="L216" s="2"/>
      <c r="M216" s="2"/>
    </row>
    <row r="217" ht="15.75" customHeight="1">
      <c r="B217" s="2"/>
      <c r="C217" s="2"/>
      <c r="D217" s="2"/>
      <c r="E217" s="2"/>
      <c r="L217" s="2"/>
      <c r="M217" s="2"/>
    </row>
    <row r="218" ht="15.75" customHeight="1">
      <c r="B218" s="2"/>
      <c r="C218" s="2"/>
      <c r="D218" s="2"/>
      <c r="E218" s="2"/>
      <c r="L218" s="2"/>
      <c r="M218" s="2"/>
    </row>
    <row r="219" ht="15.75" customHeight="1">
      <c r="B219" s="2"/>
      <c r="C219" s="2"/>
      <c r="D219" s="2"/>
      <c r="E219" s="2"/>
      <c r="L219" s="2"/>
      <c r="M219" s="2"/>
    </row>
    <row r="220" ht="15.75" customHeight="1">
      <c r="B220" s="2"/>
      <c r="C220" s="2"/>
      <c r="D220" s="2"/>
      <c r="E220" s="2"/>
      <c r="L220" s="2"/>
      <c r="M220" s="2"/>
    </row>
    <row r="221" ht="15.75" customHeight="1">
      <c r="B221" s="2"/>
      <c r="C221" s="2"/>
      <c r="D221" s="2"/>
      <c r="E221" s="2"/>
      <c r="L221" s="2"/>
      <c r="M221" s="2"/>
    </row>
    <row r="222" ht="15.75" customHeight="1">
      <c r="B222" s="2"/>
      <c r="C222" s="2"/>
      <c r="D222" s="2"/>
      <c r="E222" s="2"/>
      <c r="L222" s="2"/>
      <c r="M222" s="2"/>
    </row>
    <row r="223" ht="15.75" customHeight="1">
      <c r="B223" s="2"/>
      <c r="C223" s="2"/>
      <c r="D223" s="2"/>
      <c r="E223" s="2"/>
      <c r="L223" s="2"/>
      <c r="M223" s="2"/>
    </row>
    <row r="224" ht="15.75" customHeight="1">
      <c r="B224" s="2"/>
      <c r="C224" s="2"/>
      <c r="D224" s="2"/>
      <c r="E224" s="2"/>
      <c r="L224" s="2"/>
      <c r="M224" s="2"/>
    </row>
    <row r="225" ht="15.75" customHeight="1">
      <c r="B225" s="2"/>
      <c r="C225" s="2"/>
      <c r="D225" s="2"/>
      <c r="E225" s="2"/>
      <c r="L225" s="2"/>
      <c r="M225" s="2"/>
    </row>
    <row r="226" ht="15.75" customHeight="1">
      <c r="B226" s="2"/>
      <c r="C226" s="2"/>
      <c r="D226" s="2"/>
      <c r="E226" s="2"/>
      <c r="L226" s="2"/>
      <c r="M226" s="2"/>
    </row>
    <row r="227" ht="15.75" customHeight="1">
      <c r="B227" s="2"/>
      <c r="C227" s="2"/>
      <c r="D227" s="2"/>
      <c r="E227" s="2"/>
      <c r="L227" s="2"/>
      <c r="M227" s="2"/>
    </row>
    <row r="228" ht="15.75" customHeight="1">
      <c r="B228" s="2"/>
      <c r="C228" s="2"/>
      <c r="D228" s="2"/>
      <c r="E228" s="2"/>
      <c r="L228" s="2"/>
      <c r="M228" s="2"/>
    </row>
    <row r="229" ht="15.75" customHeight="1">
      <c r="B229" s="2"/>
      <c r="C229" s="2"/>
      <c r="D229" s="2"/>
      <c r="E229" s="2"/>
      <c r="L229" s="2"/>
      <c r="M229" s="2"/>
    </row>
    <row r="230" ht="15.75" customHeight="1">
      <c r="B230" s="2"/>
      <c r="C230" s="2"/>
      <c r="D230" s="2"/>
      <c r="E230" s="2"/>
      <c r="L230" s="2"/>
      <c r="M230" s="2"/>
    </row>
    <row r="231" ht="15.75" customHeight="1">
      <c r="B231" s="2"/>
      <c r="C231" s="2"/>
      <c r="D231" s="2"/>
      <c r="E231" s="2"/>
      <c r="L231" s="2"/>
      <c r="M231" s="2"/>
    </row>
    <row r="232" ht="15.75" customHeight="1">
      <c r="B232" s="2"/>
      <c r="C232" s="2"/>
      <c r="D232" s="2"/>
      <c r="E232" s="2"/>
      <c r="L232" s="2"/>
      <c r="M232" s="2"/>
    </row>
    <row r="233" ht="15.75" customHeight="1">
      <c r="B233" s="2"/>
      <c r="C233" s="2"/>
      <c r="D233" s="2"/>
      <c r="E233" s="2"/>
      <c r="L233" s="2"/>
      <c r="M233" s="2"/>
    </row>
    <row r="234" ht="15.75" customHeight="1">
      <c r="B234" s="2"/>
      <c r="C234" s="2"/>
      <c r="D234" s="2"/>
      <c r="E234" s="2"/>
      <c r="L234" s="2"/>
      <c r="M234" s="2"/>
    </row>
    <row r="235" ht="15.75" customHeight="1">
      <c r="B235" s="2"/>
      <c r="C235" s="2"/>
      <c r="D235" s="2"/>
      <c r="E235" s="2"/>
      <c r="L235" s="2"/>
      <c r="M235" s="2"/>
    </row>
    <row r="236" ht="15.75" customHeight="1">
      <c r="B236" s="2"/>
      <c r="C236" s="2"/>
      <c r="D236" s="2"/>
      <c r="E236" s="2"/>
      <c r="L236" s="2"/>
      <c r="M236" s="2"/>
    </row>
    <row r="237" ht="15.75" customHeight="1">
      <c r="B237" s="2"/>
      <c r="C237" s="2"/>
      <c r="D237" s="2"/>
      <c r="E237" s="2"/>
      <c r="L237" s="2"/>
      <c r="M237" s="2"/>
    </row>
    <row r="238" ht="15.75" customHeight="1">
      <c r="B238" s="2"/>
      <c r="C238" s="2"/>
      <c r="D238" s="2"/>
      <c r="E238" s="2"/>
      <c r="L238" s="2"/>
      <c r="M238" s="2"/>
    </row>
    <row r="239" ht="15.75" customHeight="1">
      <c r="B239" s="2"/>
      <c r="C239" s="2"/>
      <c r="D239" s="2"/>
      <c r="E239" s="2"/>
      <c r="L239" s="2"/>
      <c r="M239" s="2"/>
    </row>
    <row r="240" ht="15.75" customHeight="1">
      <c r="B240" s="2"/>
      <c r="C240" s="2"/>
      <c r="D240" s="2"/>
      <c r="E240" s="2"/>
      <c r="L240" s="2"/>
      <c r="M240" s="2"/>
    </row>
    <row r="241" ht="15.75" customHeight="1">
      <c r="B241" s="2"/>
      <c r="C241" s="2"/>
      <c r="D241" s="2"/>
      <c r="E241" s="2"/>
      <c r="L241" s="2"/>
      <c r="M241" s="2"/>
    </row>
    <row r="242" ht="15.75" customHeight="1">
      <c r="B242" s="2"/>
      <c r="C242" s="2"/>
      <c r="D242" s="2"/>
      <c r="E242" s="2"/>
      <c r="L242" s="2"/>
      <c r="M242" s="2"/>
    </row>
    <row r="243" ht="15.75" customHeight="1">
      <c r="B243" s="2"/>
      <c r="C243" s="2"/>
      <c r="D243" s="2"/>
      <c r="E243" s="2"/>
      <c r="L243" s="2"/>
      <c r="M243" s="2"/>
    </row>
    <row r="244" ht="15.75" customHeight="1">
      <c r="B244" s="2"/>
      <c r="C244" s="2"/>
      <c r="D244" s="2"/>
      <c r="E244" s="2"/>
      <c r="L244" s="2"/>
      <c r="M244" s="2"/>
    </row>
    <row r="245" ht="15.75" customHeight="1">
      <c r="B245" s="2"/>
      <c r="C245" s="2"/>
      <c r="D245" s="2"/>
      <c r="E245" s="2"/>
      <c r="L245" s="2"/>
      <c r="M245" s="2"/>
    </row>
    <row r="246" ht="15.75" customHeight="1">
      <c r="B246" s="2"/>
      <c r="C246" s="2"/>
      <c r="D246" s="2"/>
      <c r="E246" s="2"/>
      <c r="L246" s="2"/>
      <c r="M246" s="2"/>
    </row>
    <row r="247" ht="15.75" customHeight="1">
      <c r="B247" s="2"/>
      <c r="C247" s="2"/>
      <c r="D247" s="2"/>
      <c r="E247" s="2"/>
      <c r="L247" s="2"/>
      <c r="M247" s="2"/>
    </row>
    <row r="248" ht="15.75" customHeight="1">
      <c r="B248" s="2"/>
      <c r="C248" s="2"/>
      <c r="D248" s="2"/>
      <c r="E248" s="2"/>
      <c r="L248" s="2"/>
      <c r="M248" s="2"/>
    </row>
    <row r="249" ht="15.75" customHeight="1">
      <c r="B249" s="2"/>
      <c r="C249" s="2"/>
      <c r="D249" s="2"/>
      <c r="E249" s="2"/>
      <c r="L249" s="2"/>
      <c r="M249" s="2"/>
    </row>
    <row r="250" ht="15.75" customHeight="1">
      <c r="B250" s="2"/>
      <c r="C250" s="2"/>
      <c r="D250" s="2"/>
      <c r="E250" s="2"/>
      <c r="L250" s="2"/>
      <c r="M250" s="2"/>
    </row>
    <row r="251" ht="15.75" customHeight="1">
      <c r="B251" s="2"/>
      <c r="C251" s="2"/>
      <c r="D251" s="2"/>
      <c r="E251" s="2"/>
      <c r="L251" s="2"/>
      <c r="M251" s="2"/>
    </row>
    <row r="252" ht="15.75" customHeight="1">
      <c r="B252" s="2"/>
      <c r="C252" s="2"/>
      <c r="D252" s="2"/>
      <c r="E252" s="2"/>
      <c r="L252" s="2"/>
      <c r="M252" s="2"/>
    </row>
    <row r="253" ht="15.75" customHeight="1">
      <c r="B253" s="2"/>
      <c r="C253" s="2"/>
      <c r="D253" s="2"/>
      <c r="E253" s="2"/>
      <c r="L253" s="2"/>
      <c r="M253" s="2"/>
    </row>
    <row r="254" ht="15.75" customHeight="1">
      <c r="B254" s="2"/>
      <c r="C254" s="2"/>
      <c r="D254" s="2"/>
      <c r="E254" s="2"/>
      <c r="L254" s="2"/>
      <c r="M254" s="2"/>
    </row>
    <row r="255" ht="15.75" customHeight="1">
      <c r="B255" s="2"/>
      <c r="C255" s="2"/>
      <c r="D255" s="2"/>
      <c r="E255" s="2"/>
      <c r="L255" s="2"/>
      <c r="M255" s="2"/>
    </row>
    <row r="256" ht="15.75" customHeight="1">
      <c r="B256" s="2"/>
      <c r="C256" s="2"/>
      <c r="D256" s="2"/>
      <c r="E256" s="2"/>
      <c r="L256" s="2"/>
      <c r="M256" s="2"/>
    </row>
    <row r="257" ht="15.75" customHeight="1">
      <c r="B257" s="2"/>
      <c r="C257" s="2"/>
      <c r="D257" s="2"/>
      <c r="E257" s="2"/>
      <c r="L257" s="2"/>
      <c r="M257" s="2"/>
    </row>
    <row r="258" ht="15.75" customHeight="1">
      <c r="B258" s="2"/>
      <c r="C258" s="2"/>
      <c r="D258" s="2"/>
      <c r="E258" s="2"/>
      <c r="L258" s="2"/>
      <c r="M258" s="2"/>
    </row>
    <row r="259" ht="15.75" customHeight="1">
      <c r="B259" s="2"/>
      <c r="C259" s="2"/>
      <c r="D259" s="2"/>
      <c r="E259" s="2"/>
      <c r="L259" s="2"/>
      <c r="M259" s="2"/>
    </row>
    <row r="260" ht="15.75" customHeight="1">
      <c r="B260" s="2"/>
      <c r="C260" s="2"/>
      <c r="D260" s="2"/>
      <c r="E260" s="2"/>
      <c r="L260" s="2"/>
      <c r="M260" s="2"/>
    </row>
    <row r="261" ht="15.75" customHeight="1">
      <c r="B261" s="2"/>
      <c r="C261" s="2"/>
      <c r="D261" s="2"/>
      <c r="E261" s="2"/>
      <c r="L261" s="2"/>
      <c r="M261" s="2"/>
    </row>
    <row r="262" ht="15.75" customHeight="1">
      <c r="B262" s="2"/>
      <c r="C262" s="2"/>
      <c r="D262" s="2"/>
      <c r="E262" s="2"/>
      <c r="L262" s="2"/>
      <c r="M262" s="2"/>
    </row>
    <row r="263" ht="15.75" customHeight="1">
      <c r="B263" s="2"/>
      <c r="C263" s="2"/>
      <c r="D263" s="2"/>
      <c r="E263" s="2"/>
      <c r="L263" s="2"/>
      <c r="M263" s="2"/>
    </row>
    <row r="264" ht="15.75" customHeight="1">
      <c r="B264" s="2"/>
      <c r="C264" s="2"/>
      <c r="D264" s="2"/>
      <c r="E264" s="2"/>
      <c r="L264" s="2"/>
      <c r="M264" s="2"/>
    </row>
    <row r="265" ht="15.75" customHeight="1">
      <c r="B265" s="2"/>
      <c r="C265" s="2"/>
      <c r="D265" s="2"/>
      <c r="E265" s="2"/>
      <c r="L265" s="2"/>
      <c r="M265" s="2"/>
    </row>
    <row r="266" ht="15.75" customHeight="1">
      <c r="B266" s="2"/>
      <c r="C266" s="2"/>
      <c r="D266" s="2"/>
      <c r="E266" s="2"/>
      <c r="L266" s="2"/>
      <c r="M266" s="2"/>
    </row>
    <row r="267" ht="15.75" customHeight="1">
      <c r="B267" s="2"/>
      <c r="C267" s="2"/>
      <c r="D267" s="2"/>
      <c r="E267" s="2"/>
      <c r="L267" s="2"/>
      <c r="M267" s="2"/>
    </row>
    <row r="268" ht="15.75" customHeight="1">
      <c r="B268" s="2"/>
      <c r="C268" s="2"/>
      <c r="D268" s="2"/>
      <c r="E268" s="2"/>
      <c r="L268" s="2"/>
      <c r="M268" s="2"/>
    </row>
    <row r="269" ht="15.75" customHeight="1">
      <c r="B269" s="2"/>
      <c r="C269" s="2"/>
      <c r="D269" s="2"/>
      <c r="E269" s="2"/>
      <c r="L269" s="2"/>
      <c r="M269" s="2"/>
    </row>
    <row r="270" ht="15.75" customHeight="1">
      <c r="B270" s="2"/>
      <c r="C270" s="2"/>
      <c r="D270" s="2"/>
      <c r="E270" s="2"/>
      <c r="L270" s="2"/>
      <c r="M270" s="2"/>
    </row>
    <row r="271" ht="15.75" customHeight="1">
      <c r="B271" s="2"/>
      <c r="C271" s="2"/>
      <c r="D271" s="2"/>
      <c r="E271" s="2"/>
      <c r="L271" s="2"/>
      <c r="M271" s="2"/>
    </row>
    <row r="272" ht="15.75" customHeight="1">
      <c r="B272" s="2"/>
      <c r="C272" s="2"/>
      <c r="D272" s="2"/>
      <c r="E272" s="2"/>
      <c r="L272" s="2"/>
      <c r="M272" s="2"/>
    </row>
    <row r="273" ht="15.75" customHeight="1">
      <c r="B273" s="2"/>
      <c r="C273" s="2"/>
      <c r="D273" s="2"/>
      <c r="E273" s="2"/>
      <c r="L273" s="2"/>
      <c r="M273" s="2"/>
    </row>
    <row r="274" ht="15.75" customHeight="1">
      <c r="B274" s="2"/>
      <c r="C274" s="2"/>
      <c r="D274" s="2"/>
      <c r="E274" s="2"/>
      <c r="L274" s="2"/>
      <c r="M274" s="2"/>
    </row>
    <row r="275" ht="15.75" customHeight="1">
      <c r="B275" s="2"/>
      <c r="C275" s="2"/>
      <c r="D275" s="2"/>
      <c r="E275" s="2"/>
      <c r="L275" s="2"/>
      <c r="M275" s="2"/>
    </row>
    <row r="276" ht="15.75" customHeight="1">
      <c r="B276" s="2"/>
      <c r="C276" s="2"/>
      <c r="D276" s="2"/>
      <c r="E276" s="2"/>
      <c r="L276" s="2"/>
      <c r="M276" s="2"/>
    </row>
    <row r="277" ht="15.75" customHeight="1">
      <c r="B277" s="2"/>
      <c r="C277" s="2"/>
      <c r="D277" s="2"/>
      <c r="E277" s="2"/>
      <c r="L277" s="2"/>
      <c r="M277" s="2"/>
    </row>
    <row r="278" ht="15.75" customHeight="1">
      <c r="B278" s="2"/>
      <c r="C278" s="2"/>
      <c r="D278" s="2"/>
      <c r="E278" s="2"/>
      <c r="L278" s="2"/>
      <c r="M278" s="2"/>
    </row>
    <row r="279" ht="15.75" customHeight="1">
      <c r="B279" s="2"/>
      <c r="C279" s="2"/>
      <c r="D279" s="2"/>
      <c r="E279" s="2"/>
      <c r="L279" s="2"/>
      <c r="M279" s="2"/>
    </row>
    <row r="280" ht="15.75" customHeight="1">
      <c r="B280" s="2"/>
      <c r="C280" s="2"/>
      <c r="D280" s="2"/>
      <c r="E280" s="2"/>
      <c r="L280" s="2"/>
      <c r="M280" s="2"/>
    </row>
    <row r="281" ht="15.75" customHeight="1">
      <c r="B281" s="2"/>
      <c r="C281" s="2"/>
      <c r="D281" s="2"/>
      <c r="E281" s="2"/>
      <c r="L281" s="2"/>
      <c r="M281" s="2"/>
    </row>
    <row r="282" ht="15.75" customHeight="1">
      <c r="B282" s="2"/>
      <c r="C282" s="2"/>
      <c r="D282" s="2"/>
      <c r="E282" s="2"/>
      <c r="L282" s="2"/>
      <c r="M282" s="2"/>
    </row>
    <row r="283" ht="15.75" customHeight="1">
      <c r="B283" s="2"/>
      <c r="C283" s="2"/>
      <c r="D283" s="2"/>
      <c r="E283" s="2"/>
      <c r="L283" s="2"/>
      <c r="M283" s="2"/>
    </row>
    <row r="284" ht="15.75" customHeight="1">
      <c r="B284" s="2"/>
      <c r="C284" s="2"/>
      <c r="D284" s="2"/>
      <c r="E284" s="2"/>
      <c r="L284" s="2"/>
      <c r="M284" s="2"/>
    </row>
    <row r="285" ht="15.75" customHeight="1">
      <c r="B285" s="2"/>
      <c r="C285" s="2"/>
      <c r="D285" s="2"/>
      <c r="E285" s="2"/>
      <c r="L285" s="2"/>
      <c r="M285" s="2"/>
    </row>
    <row r="286" ht="15.75" customHeight="1">
      <c r="B286" s="2"/>
      <c r="C286" s="2"/>
      <c r="D286" s="2"/>
      <c r="E286" s="2"/>
      <c r="L286" s="2"/>
      <c r="M286" s="2"/>
    </row>
    <row r="287" ht="15.75" customHeight="1">
      <c r="B287" s="2"/>
      <c r="C287" s="2"/>
      <c r="D287" s="2"/>
      <c r="E287" s="2"/>
      <c r="L287" s="2"/>
      <c r="M287" s="2"/>
    </row>
    <row r="288" ht="15.75" customHeight="1">
      <c r="B288" s="2"/>
      <c r="C288" s="2"/>
      <c r="D288" s="2"/>
      <c r="E288" s="2"/>
      <c r="L288" s="2"/>
      <c r="M288" s="2"/>
    </row>
    <row r="289" ht="15.75" customHeight="1">
      <c r="B289" s="2"/>
      <c r="C289" s="2"/>
      <c r="D289" s="2"/>
      <c r="E289" s="2"/>
      <c r="L289" s="2"/>
      <c r="M289" s="2"/>
    </row>
    <row r="290" ht="15.75" customHeight="1">
      <c r="B290" s="2"/>
      <c r="C290" s="2"/>
      <c r="D290" s="2"/>
      <c r="E290" s="2"/>
      <c r="L290" s="2"/>
      <c r="M290" s="2"/>
    </row>
    <row r="291" ht="15.75" customHeight="1">
      <c r="B291" s="2"/>
      <c r="C291" s="2"/>
      <c r="D291" s="2"/>
      <c r="E291" s="2"/>
      <c r="L291" s="2"/>
      <c r="M291" s="2"/>
    </row>
    <row r="292" ht="15.75" customHeight="1">
      <c r="B292" s="2"/>
      <c r="C292" s="2"/>
      <c r="D292" s="2"/>
      <c r="E292" s="2"/>
      <c r="L292" s="2"/>
      <c r="M292" s="2"/>
    </row>
    <row r="293" ht="15.75" customHeight="1">
      <c r="B293" s="2"/>
      <c r="C293" s="2"/>
      <c r="D293" s="2"/>
      <c r="E293" s="2"/>
      <c r="L293" s="2"/>
      <c r="M293" s="2"/>
    </row>
    <row r="294" ht="15.75" customHeight="1">
      <c r="B294" s="2"/>
      <c r="C294" s="2"/>
      <c r="D294" s="2"/>
      <c r="E294" s="2"/>
      <c r="L294" s="2"/>
      <c r="M294" s="2"/>
    </row>
    <row r="295" ht="15.75" customHeight="1">
      <c r="B295" s="2"/>
      <c r="C295" s="2"/>
      <c r="D295" s="2"/>
      <c r="E295" s="2"/>
      <c r="L295" s="2"/>
      <c r="M295" s="2"/>
    </row>
    <row r="296" ht="15.75" customHeight="1">
      <c r="B296" s="2"/>
      <c r="C296" s="2"/>
      <c r="D296" s="2"/>
      <c r="E296" s="2"/>
      <c r="L296" s="2"/>
      <c r="M296" s="2"/>
    </row>
    <row r="297" ht="15.75" customHeight="1">
      <c r="B297" s="2"/>
      <c r="C297" s="2"/>
      <c r="D297" s="2"/>
      <c r="E297" s="2"/>
      <c r="L297" s="2"/>
      <c r="M297" s="2"/>
    </row>
    <row r="298" ht="15.75" customHeight="1">
      <c r="B298" s="2"/>
      <c r="C298" s="2"/>
      <c r="D298" s="2"/>
      <c r="E298" s="2"/>
      <c r="L298" s="2"/>
      <c r="M298" s="2"/>
    </row>
    <row r="299" ht="15.75" customHeight="1">
      <c r="B299" s="2"/>
      <c r="C299" s="2"/>
      <c r="D299" s="2"/>
      <c r="E299" s="2"/>
      <c r="L299" s="2"/>
      <c r="M299" s="2"/>
    </row>
    <row r="300" ht="15.75" customHeight="1">
      <c r="B300" s="2"/>
      <c r="C300" s="2"/>
      <c r="D300" s="2"/>
      <c r="E300" s="2"/>
      <c r="L300" s="2"/>
      <c r="M300" s="2"/>
    </row>
    <row r="301" ht="15.75" customHeight="1">
      <c r="B301" s="2"/>
      <c r="C301" s="2"/>
      <c r="D301" s="2"/>
      <c r="E301" s="2"/>
      <c r="L301" s="2"/>
      <c r="M301" s="2"/>
    </row>
    <row r="302" ht="15.75" customHeight="1">
      <c r="B302" s="2"/>
      <c r="C302" s="2"/>
      <c r="D302" s="2"/>
      <c r="E302" s="2"/>
      <c r="L302" s="2"/>
      <c r="M302" s="2"/>
    </row>
    <row r="303" ht="15.75" customHeight="1">
      <c r="B303" s="2"/>
      <c r="C303" s="2"/>
      <c r="D303" s="2"/>
      <c r="E303" s="2"/>
      <c r="L303" s="2"/>
      <c r="M303" s="2"/>
    </row>
    <row r="304" ht="15.75" customHeight="1">
      <c r="B304" s="2"/>
      <c r="C304" s="2"/>
      <c r="D304" s="2"/>
      <c r="E304" s="2"/>
      <c r="L304" s="2"/>
      <c r="M304" s="2"/>
    </row>
    <row r="305" ht="15.75" customHeight="1">
      <c r="B305" s="2"/>
      <c r="C305" s="2"/>
      <c r="D305" s="2"/>
      <c r="E305" s="2"/>
      <c r="L305" s="2"/>
      <c r="M305" s="2"/>
    </row>
    <row r="306" ht="15.75" customHeight="1">
      <c r="B306" s="2"/>
      <c r="C306" s="2"/>
      <c r="D306" s="2"/>
      <c r="E306" s="2"/>
      <c r="L306" s="2"/>
      <c r="M306" s="2"/>
    </row>
    <row r="307" ht="15.75" customHeight="1">
      <c r="B307" s="2"/>
      <c r="C307" s="2"/>
      <c r="D307" s="2"/>
      <c r="E307" s="2"/>
      <c r="L307" s="2"/>
      <c r="M307" s="2"/>
    </row>
    <row r="308" ht="15.75" customHeight="1">
      <c r="B308" s="2"/>
      <c r="C308" s="2"/>
      <c r="D308" s="2"/>
      <c r="E308" s="2"/>
      <c r="L308" s="2"/>
      <c r="M308" s="2"/>
    </row>
    <row r="309" ht="15.75" customHeight="1">
      <c r="B309" s="2"/>
      <c r="C309" s="2"/>
      <c r="D309" s="2"/>
      <c r="E309" s="2"/>
      <c r="L309" s="2"/>
      <c r="M309" s="2"/>
    </row>
    <row r="310" ht="15.75" customHeight="1">
      <c r="B310" s="2"/>
      <c r="C310" s="2"/>
      <c r="D310" s="2"/>
      <c r="E310" s="2"/>
      <c r="L310" s="2"/>
      <c r="M310" s="2"/>
    </row>
    <row r="311" ht="15.75" customHeight="1">
      <c r="B311" s="2"/>
      <c r="C311" s="2"/>
      <c r="D311" s="2"/>
      <c r="E311" s="2"/>
      <c r="L311" s="2"/>
      <c r="M311" s="2"/>
    </row>
    <row r="312" ht="15.75" customHeight="1">
      <c r="B312" s="2"/>
      <c r="C312" s="2"/>
      <c r="D312" s="2"/>
      <c r="E312" s="2"/>
      <c r="L312" s="2"/>
      <c r="M312" s="2"/>
    </row>
    <row r="313" ht="15.75" customHeight="1">
      <c r="B313" s="2"/>
      <c r="C313" s="2"/>
      <c r="D313" s="2"/>
      <c r="E313" s="2"/>
      <c r="L313" s="2"/>
      <c r="M313" s="2"/>
    </row>
    <row r="314" ht="15.75" customHeight="1">
      <c r="B314" s="2"/>
      <c r="C314" s="2"/>
      <c r="D314" s="2"/>
      <c r="E314" s="2"/>
      <c r="L314" s="2"/>
      <c r="M314" s="2"/>
    </row>
    <row r="315" ht="15.75" customHeight="1">
      <c r="B315" s="2"/>
      <c r="C315" s="2"/>
      <c r="D315" s="2"/>
      <c r="E315" s="2"/>
      <c r="L315" s="2"/>
      <c r="M315" s="2"/>
    </row>
    <row r="316" ht="15.75" customHeight="1">
      <c r="B316" s="2"/>
      <c r="C316" s="2"/>
      <c r="D316" s="2"/>
      <c r="E316" s="2"/>
      <c r="L316" s="2"/>
      <c r="M316" s="2"/>
    </row>
    <row r="317" ht="15.75" customHeight="1">
      <c r="B317" s="2"/>
      <c r="C317" s="2"/>
      <c r="D317" s="2"/>
      <c r="E317" s="2"/>
      <c r="L317" s="2"/>
      <c r="M317" s="2"/>
    </row>
    <row r="318" ht="15.75" customHeight="1">
      <c r="B318" s="2"/>
      <c r="C318" s="2"/>
      <c r="D318" s="2"/>
      <c r="E318" s="2"/>
      <c r="L318" s="2"/>
      <c r="M318" s="2"/>
    </row>
    <row r="319" ht="15.75" customHeight="1">
      <c r="B319" s="2"/>
      <c r="C319" s="2"/>
      <c r="D319" s="2"/>
      <c r="E319" s="2"/>
      <c r="L319" s="2"/>
      <c r="M319" s="2"/>
    </row>
    <row r="320" ht="15.75" customHeight="1">
      <c r="B320" s="2"/>
      <c r="C320" s="2"/>
      <c r="D320" s="2"/>
      <c r="E320" s="2"/>
      <c r="L320" s="2"/>
      <c r="M320" s="2"/>
    </row>
    <row r="321" ht="15.75" customHeight="1">
      <c r="B321" s="2"/>
      <c r="C321" s="2"/>
      <c r="D321" s="2"/>
      <c r="E321" s="2"/>
      <c r="L321" s="2"/>
      <c r="M321" s="2"/>
    </row>
    <row r="322" ht="15.75" customHeight="1">
      <c r="B322" s="2"/>
      <c r="C322" s="2"/>
      <c r="D322" s="2"/>
      <c r="E322" s="2"/>
      <c r="L322" s="2"/>
      <c r="M322" s="2"/>
    </row>
    <row r="323" ht="15.75" customHeight="1">
      <c r="B323" s="2"/>
      <c r="C323" s="2"/>
      <c r="D323" s="2"/>
      <c r="E323" s="2"/>
      <c r="L323" s="2"/>
      <c r="M323" s="2"/>
    </row>
    <row r="324" ht="15.75" customHeight="1">
      <c r="B324" s="2"/>
      <c r="C324" s="2"/>
      <c r="D324" s="2"/>
      <c r="E324" s="2"/>
      <c r="L324" s="2"/>
      <c r="M324" s="2"/>
    </row>
    <row r="325" ht="15.75" customHeight="1">
      <c r="B325" s="2"/>
      <c r="C325" s="2"/>
      <c r="D325" s="2"/>
      <c r="E325" s="2"/>
      <c r="L325" s="2"/>
      <c r="M325" s="2"/>
    </row>
    <row r="326" ht="15.75" customHeight="1">
      <c r="B326" s="2"/>
      <c r="C326" s="2"/>
      <c r="D326" s="2"/>
      <c r="E326" s="2"/>
      <c r="L326" s="2"/>
      <c r="M326" s="2"/>
    </row>
    <row r="327" ht="15.75" customHeight="1">
      <c r="B327" s="2"/>
      <c r="C327" s="2"/>
      <c r="D327" s="2"/>
      <c r="E327" s="2"/>
      <c r="L327" s="2"/>
      <c r="M327" s="2"/>
    </row>
    <row r="328" ht="15.75" customHeight="1">
      <c r="B328" s="2"/>
      <c r="C328" s="2"/>
      <c r="D328" s="2"/>
      <c r="E328" s="2"/>
      <c r="L328" s="2"/>
      <c r="M328" s="2"/>
    </row>
    <row r="329" ht="15.75" customHeight="1">
      <c r="B329" s="2"/>
      <c r="C329" s="2"/>
      <c r="D329" s="2"/>
      <c r="E329" s="2"/>
      <c r="L329" s="2"/>
      <c r="M329" s="2"/>
    </row>
    <row r="330" ht="15.75" customHeight="1">
      <c r="B330" s="2"/>
      <c r="C330" s="2"/>
      <c r="D330" s="2"/>
      <c r="E330" s="2"/>
      <c r="L330" s="2"/>
      <c r="M330" s="2"/>
    </row>
    <row r="331" ht="15.75" customHeight="1">
      <c r="B331" s="2"/>
      <c r="C331" s="2"/>
      <c r="D331" s="2"/>
      <c r="E331" s="2"/>
      <c r="L331" s="2"/>
      <c r="M331" s="2"/>
    </row>
    <row r="332" ht="15.75" customHeight="1">
      <c r="B332" s="2"/>
      <c r="C332" s="2"/>
      <c r="D332" s="2"/>
      <c r="E332" s="2"/>
      <c r="L332" s="2"/>
      <c r="M332" s="2"/>
    </row>
    <row r="333" ht="15.75" customHeight="1">
      <c r="B333" s="2"/>
      <c r="C333" s="2"/>
      <c r="D333" s="2"/>
      <c r="E333" s="2"/>
      <c r="L333" s="2"/>
      <c r="M333" s="2"/>
    </row>
    <row r="334" ht="15.75" customHeight="1">
      <c r="B334" s="2"/>
      <c r="C334" s="2"/>
      <c r="D334" s="2"/>
      <c r="E334" s="2"/>
      <c r="L334" s="2"/>
      <c r="M334" s="2"/>
    </row>
    <row r="335" ht="15.75" customHeight="1">
      <c r="B335" s="2"/>
      <c r="C335" s="2"/>
      <c r="D335" s="2"/>
      <c r="E335" s="2"/>
      <c r="L335" s="2"/>
      <c r="M335" s="2"/>
    </row>
    <row r="336" ht="15.75" customHeight="1">
      <c r="B336" s="2"/>
      <c r="C336" s="2"/>
      <c r="D336" s="2"/>
      <c r="E336" s="2"/>
      <c r="L336" s="2"/>
      <c r="M336" s="2"/>
    </row>
    <row r="337" ht="15.75" customHeight="1">
      <c r="B337" s="2"/>
      <c r="C337" s="2"/>
      <c r="D337" s="2"/>
      <c r="E337" s="2"/>
      <c r="L337" s="2"/>
      <c r="M337" s="2"/>
    </row>
    <row r="338" ht="15.75" customHeight="1">
      <c r="B338" s="2"/>
      <c r="C338" s="2"/>
      <c r="D338" s="2"/>
      <c r="E338" s="2"/>
      <c r="L338" s="2"/>
      <c r="M338" s="2"/>
    </row>
    <row r="339" ht="15.75" customHeight="1">
      <c r="B339" s="2"/>
      <c r="C339" s="2"/>
      <c r="D339" s="2"/>
      <c r="E339" s="2"/>
      <c r="L339" s="2"/>
      <c r="M339" s="2"/>
    </row>
    <row r="340" ht="15.75" customHeight="1">
      <c r="B340" s="2"/>
      <c r="C340" s="2"/>
      <c r="D340" s="2"/>
      <c r="E340" s="2"/>
      <c r="L340" s="2"/>
      <c r="M340" s="2"/>
    </row>
    <row r="341" ht="15.75" customHeight="1">
      <c r="B341" s="2"/>
      <c r="C341" s="2"/>
      <c r="D341" s="2"/>
      <c r="E341" s="2"/>
      <c r="L341" s="2"/>
      <c r="M341" s="2"/>
    </row>
    <row r="342" ht="15.75" customHeight="1">
      <c r="B342" s="2"/>
      <c r="C342" s="2"/>
      <c r="D342" s="2"/>
      <c r="E342" s="2"/>
      <c r="L342" s="2"/>
      <c r="M342" s="2"/>
    </row>
    <row r="343" ht="15.75" customHeight="1">
      <c r="B343" s="2"/>
      <c r="C343" s="2"/>
      <c r="D343" s="2"/>
      <c r="E343" s="2"/>
      <c r="L343" s="2"/>
      <c r="M343" s="2"/>
    </row>
    <row r="344" ht="15.75" customHeight="1">
      <c r="B344" s="2"/>
      <c r="C344" s="2"/>
      <c r="D344" s="2"/>
      <c r="E344" s="2"/>
      <c r="L344" s="2"/>
      <c r="M344" s="2"/>
    </row>
    <row r="345" ht="15.75" customHeight="1">
      <c r="B345" s="2"/>
      <c r="C345" s="2"/>
      <c r="D345" s="2"/>
      <c r="E345" s="2"/>
      <c r="L345" s="2"/>
      <c r="M345" s="2"/>
    </row>
    <row r="346" ht="15.75" customHeight="1">
      <c r="B346" s="2"/>
      <c r="C346" s="2"/>
      <c r="D346" s="2"/>
      <c r="E346" s="2"/>
      <c r="L346" s="2"/>
      <c r="M346" s="2"/>
    </row>
    <row r="347" ht="15.75" customHeight="1">
      <c r="B347" s="2"/>
      <c r="C347" s="2"/>
      <c r="D347" s="2"/>
      <c r="E347" s="2"/>
      <c r="L347" s="2"/>
      <c r="M347" s="2"/>
    </row>
    <row r="348" ht="15.75" customHeight="1">
      <c r="B348" s="2"/>
      <c r="C348" s="2"/>
      <c r="D348" s="2"/>
      <c r="E348" s="2"/>
      <c r="L348" s="2"/>
      <c r="M348" s="2"/>
    </row>
    <row r="349" ht="15.75" customHeight="1">
      <c r="B349" s="2"/>
      <c r="C349" s="2"/>
      <c r="D349" s="2"/>
      <c r="E349" s="2"/>
      <c r="L349" s="2"/>
      <c r="M349" s="2"/>
    </row>
    <row r="350" ht="15.75" customHeight="1">
      <c r="B350" s="2"/>
      <c r="C350" s="2"/>
      <c r="D350" s="2"/>
      <c r="E350" s="2"/>
      <c r="L350" s="2"/>
      <c r="M350" s="2"/>
    </row>
    <row r="351" ht="15.75" customHeight="1">
      <c r="B351" s="2"/>
      <c r="C351" s="2"/>
      <c r="D351" s="2"/>
      <c r="E351" s="2"/>
      <c r="L351" s="2"/>
      <c r="M351" s="2"/>
    </row>
    <row r="352" ht="15.75" customHeight="1">
      <c r="B352" s="2"/>
      <c r="C352" s="2"/>
      <c r="D352" s="2"/>
      <c r="E352" s="2"/>
      <c r="L352" s="2"/>
      <c r="M352" s="2"/>
    </row>
    <row r="353" ht="15.75" customHeight="1">
      <c r="B353" s="2"/>
      <c r="C353" s="2"/>
      <c r="D353" s="2"/>
      <c r="E353" s="2"/>
      <c r="L353" s="2"/>
      <c r="M353" s="2"/>
    </row>
    <row r="354" ht="15.75" customHeight="1">
      <c r="B354" s="2"/>
      <c r="C354" s="2"/>
      <c r="D354" s="2"/>
      <c r="E354" s="2"/>
      <c r="L354" s="2"/>
      <c r="M354" s="2"/>
    </row>
    <row r="355" ht="15.75" customHeight="1">
      <c r="B355" s="2"/>
      <c r="C355" s="2"/>
      <c r="D355" s="2"/>
      <c r="E355" s="2"/>
      <c r="L355" s="2"/>
      <c r="M355" s="2"/>
    </row>
    <row r="356" ht="15.75" customHeight="1">
      <c r="B356" s="2"/>
      <c r="C356" s="2"/>
      <c r="D356" s="2"/>
      <c r="E356" s="2"/>
      <c r="L356" s="2"/>
      <c r="M356" s="2"/>
    </row>
    <row r="357" ht="15.75" customHeight="1">
      <c r="B357" s="2"/>
      <c r="C357" s="2"/>
      <c r="D357" s="2"/>
      <c r="E357" s="2"/>
      <c r="L357" s="2"/>
      <c r="M357" s="2"/>
    </row>
    <row r="358" ht="15.75" customHeight="1">
      <c r="B358" s="2"/>
      <c r="C358" s="2"/>
      <c r="D358" s="2"/>
      <c r="E358" s="2"/>
      <c r="L358" s="2"/>
      <c r="M358" s="2"/>
    </row>
    <row r="359" ht="15.75" customHeight="1">
      <c r="B359" s="2"/>
      <c r="C359" s="2"/>
      <c r="D359" s="2"/>
      <c r="E359" s="2"/>
      <c r="L359" s="2"/>
      <c r="M359" s="2"/>
    </row>
    <row r="360" ht="15.75" customHeight="1">
      <c r="B360" s="2"/>
      <c r="C360" s="2"/>
      <c r="D360" s="2"/>
      <c r="E360" s="2"/>
      <c r="L360" s="2"/>
      <c r="M360" s="2"/>
    </row>
    <row r="361" ht="15.75" customHeight="1">
      <c r="B361" s="2"/>
      <c r="C361" s="2"/>
      <c r="D361" s="2"/>
      <c r="E361" s="2"/>
      <c r="L361" s="2"/>
      <c r="M361" s="2"/>
    </row>
    <row r="362" ht="15.75" customHeight="1">
      <c r="B362" s="2"/>
      <c r="C362" s="2"/>
      <c r="D362" s="2"/>
      <c r="E362" s="2"/>
      <c r="L362" s="2"/>
      <c r="M362" s="2"/>
    </row>
    <row r="363" ht="15.75" customHeight="1">
      <c r="B363" s="2"/>
      <c r="C363" s="2"/>
      <c r="D363" s="2"/>
      <c r="E363" s="2"/>
      <c r="L363" s="2"/>
      <c r="M363" s="2"/>
    </row>
    <row r="364" ht="15.75" customHeight="1">
      <c r="B364" s="2"/>
      <c r="C364" s="2"/>
      <c r="D364" s="2"/>
      <c r="E364" s="2"/>
      <c r="L364" s="2"/>
      <c r="M364" s="2"/>
    </row>
    <row r="365" ht="15.75" customHeight="1">
      <c r="B365" s="2"/>
      <c r="C365" s="2"/>
      <c r="D365" s="2"/>
      <c r="E365" s="2"/>
      <c r="L365" s="2"/>
      <c r="M365" s="2"/>
    </row>
    <row r="366" ht="15.75" customHeight="1">
      <c r="B366" s="2"/>
      <c r="C366" s="2"/>
      <c r="D366" s="2"/>
      <c r="E366" s="2"/>
      <c r="L366" s="2"/>
      <c r="M366" s="2"/>
    </row>
    <row r="367" ht="15.75" customHeight="1">
      <c r="B367" s="2"/>
      <c r="C367" s="2"/>
      <c r="D367" s="2"/>
      <c r="E367" s="2"/>
      <c r="L367" s="2"/>
      <c r="M367" s="2"/>
    </row>
    <row r="368" ht="15.75" customHeight="1">
      <c r="B368" s="2"/>
      <c r="C368" s="2"/>
      <c r="D368" s="2"/>
      <c r="E368" s="2"/>
      <c r="L368" s="2"/>
      <c r="M368" s="2"/>
    </row>
    <row r="369" ht="15.75" customHeight="1">
      <c r="B369" s="2"/>
      <c r="C369" s="2"/>
      <c r="D369" s="2"/>
      <c r="E369" s="2"/>
      <c r="L369" s="2"/>
      <c r="M369" s="2"/>
    </row>
    <row r="370" ht="15.75" customHeight="1">
      <c r="B370" s="2"/>
      <c r="C370" s="2"/>
      <c r="D370" s="2"/>
      <c r="E370" s="2"/>
      <c r="L370" s="2"/>
      <c r="M370" s="2"/>
    </row>
    <row r="371" ht="15.75" customHeight="1">
      <c r="B371" s="2"/>
      <c r="C371" s="2"/>
      <c r="D371" s="2"/>
      <c r="E371" s="2"/>
      <c r="L371" s="2"/>
      <c r="M371" s="2"/>
    </row>
    <row r="372" ht="15.75" customHeight="1">
      <c r="B372" s="2"/>
      <c r="C372" s="2"/>
      <c r="D372" s="2"/>
      <c r="E372" s="2"/>
      <c r="L372" s="2"/>
      <c r="M372" s="2"/>
    </row>
    <row r="373" ht="15.75" customHeight="1">
      <c r="B373" s="2"/>
      <c r="C373" s="2"/>
      <c r="D373" s="2"/>
      <c r="E373" s="2"/>
      <c r="L373" s="2"/>
      <c r="M373" s="2"/>
    </row>
    <row r="374" ht="15.75" customHeight="1">
      <c r="B374" s="2"/>
      <c r="C374" s="2"/>
      <c r="D374" s="2"/>
      <c r="E374" s="2"/>
      <c r="L374" s="2"/>
      <c r="M374" s="2"/>
    </row>
    <row r="375" ht="15.75" customHeight="1">
      <c r="B375" s="2"/>
      <c r="C375" s="2"/>
      <c r="D375" s="2"/>
      <c r="E375" s="2"/>
      <c r="L375" s="2"/>
      <c r="M375" s="2"/>
    </row>
    <row r="376" ht="15.75" customHeight="1">
      <c r="B376" s="2"/>
      <c r="C376" s="2"/>
      <c r="D376" s="2"/>
      <c r="E376" s="2"/>
      <c r="L376" s="2"/>
      <c r="M376" s="2"/>
    </row>
    <row r="377" ht="15.75" customHeight="1">
      <c r="B377" s="2"/>
      <c r="C377" s="2"/>
      <c r="D377" s="2"/>
      <c r="E377" s="2"/>
      <c r="L377" s="2"/>
      <c r="M377" s="2"/>
    </row>
    <row r="378" ht="15.75" customHeight="1">
      <c r="B378" s="2"/>
      <c r="C378" s="2"/>
      <c r="D378" s="2"/>
      <c r="E378" s="2"/>
      <c r="L378" s="2"/>
      <c r="M378" s="2"/>
    </row>
    <row r="379" ht="15.75" customHeight="1">
      <c r="B379" s="2"/>
      <c r="C379" s="2"/>
      <c r="D379" s="2"/>
      <c r="E379" s="2"/>
      <c r="L379" s="2"/>
      <c r="M379" s="2"/>
    </row>
    <row r="380" ht="15.75" customHeight="1">
      <c r="B380" s="2"/>
      <c r="C380" s="2"/>
      <c r="D380" s="2"/>
      <c r="E380" s="2"/>
      <c r="L380" s="2"/>
      <c r="M380" s="2"/>
    </row>
    <row r="381" ht="15.75" customHeight="1">
      <c r="B381" s="2"/>
      <c r="C381" s="2"/>
      <c r="D381" s="2"/>
      <c r="E381" s="2"/>
      <c r="L381" s="2"/>
      <c r="M381" s="2"/>
    </row>
    <row r="382" ht="15.75" customHeight="1">
      <c r="B382" s="2"/>
      <c r="C382" s="2"/>
      <c r="D382" s="2"/>
      <c r="E382" s="2"/>
      <c r="L382" s="2"/>
      <c r="M382" s="2"/>
    </row>
    <row r="383" ht="15.75" customHeight="1">
      <c r="B383" s="2"/>
      <c r="C383" s="2"/>
      <c r="D383" s="2"/>
      <c r="E383" s="2"/>
      <c r="L383" s="2"/>
      <c r="M383" s="2"/>
    </row>
    <row r="384" ht="15.75" customHeight="1">
      <c r="B384" s="2"/>
      <c r="C384" s="2"/>
      <c r="D384" s="2"/>
      <c r="E384" s="2"/>
      <c r="L384" s="2"/>
      <c r="M384" s="2"/>
    </row>
    <row r="385" ht="15.75" customHeight="1">
      <c r="B385" s="2"/>
      <c r="C385" s="2"/>
      <c r="D385" s="2"/>
      <c r="E385" s="2"/>
      <c r="L385" s="2"/>
      <c r="M385" s="2"/>
    </row>
    <row r="386" ht="15.75" customHeight="1">
      <c r="B386" s="2"/>
      <c r="C386" s="2"/>
      <c r="D386" s="2"/>
      <c r="E386" s="2"/>
      <c r="L386" s="2"/>
      <c r="M386" s="2"/>
    </row>
    <row r="387" ht="15.75" customHeight="1">
      <c r="B387" s="2"/>
      <c r="C387" s="2"/>
      <c r="D387" s="2"/>
      <c r="E387" s="2"/>
      <c r="L387" s="2"/>
      <c r="M387" s="2"/>
    </row>
    <row r="388" ht="15.75" customHeight="1">
      <c r="B388" s="2"/>
      <c r="C388" s="2"/>
      <c r="D388" s="2"/>
      <c r="E388" s="2"/>
      <c r="L388" s="2"/>
      <c r="M388" s="2"/>
    </row>
    <row r="389" ht="15.75" customHeight="1">
      <c r="B389" s="2"/>
      <c r="C389" s="2"/>
      <c r="D389" s="2"/>
      <c r="E389" s="2"/>
      <c r="L389" s="2"/>
      <c r="M389" s="2"/>
    </row>
    <row r="390" ht="15.75" customHeight="1">
      <c r="B390" s="2"/>
      <c r="C390" s="2"/>
      <c r="D390" s="2"/>
      <c r="E390" s="2"/>
      <c r="L390" s="2"/>
      <c r="M390" s="2"/>
    </row>
    <row r="391" ht="15.75" customHeight="1">
      <c r="B391" s="2"/>
      <c r="C391" s="2"/>
      <c r="D391" s="2"/>
      <c r="E391" s="2"/>
      <c r="L391" s="2"/>
      <c r="M391" s="2"/>
    </row>
    <row r="392" ht="15.75" customHeight="1">
      <c r="B392" s="2"/>
      <c r="C392" s="2"/>
      <c r="D392" s="2"/>
      <c r="E392" s="2"/>
      <c r="L392" s="2"/>
      <c r="M392" s="2"/>
    </row>
    <row r="393" ht="15.75" customHeight="1">
      <c r="B393" s="2"/>
      <c r="C393" s="2"/>
      <c r="D393" s="2"/>
      <c r="E393" s="2"/>
      <c r="L393" s="2"/>
      <c r="M393" s="2"/>
    </row>
    <row r="394" ht="15.75" customHeight="1">
      <c r="B394" s="2"/>
      <c r="C394" s="2"/>
      <c r="D394" s="2"/>
      <c r="E394" s="2"/>
      <c r="L394" s="2"/>
      <c r="M394" s="2"/>
    </row>
    <row r="395" ht="15.75" customHeight="1">
      <c r="B395" s="2"/>
      <c r="C395" s="2"/>
      <c r="D395" s="2"/>
      <c r="E395" s="2"/>
      <c r="L395" s="2"/>
      <c r="M395" s="2"/>
    </row>
    <row r="396" ht="15.75" customHeight="1">
      <c r="B396" s="2"/>
      <c r="C396" s="2"/>
      <c r="D396" s="2"/>
      <c r="E396" s="2"/>
      <c r="L396" s="2"/>
      <c r="M396" s="2"/>
    </row>
    <row r="397" ht="15.75" customHeight="1">
      <c r="B397" s="2"/>
      <c r="C397" s="2"/>
      <c r="D397" s="2"/>
      <c r="E397" s="2"/>
      <c r="L397" s="2"/>
      <c r="M397" s="2"/>
    </row>
    <row r="398" ht="15.75" customHeight="1">
      <c r="B398" s="2"/>
      <c r="C398" s="2"/>
      <c r="D398" s="2"/>
      <c r="E398" s="2"/>
      <c r="L398" s="2"/>
      <c r="M398" s="2"/>
    </row>
    <row r="399" ht="15.75" customHeight="1">
      <c r="B399" s="2"/>
      <c r="C399" s="2"/>
      <c r="D399" s="2"/>
      <c r="E399" s="2"/>
      <c r="L399" s="2"/>
      <c r="M399" s="2"/>
    </row>
    <row r="400" ht="15.75" customHeight="1">
      <c r="B400" s="2"/>
      <c r="C400" s="2"/>
      <c r="D400" s="2"/>
      <c r="E400" s="2"/>
      <c r="L400" s="2"/>
      <c r="M400" s="2"/>
    </row>
    <row r="401" ht="15.75" customHeight="1">
      <c r="B401" s="2"/>
      <c r="C401" s="2"/>
      <c r="D401" s="2"/>
      <c r="E401" s="2"/>
      <c r="L401" s="2"/>
      <c r="M401" s="2"/>
    </row>
    <row r="402" ht="15.75" customHeight="1">
      <c r="B402" s="2"/>
      <c r="C402" s="2"/>
      <c r="D402" s="2"/>
      <c r="E402" s="2"/>
      <c r="L402" s="2"/>
      <c r="M402" s="2"/>
    </row>
    <row r="403" ht="15.75" customHeight="1">
      <c r="B403" s="2"/>
      <c r="C403" s="2"/>
      <c r="D403" s="2"/>
      <c r="E403" s="2"/>
      <c r="L403" s="2"/>
      <c r="M403" s="2"/>
    </row>
    <row r="404" ht="15.75" customHeight="1">
      <c r="B404" s="2"/>
      <c r="C404" s="2"/>
      <c r="D404" s="2"/>
      <c r="E404" s="2"/>
      <c r="L404" s="2"/>
      <c r="M404" s="2"/>
    </row>
    <row r="405" ht="15.75" customHeight="1">
      <c r="B405" s="2"/>
      <c r="C405" s="2"/>
      <c r="D405" s="2"/>
      <c r="E405" s="2"/>
      <c r="L405" s="2"/>
      <c r="M405" s="2"/>
    </row>
    <row r="406" ht="15.75" customHeight="1">
      <c r="B406" s="2"/>
      <c r="C406" s="2"/>
      <c r="D406" s="2"/>
      <c r="E406" s="2"/>
      <c r="L406" s="2"/>
      <c r="M406" s="2"/>
    </row>
    <row r="407" ht="15.75" customHeight="1">
      <c r="B407" s="2"/>
      <c r="C407" s="2"/>
      <c r="D407" s="2"/>
      <c r="E407" s="2"/>
      <c r="L407" s="2"/>
      <c r="M407" s="2"/>
    </row>
    <row r="408" ht="15.75" customHeight="1">
      <c r="B408" s="2"/>
      <c r="C408" s="2"/>
      <c r="D408" s="2"/>
      <c r="E408" s="2"/>
      <c r="L408" s="2"/>
      <c r="M408" s="2"/>
    </row>
    <row r="409" ht="15.75" customHeight="1">
      <c r="B409" s="2"/>
      <c r="C409" s="2"/>
      <c r="D409" s="2"/>
      <c r="E409" s="2"/>
      <c r="L409" s="2"/>
      <c r="M409" s="2"/>
    </row>
    <row r="410" ht="15.75" customHeight="1">
      <c r="B410" s="2"/>
      <c r="C410" s="2"/>
      <c r="D410" s="2"/>
      <c r="E410" s="2"/>
      <c r="L410" s="2"/>
      <c r="M410" s="2"/>
    </row>
    <row r="411" ht="15.75" customHeight="1">
      <c r="B411" s="2"/>
      <c r="C411" s="2"/>
      <c r="D411" s="2"/>
      <c r="E411" s="2"/>
      <c r="L411" s="2"/>
      <c r="M411" s="2"/>
    </row>
    <row r="412" ht="15.75" customHeight="1">
      <c r="B412" s="2"/>
      <c r="C412" s="2"/>
      <c r="D412" s="2"/>
      <c r="E412" s="2"/>
      <c r="L412" s="2"/>
      <c r="M412" s="2"/>
    </row>
    <row r="413" ht="15.75" customHeight="1">
      <c r="B413" s="2"/>
      <c r="C413" s="2"/>
      <c r="D413" s="2"/>
      <c r="E413" s="2"/>
      <c r="L413" s="2"/>
      <c r="M413" s="2"/>
    </row>
    <row r="414" ht="15.75" customHeight="1">
      <c r="B414" s="2"/>
      <c r="C414" s="2"/>
      <c r="D414" s="2"/>
      <c r="E414" s="2"/>
      <c r="L414" s="2"/>
      <c r="M414" s="2"/>
    </row>
    <row r="415" ht="15.75" customHeight="1">
      <c r="B415" s="2"/>
      <c r="C415" s="2"/>
      <c r="D415" s="2"/>
      <c r="E415" s="2"/>
      <c r="L415" s="2"/>
      <c r="M415" s="2"/>
    </row>
    <row r="416" ht="15.75" customHeight="1">
      <c r="B416" s="2"/>
      <c r="C416" s="2"/>
      <c r="D416" s="2"/>
      <c r="E416" s="2"/>
      <c r="L416" s="2"/>
      <c r="M416" s="2"/>
    </row>
    <row r="417" ht="15.75" customHeight="1">
      <c r="B417" s="2"/>
      <c r="C417" s="2"/>
      <c r="D417" s="2"/>
      <c r="E417" s="2"/>
      <c r="L417" s="2"/>
      <c r="M417" s="2"/>
    </row>
    <row r="418" ht="15.75" customHeight="1">
      <c r="B418" s="2"/>
      <c r="C418" s="2"/>
      <c r="D418" s="2"/>
      <c r="E418" s="2"/>
      <c r="L418" s="2"/>
      <c r="M418" s="2"/>
    </row>
    <row r="419" ht="15.75" customHeight="1">
      <c r="B419" s="2"/>
      <c r="C419" s="2"/>
      <c r="D419" s="2"/>
      <c r="E419" s="2"/>
      <c r="L419" s="2"/>
      <c r="M419" s="2"/>
    </row>
    <row r="420" ht="15.75" customHeight="1">
      <c r="B420" s="2"/>
      <c r="C420" s="2"/>
      <c r="D420" s="2"/>
      <c r="E420" s="2"/>
      <c r="L420" s="2"/>
      <c r="M420" s="2"/>
    </row>
    <row r="421" ht="15.75" customHeight="1">
      <c r="B421" s="2"/>
      <c r="C421" s="2"/>
      <c r="D421" s="2"/>
      <c r="E421" s="2"/>
      <c r="L421" s="2"/>
      <c r="M421" s="2"/>
    </row>
    <row r="422" ht="15.75" customHeight="1">
      <c r="B422" s="2"/>
      <c r="C422" s="2"/>
      <c r="D422" s="2"/>
      <c r="E422" s="2"/>
      <c r="L422" s="2"/>
      <c r="M422" s="2"/>
    </row>
    <row r="423" ht="15.75" customHeight="1">
      <c r="B423" s="2"/>
      <c r="C423" s="2"/>
      <c r="D423" s="2"/>
      <c r="E423" s="2"/>
      <c r="L423" s="2"/>
      <c r="M423" s="2"/>
    </row>
    <row r="424" ht="15.75" customHeight="1">
      <c r="B424" s="2"/>
      <c r="C424" s="2"/>
      <c r="D424" s="2"/>
      <c r="E424" s="2"/>
      <c r="L424" s="2"/>
      <c r="M424" s="2"/>
    </row>
    <row r="425" ht="15.75" customHeight="1">
      <c r="B425" s="2"/>
      <c r="C425" s="2"/>
      <c r="D425" s="2"/>
      <c r="E425" s="2"/>
      <c r="L425" s="2"/>
      <c r="M425" s="2"/>
    </row>
    <row r="426" ht="15.75" customHeight="1">
      <c r="B426" s="2"/>
      <c r="C426" s="2"/>
      <c r="D426" s="2"/>
      <c r="E426" s="2"/>
      <c r="L426" s="2"/>
      <c r="M426" s="2"/>
    </row>
    <row r="427" ht="15.75" customHeight="1">
      <c r="B427" s="2"/>
      <c r="C427" s="2"/>
      <c r="D427" s="2"/>
      <c r="E427" s="2"/>
      <c r="L427" s="2"/>
      <c r="M427" s="2"/>
    </row>
    <row r="428" ht="15.75" customHeight="1">
      <c r="B428" s="2"/>
      <c r="C428" s="2"/>
      <c r="D428" s="2"/>
      <c r="E428" s="2"/>
      <c r="L428" s="2"/>
      <c r="M428" s="2"/>
    </row>
    <row r="429" ht="15.75" customHeight="1">
      <c r="B429" s="2"/>
      <c r="C429" s="2"/>
      <c r="D429" s="2"/>
      <c r="E429" s="2"/>
      <c r="L429" s="2"/>
      <c r="M429" s="2"/>
    </row>
    <row r="430" ht="15.75" customHeight="1">
      <c r="B430" s="2"/>
      <c r="C430" s="2"/>
      <c r="D430" s="2"/>
      <c r="E430" s="2"/>
      <c r="L430" s="2"/>
      <c r="M430" s="2"/>
    </row>
    <row r="431" ht="15.75" customHeight="1">
      <c r="B431" s="2"/>
      <c r="C431" s="2"/>
      <c r="D431" s="2"/>
      <c r="E431" s="2"/>
      <c r="L431" s="2"/>
      <c r="M431" s="2"/>
    </row>
    <row r="432" ht="15.75" customHeight="1">
      <c r="B432" s="2"/>
      <c r="C432" s="2"/>
      <c r="D432" s="2"/>
      <c r="E432" s="2"/>
      <c r="L432" s="2"/>
      <c r="M432" s="2"/>
    </row>
    <row r="433" ht="15.75" customHeight="1">
      <c r="B433" s="2"/>
      <c r="C433" s="2"/>
      <c r="D433" s="2"/>
      <c r="E433" s="2"/>
      <c r="L433" s="2"/>
      <c r="M433" s="2"/>
    </row>
    <row r="434" ht="15.75" customHeight="1">
      <c r="B434" s="2"/>
      <c r="C434" s="2"/>
      <c r="D434" s="2"/>
      <c r="E434" s="2"/>
      <c r="L434" s="2"/>
      <c r="M434" s="2"/>
    </row>
    <row r="435" ht="15.75" customHeight="1">
      <c r="B435" s="2"/>
      <c r="C435" s="2"/>
      <c r="D435" s="2"/>
      <c r="E435" s="2"/>
      <c r="L435" s="2"/>
      <c r="M435" s="2"/>
    </row>
    <row r="436" ht="15.75" customHeight="1">
      <c r="B436" s="2"/>
      <c r="C436" s="2"/>
      <c r="D436" s="2"/>
      <c r="E436" s="2"/>
      <c r="L436" s="2"/>
      <c r="M436" s="2"/>
    </row>
    <row r="437" ht="15.75" customHeight="1">
      <c r="B437" s="2"/>
      <c r="C437" s="2"/>
      <c r="D437" s="2"/>
      <c r="E437" s="2"/>
      <c r="L437" s="2"/>
      <c r="M437" s="2"/>
    </row>
    <row r="438" ht="15.75" customHeight="1">
      <c r="B438" s="2"/>
      <c r="C438" s="2"/>
      <c r="D438" s="2"/>
      <c r="E438" s="2"/>
      <c r="L438" s="2"/>
      <c r="M438" s="2"/>
    </row>
    <row r="439" ht="15.75" customHeight="1">
      <c r="B439" s="2"/>
      <c r="C439" s="2"/>
      <c r="D439" s="2"/>
      <c r="E439" s="2"/>
      <c r="L439" s="2"/>
      <c r="M439" s="2"/>
    </row>
    <row r="440" ht="15.75" customHeight="1">
      <c r="B440" s="2"/>
      <c r="C440" s="2"/>
      <c r="D440" s="2"/>
      <c r="E440" s="2"/>
      <c r="L440" s="2"/>
      <c r="M440" s="2"/>
    </row>
    <row r="441" ht="15.75" customHeight="1">
      <c r="B441" s="2"/>
      <c r="C441" s="2"/>
      <c r="D441" s="2"/>
      <c r="E441" s="2"/>
      <c r="L441" s="2"/>
      <c r="M441" s="2"/>
    </row>
    <row r="442" ht="15.75" customHeight="1">
      <c r="B442" s="2"/>
      <c r="C442" s="2"/>
      <c r="D442" s="2"/>
      <c r="E442" s="2"/>
      <c r="L442" s="2"/>
      <c r="M442" s="2"/>
    </row>
    <row r="443" ht="15.75" customHeight="1">
      <c r="B443" s="2"/>
      <c r="C443" s="2"/>
      <c r="D443" s="2"/>
      <c r="E443" s="2"/>
      <c r="L443" s="2"/>
      <c r="M443" s="2"/>
    </row>
    <row r="444" ht="15.75" customHeight="1">
      <c r="B444" s="2"/>
      <c r="C444" s="2"/>
      <c r="D444" s="2"/>
      <c r="E444" s="2"/>
      <c r="L444" s="2"/>
      <c r="M444" s="2"/>
    </row>
    <row r="445" ht="15.75" customHeight="1">
      <c r="B445" s="2"/>
      <c r="C445" s="2"/>
      <c r="D445" s="2"/>
      <c r="E445" s="2"/>
      <c r="L445" s="2"/>
      <c r="M445" s="2"/>
    </row>
    <row r="446" ht="15.75" customHeight="1">
      <c r="B446" s="2"/>
      <c r="C446" s="2"/>
      <c r="D446" s="2"/>
      <c r="E446" s="2"/>
      <c r="L446" s="2"/>
      <c r="M446" s="2"/>
    </row>
    <row r="447" ht="15.75" customHeight="1">
      <c r="B447" s="2"/>
      <c r="C447" s="2"/>
      <c r="D447" s="2"/>
      <c r="E447" s="2"/>
      <c r="L447" s="2"/>
      <c r="M447" s="2"/>
    </row>
    <row r="448" ht="15.75" customHeight="1">
      <c r="B448" s="2"/>
      <c r="C448" s="2"/>
      <c r="D448" s="2"/>
      <c r="E448" s="2"/>
      <c r="L448" s="2"/>
      <c r="M448" s="2"/>
    </row>
    <row r="449" ht="15.75" customHeight="1">
      <c r="B449" s="2"/>
      <c r="C449" s="2"/>
      <c r="D449" s="2"/>
      <c r="E449" s="2"/>
      <c r="L449" s="2"/>
      <c r="M449" s="2"/>
    </row>
    <row r="450" ht="15.75" customHeight="1">
      <c r="B450" s="2"/>
      <c r="C450" s="2"/>
      <c r="D450" s="2"/>
      <c r="E450" s="2"/>
      <c r="L450" s="2"/>
      <c r="M450" s="2"/>
    </row>
    <row r="451" ht="15.75" customHeight="1">
      <c r="B451" s="2"/>
      <c r="C451" s="2"/>
      <c r="D451" s="2"/>
      <c r="E451" s="2"/>
      <c r="L451" s="2"/>
      <c r="M451" s="2"/>
    </row>
    <row r="452" ht="15.75" customHeight="1">
      <c r="B452" s="2"/>
      <c r="C452" s="2"/>
      <c r="D452" s="2"/>
      <c r="E452" s="2"/>
      <c r="L452" s="2"/>
      <c r="M452" s="2"/>
    </row>
    <row r="453" ht="15.75" customHeight="1">
      <c r="B453" s="2"/>
      <c r="C453" s="2"/>
      <c r="D453" s="2"/>
      <c r="E453" s="2"/>
      <c r="L453" s="2"/>
      <c r="M453" s="2"/>
    </row>
    <row r="454" ht="15.75" customHeight="1">
      <c r="B454" s="2"/>
      <c r="C454" s="2"/>
      <c r="D454" s="2"/>
      <c r="E454" s="2"/>
      <c r="L454" s="2"/>
      <c r="M454" s="2"/>
    </row>
    <row r="455" ht="15.75" customHeight="1">
      <c r="B455" s="2"/>
      <c r="C455" s="2"/>
      <c r="D455" s="2"/>
      <c r="E455" s="2"/>
      <c r="L455" s="2"/>
      <c r="M455" s="2"/>
    </row>
    <row r="456" ht="15.75" customHeight="1">
      <c r="B456" s="2"/>
      <c r="C456" s="2"/>
      <c r="D456" s="2"/>
      <c r="E456" s="2"/>
      <c r="L456" s="2"/>
      <c r="M456" s="2"/>
    </row>
    <row r="457" ht="15.75" customHeight="1">
      <c r="B457" s="2"/>
      <c r="C457" s="2"/>
      <c r="D457" s="2"/>
      <c r="E457" s="2"/>
      <c r="L457" s="2"/>
      <c r="M457" s="2"/>
    </row>
    <row r="458" ht="15.75" customHeight="1">
      <c r="B458" s="2"/>
      <c r="C458" s="2"/>
      <c r="D458" s="2"/>
      <c r="E458" s="2"/>
      <c r="L458" s="2"/>
      <c r="M458" s="2"/>
    </row>
    <row r="459" ht="15.75" customHeight="1">
      <c r="B459" s="2"/>
      <c r="C459" s="2"/>
      <c r="D459" s="2"/>
      <c r="E459" s="2"/>
      <c r="L459" s="2"/>
      <c r="M459" s="2"/>
    </row>
    <row r="460" ht="15.75" customHeight="1">
      <c r="B460" s="2"/>
      <c r="C460" s="2"/>
      <c r="D460" s="2"/>
      <c r="E460" s="2"/>
      <c r="L460" s="2"/>
      <c r="M460" s="2"/>
    </row>
    <row r="461" ht="15.75" customHeight="1">
      <c r="B461" s="2"/>
      <c r="C461" s="2"/>
      <c r="D461" s="2"/>
      <c r="E461" s="2"/>
      <c r="L461" s="2"/>
      <c r="M461" s="2"/>
    </row>
    <row r="462" ht="15.75" customHeight="1">
      <c r="B462" s="2"/>
      <c r="C462" s="2"/>
      <c r="D462" s="2"/>
      <c r="E462" s="2"/>
      <c r="L462" s="2"/>
      <c r="M462" s="2"/>
    </row>
    <row r="463" ht="15.75" customHeight="1">
      <c r="B463" s="2"/>
      <c r="C463" s="2"/>
      <c r="D463" s="2"/>
      <c r="E463" s="2"/>
      <c r="L463" s="2"/>
      <c r="M463" s="2"/>
    </row>
    <row r="464" ht="15.75" customHeight="1">
      <c r="B464" s="2"/>
      <c r="C464" s="2"/>
      <c r="D464" s="2"/>
      <c r="E464" s="2"/>
      <c r="L464" s="2"/>
      <c r="M464" s="2"/>
    </row>
    <row r="465" ht="15.75" customHeight="1">
      <c r="B465" s="2"/>
      <c r="C465" s="2"/>
      <c r="D465" s="2"/>
      <c r="E465" s="2"/>
      <c r="L465" s="2"/>
      <c r="M465" s="2"/>
    </row>
    <row r="466" ht="15.75" customHeight="1">
      <c r="B466" s="2"/>
      <c r="C466" s="2"/>
      <c r="D466" s="2"/>
      <c r="E466" s="2"/>
      <c r="L466" s="2"/>
      <c r="M466" s="2"/>
    </row>
    <row r="467" ht="15.75" customHeight="1">
      <c r="B467" s="2"/>
      <c r="C467" s="2"/>
      <c r="D467" s="2"/>
      <c r="E467" s="2"/>
      <c r="L467" s="2"/>
      <c r="M467" s="2"/>
    </row>
    <row r="468" ht="15.75" customHeight="1">
      <c r="B468" s="2"/>
      <c r="C468" s="2"/>
      <c r="D468" s="2"/>
      <c r="E468" s="2"/>
      <c r="L468" s="2"/>
      <c r="M468" s="2"/>
    </row>
    <row r="469" ht="15.75" customHeight="1">
      <c r="B469" s="2"/>
      <c r="C469" s="2"/>
      <c r="D469" s="2"/>
      <c r="E469" s="2"/>
      <c r="L469" s="2"/>
      <c r="M469" s="2"/>
    </row>
    <row r="470" ht="15.75" customHeight="1">
      <c r="B470" s="2"/>
      <c r="C470" s="2"/>
      <c r="D470" s="2"/>
      <c r="E470" s="2"/>
      <c r="L470" s="2"/>
      <c r="M470" s="2"/>
    </row>
    <row r="471" ht="15.75" customHeight="1">
      <c r="B471" s="2"/>
      <c r="C471" s="2"/>
      <c r="D471" s="2"/>
      <c r="E471" s="2"/>
      <c r="L471" s="2"/>
      <c r="M471" s="2"/>
    </row>
    <row r="472" ht="15.75" customHeight="1">
      <c r="B472" s="2"/>
      <c r="C472" s="2"/>
      <c r="D472" s="2"/>
      <c r="E472" s="2"/>
      <c r="L472" s="2"/>
      <c r="M472" s="2"/>
    </row>
    <row r="473" ht="15.75" customHeight="1">
      <c r="B473" s="2"/>
      <c r="C473" s="2"/>
      <c r="D473" s="2"/>
      <c r="E473" s="2"/>
      <c r="L473" s="2"/>
      <c r="M473" s="2"/>
    </row>
    <row r="474" ht="15.75" customHeight="1">
      <c r="B474" s="2"/>
      <c r="C474" s="2"/>
      <c r="D474" s="2"/>
      <c r="E474" s="2"/>
      <c r="L474" s="2"/>
      <c r="M474" s="2"/>
    </row>
    <row r="475" ht="15.75" customHeight="1">
      <c r="B475" s="2"/>
      <c r="C475" s="2"/>
      <c r="D475" s="2"/>
      <c r="E475" s="2"/>
      <c r="L475" s="2"/>
      <c r="M475" s="2"/>
    </row>
    <row r="476" ht="15.75" customHeight="1">
      <c r="B476" s="2"/>
      <c r="C476" s="2"/>
      <c r="D476" s="2"/>
      <c r="E476" s="2"/>
      <c r="L476" s="2"/>
      <c r="M476" s="2"/>
    </row>
    <row r="477" ht="15.75" customHeight="1">
      <c r="B477" s="2"/>
      <c r="C477" s="2"/>
      <c r="D477" s="2"/>
      <c r="E477" s="2"/>
      <c r="L477" s="2"/>
      <c r="M477" s="2"/>
    </row>
    <row r="478" ht="15.75" customHeight="1">
      <c r="B478" s="2"/>
      <c r="C478" s="2"/>
      <c r="D478" s="2"/>
      <c r="E478" s="2"/>
      <c r="L478" s="2"/>
      <c r="M478" s="2"/>
    </row>
    <row r="479" ht="15.75" customHeight="1">
      <c r="B479" s="2"/>
      <c r="C479" s="2"/>
      <c r="D479" s="2"/>
      <c r="E479" s="2"/>
      <c r="L479" s="2"/>
      <c r="M479" s="2"/>
    </row>
    <row r="480" ht="15.75" customHeight="1">
      <c r="B480" s="2"/>
      <c r="C480" s="2"/>
      <c r="D480" s="2"/>
      <c r="E480" s="2"/>
      <c r="L480" s="2"/>
      <c r="M480" s="2"/>
    </row>
    <row r="481" ht="15.75" customHeight="1">
      <c r="B481" s="2"/>
      <c r="C481" s="2"/>
      <c r="D481" s="2"/>
      <c r="E481" s="2"/>
      <c r="L481" s="2"/>
      <c r="M481" s="2"/>
    </row>
    <row r="482" ht="15.75" customHeight="1">
      <c r="B482" s="2"/>
      <c r="C482" s="2"/>
      <c r="D482" s="2"/>
      <c r="E482" s="2"/>
      <c r="L482" s="2"/>
      <c r="M482" s="2"/>
    </row>
    <row r="483" ht="15.75" customHeight="1">
      <c r="B483" s="2"/>
      <c r="C483" s="2"/>
      <c r="D483" s="2"/>
      <c r="E483" s="2"/>
      <c r="L483" s="2"/>
      <c r="M483" s="2"/>
    </row>
    <row r="484" ht="15.75" customHeight="1">
      <c r="B484" s="2"/>
      <c r="C484" s="2"/>
      <c r="D484" s="2"/>
      <c r="E484" s="2"/>
      <c r="L484" s="2"/>
      <c r="M484" s="2"/>
    </row>
    <row r="485" ht="15.75" customHeight="1">
      <c r="B485" s="2"/>
      <c r="C485" s="2"/>
      <c r="D485" s="2"/>
      <c r="E485" s="2"/>
      <c r="L485" s="2"/>
      <c r="M485" s="2"/>
    </row>
    <row r="486" ht="15.75" customHeight="1">
      <c r="B486" s="2"/>
      <c r="C486" s="2"/>
      <c r="D486" s="2"/>
      <c r="E486" s="2"/>
      <c r="L486" s="2"/>
      <c r="M486" s="2"/>
    </row>
    <row r="487" ht="15.75" customHeight="1">
      <c r="B487" s="2"/>
      <c r="C487" s="2"/>
      <c r="D487" s="2"/>
      <c r="E487" s="2"/>
      <c r="L487" s="2"/>
      <c r="M487" s="2"/>
    </row>
    <row r="488" ht="15.75" customHeight="1">
      <c r="B488" s="2"/>
      <c r="C488" s="2"/>
      <c r="D488" s="2"/>
      <c r="E488" s="2"/>
      <c r="L488" s="2"/>
      <c r="M488" s="2"/>
    </row>
    <row r="489" ht="15.75" customHeight="1">
      <c r="B489" s="2"/>
      <c r="C489" s="2"/>
      <c r="D489" s="2"/>
      <c r="E489" s="2"/>
      <c r="L489" s="2"/>
      <c r="M489" s="2"/>
    </row>
    <row r="490" ht="15.75" customHeight="1">
      <c r="B490" s="2"/>
      <c r="C490" s="2"/>
      <c r="D490" s="2"/>
      <c r="E490" s="2"/>
      <c r="L490" s="2"/>
      <c r="M490" s="2"/>
    </row>
    <row r="491" ht="15.75" customHeight="1">
      <c r="B491" s="2"/>
      <c r="C491" s="2"/>
      <c r="D491" s="2"/>
      <c r="E491" s="2"/>
      <c r="L491" s="2"/>
      <c r="M491" s="2"/>
    </row>
    <row r="492" ht="15.75" customHeight="1">
      <c r="B492" s="2"/>
      <c r="C492" s="2"/>
      <c r="D492" s="2"/>
      <c r="E492" s="2"/>
      <c r="L492" s="2"/>
      <c r="M492" s="2"/>
    </row>
    <row r="493" ht="15.75" customHeight="1">
      <c r="B493" s="2"/>
      <c r="C493" s="2"/>
      <c r="D493" s="2"/>
      <c r="E493" s="2"/>
      <c r="L493" s="2"/>
      <c r="M493" s="2"/>
    </row>
    <row r="494" ht="15.75" customHeight="1">
      <c r="B494" s="2"/>
      <c r="C494" s="2"/>
      <c r="D494" s="2"/>
      <c r="E494" s="2"/>
      <c r="L494" s="2"/>
      <c r="M494" s="2"/>
    </row>
    <row r="495" ht="15.75" customHeight="1">
      <c r="B495" s="2"/>
      <c r="C495" s="2"/>
      <c r="D495" s="2"/>
      <c r="E495" s="2"/>
      <c r="L495" s="2"/>
      <c r="M495" s="2"/>
    </row>
    <row r="496" ht="15.75" customHeight="1">
      <c r="B496" s="2"/>
      <c r="C496" s="2"/>
      <c r="D496" s="2"/>
      <c r="E496" s="2"/>
      <c r="L496" s="2"/>
      <c r="M496" s="2"/>
    </row>
    <row r="497" ht="15.75" customHeight="1">
      <c r="B497" s="2"/>
      <c r="C497" s="2"/>
      <c r="D497" s="2"/>
      <c r="E497" s="2"/>
      <c r="L497" s="2"/>
      <c r="M497" s="2"/>
    </row>
    <row r="498" ht="15.75" customHeight="1">
      <c r="B498" s="2"/>
      <c r="C498" s="2"/>
      <c r="D498" s="2"/>
      <c r="E498" s="2"/>
      <c r="L498" s="2"/>
      <c r="M498" s="2"/>
    </row>
    <row r="499" ht="15.75" customHeight="1">
      <c r="B499" s="2"/>
      <c r="C499" s="2"/>
      <c r="D499" s="2"/>
      <c r="E499" s="2"/>
      <c r="L499" s="2"/>
      <c r="M499" s="2"/>
    </row>
    <row r="500" ht="15.75" customHeight="1">
      <c r="B500" s="2"/>
      <c r="C500" s="2"/>
      <c r="D500" s="2"/>
      <c r="E500" s="2"/>
      <c r="L500" s="2"/>
      <c r="M500" s="2"/>
    </row>
    <row r="501" ht="15.75" customHeight="1">
      <c r="B501" s="2"/>
      <c r="C501" s="2"/>
      <c r="D501" s="2"/>
      <c r="E501" s="2"/>
      <c r="L501" s="2"/>
      <c r="M501" s="2"/>
    </row>
    <row r="502" ht="15.75" customHeight="1">
      <c r="B502" s="2"/>
      <c r="C502" s="2"/>
      <c r="D502" s="2"/>
      <c r="E502" s="2"/>
      <c r="L502" s="2"/>
      <c r="M502" s="2"/>
    </row>
    <row r="503" ht="15.75" customHeight="1">
      <c r="B503" s="2"/>
      <c r="C503" s="2"/>
      <c r="D503" s="2"/>
      <c r="E503" s="2"/>
      <c r="L503" s="2"/>
      <c r="M503" s="2"/>
    </row>
    <row r="504" ht="15.75" customHeight="1">
      <c r="B504" s="2"/>
      <c r="C504" s="2"/>
      <c r="D504" s="2"/>
      <c r="E504" s="2"/>
      <c r="L504" s="2"/>
      <c r="M504" s="2"/>
    </row>
    <row r="505" ht="15.75" customHeight="1">
      <c r="B505" s="2"/>
      <c r="C505" s="2"/>
      <c r="D505" s="2"/>
      <c r="E505" s="2"/>
      <c r="L505" s="2"/>
      <c r="M505" s="2"/>
    </row>
    <row r="506" ht="15.75" customHeight="1">
      <c r="B506" s="2"/>
      <c r="C506" s="2"/>
      <c r="D506" s="2"/>
      <c r="E506" s="2"/>
      <c r="L506" s="2"/>
      <c r="M506" s="2"/>
    </row>
    <row r="507" ht="15.75" customHeight="1">
      <c r="B507" s="2"/>
      <c r="C507" s="2"/>
      <c r="D507" s="2"/>
      <c r="E507" s="2"/>
      <c r="L507" s="2"/>
      <c r="M507" s="2"/>
    </row>
    <row r="508" ht="15.75" customHeight="1">
      <c r="B508" s="2"/>
      <c r="C508" s="2"/>
      <c r="D508" s="2"/>
      <c r="E508" s="2"/>
      <c r="L508" s="2"/>
      <c r="M508" s="2"/>
    </row>
    <row r="509" ht="15.75" customHeight="1">
      <c r="B509" s="2"/>
      <c r="C509" s="2"/>
      <c r="D509" s="2"/>
      <c r="E509" s="2"/>
      <c r="L509" s="2"/>
      <c r="M509" s="2"/>
    </row>
    <row r="510" ht="15.75" customHeight="1">
      <c r="B510" s="2"/>
      <c r="C510" s="2"/>
      <c r="D510" s="2"/>
      <c r="E510" s="2"/>
      <c r="L510" s="2"/>
      <c r="M510" s="2"/>
    </row>
    <row r="511" ht="15.75" customHeight="1">
      <c r="B511" s="2"/>
      <c r="C511" s="2"/>
      <c r="D511" s="2"/>
      <c r="E511" s="2"/>
      <c r="L511" s="2"/>
      <c r="M511" s="2"/>
    </row>
    <row r="512" ht="15.75" customHeight="1">
      <c r="B512" s="2"/>
      <c r="C512" s="2"/>
      <c r="D512" s="2"/>
      <c r="E512" s="2"/>
      <c r="L512" s="2"/>
      <c r="M512" s="2"/>
    </row>
    <row r="513" ht="15.75" customHeight="1">
      <c r="B513" s="2"/>
      <c r="C513" s="2"/>
      <c r="D513" s="2"/>
      <c r="E513" s="2"/>
      <c r="L513" s="2"/>
      <c r="M513" s="2"/>
    </row>
    <row r="514" ht="15.75" customHeight="1">
      <c r="B514" s="2"/>
      <c r="C514" s="2"/>
      <c r="D514" s="2"/>
      <c r="E514" s="2"/>
      <c r="L514" s="2"/>
      <c r="M514" s="2"/>
    </row>
    <row r="515" ht="15.75" customHeight="1">
      <c r="B515" s="2"/>
      <c r="C515" s="2"/>
      <c r="D515" s="2"/>
      <c r="E515" s="2"/>
      <c r="L515" s="2"/>
      <c r="M515" s="2"/>
    </row>
    <row r="516" ht="15.75" customHeight="1">
      <c r="B516" s="2"/>
      <c r="C516" s="2"/>
      <c r="D516" s="2"/>
      <c r="E516" s="2"/>
      <c r="L516" s="2"/>
      <c r="M516" s="2"/>
    </row>
    <row r="517" ht="15.75" customHeight="1">
      <c r="B517" s="2"/>
      <c r="C517" s="2"/>
      <c r="D517" s="2"/>
      <c r="E517" s="2"/>
      <c r="L517" s="2"/>
      <c r="M517" s="2"/>
    </row>
    <row r="518" ht="15.75" customHeight="1">
      <c r="B518" s="2"/>
      <c r="C518" s="2"/>
      <c r="D518" s="2"/>
      <c r="E518" s="2"/>
      <c r="L518" s="2"/>
      <c r="M518" s="2"/>
    </row>
    <row r="519" ht="15.75" customHeight="1">
      <c r="B519" s="2"/>
      <c r="C519" s="2"/>
      <c r="D519" s="2"/>
      <c r="E519" s="2"/>
      <c r="L519" s="2"/>
      <c r="M519" s="2"/>
    </row>
    <row r="520" ht="15.75" customHeight="1">
      <c r="B520" s="2"/>
      <c r="C520" s="2"/>
      <c r="D520" s="2"/>
      <c r="E520" s="2"/>
      <c r="L520" s="2"/>
      <c r="M520" s="2"/>
    </row>
    <row r="521" ht="15.75" customHeight="1">
      <c r="B521" s="2"/>
      <c r="C521" s="2"/>
      <c r="D521" s="2"/>
      <c r="E521" s="2"/>
      <c r="L521" s="2"/>
      <c r="M521" s="2"/>
    </row>
    <row r="522" ht="15.75" customHeight="1">
      <c r="B522" s="2"/>
      <c r="C522" s="2"/>
      <c r="D522" s="2"/>
      <c r="E522" s="2"/>
      <c r="L522" s="2"/>
      <c r="M522" s="2"/>
    </row>
    <row r="523" ht="15.75" customHeight="1">
      <c r="B523" s="2"/>
      <c r="C523" s="2"/>
      <c r="D523" s="2"/>
      <c r="E523" s="2"/>
      <c r="L523" s="2"/>
      <c r="M523" s="2"/>
    </row>
    <row r="524" ht="15.75" customHeight="1">
      <c r="B524" s="2"/>
      <c r="C524" s="2"/>
      <c r="D524" s="2"/>
      <c r="E524" s="2"/>
      <c r="L524" s="2"/>
      <c r="M524" s="2"/>
    </row>
    <row r="525" ht="15.75" customHeight="1">
      <c r="B525" s="2"/>
      <c r="C525" s="2"/>
      <c r="D525" s="2"/>
      <c r="E525" s="2"/>
      <c r="L525" s="2"/>
      <c r="M525" s="2"/>
    </row>
    <row r="526" ht="15.75" customHeight="1">
      <c r="B526" s="2"/>
      <c r="C526" s="2"/>
      <c r="D526" s="2"/>
      <c r="E526" s="2"/>
      <c r="L526" s="2"/>
      <c r="M526" s="2"/>
    </row>
    <row r="527" ht="15.75" customHeight="1">
      <c r="B527" s="2"/>
      <c r="C527" s="2"/>
      <c r="D527" s="2"/>
      <c r="E527" s="2"/>
      <c r="L527" s="2"/>
      <c r="M527" s="2"/>
    </row>
    <row r="528" ht="15.75" customHeight="1">
      <c r="B528" s="2"/>
      <c r="C528" s="2"/>
      <c r="D528" s="2"/>
      <c r="E528" s="2"/>
      <c r="L528" s="2"/>
      <c r="M528" s="2"/>
    </row>
    <row r="529" ht="15.75" customHeight="1">
      <c r="B529" s="2"/>
      <c r="C529" s="2"/>
      <c r="D529" s="2"/>
      <c r="E529" s="2"/>
      <c r="L529" s="2"/>
      <c r="M529" s="2"/>
    </row>
    <row r="530" ht="15.75" customHeight="1">
      <c r="B530" s="2"/>
      <c r="C530" s="2"/>
      <c r="D530" s="2"/>
      <c r="E530" s="2"/>
      <c r="L530" s="2"/>
      <c r="M530" s="2"/>
    </row>
    <row r="531" ht="15.75" customHeight="1">
      <c r="B531" s="2"/>
      <c r="C531" s="2"/>
      <c r="D531" s="2"/>
      <c r="E531" s="2"/>
      <c r="L531" s="2"/>
      <c r="M531" s="2"/>
    </row>
    <row r="532" ht="15.75" customHeight="1">
      <c r="B532" s="2"/>
      <c r="C532" s="2"/>
      <c r="D532" s="2"/>
      <c r="E532" s="2"/>
      <c r="L532" s="2"/>
      <c r="M532" s="2"/>
    </row>
    <row r="533" ht="15.75" customHeight="1">
      <c r="B533" s="2"/>
      <c r="C533" s="2"/>
      <c r="D533" s="2"/>
      <c r="E533" s="2"/>
      <c r="L533" s="2"/>
      <c r="M533" s="2"/>
    </row>
    <row r="534" ht="15.75" customHeight="1">
      <c r="B534" s="2"/>
      <c r="C534" s="2"/>
      <c r="D534" s="2"/>
      <c r="E534" s="2"/>
      <c r="L534" s="2"/>
      <c r="M534" s="2"/>
    </row>
    <row r="535" ht="15.75" customHeight="1">
      <c r="B535" s="2"/>
      <c r="C535" s="2"/>
      <c r="D535" s="2"/>
      <c r="E535" s="2"/>
      <c r="L535" s="2"/>
      <c r="M535" s="2"/>
    </row>
    <row r="536" ht="15.75" customHeight="1">
      <c r="B536" s="2"/>
      <c r="C536" s="2"/>
      <c r="D536" s="2"/>
      <c r="E536" s="2"/>
      <c r="L536" s="2"/>
      <c r="M536" s="2"/>
    </row>
    <row r="537" ht="15.75" customHeight="1">
      <c r="B537" s="2"/>
      <c r="C537" s="2"/>
      <c r="D537" s="2"/>
      <c r="E537" s="2"/>
      <c r="L537" s="2"/>
      <c r="M537" s="2"/>
    </row>
    <row r="538" ht="15.75" customHeight="1">
      <c r="B538" s="2"/>
      <c r="C538" s="2"/>
      <c r="D538" s="2"/>
      <c r="E538" s="2"/>
      <c r="L538" s="2"/>
      <c r="M538" s="2"/>
    </row>
    <row r="539" ht="15.75" customHeight="1">
      <c r="B539" s="2"/>
      <c r="C539" s="2"/>
      <c r="D539" s="2"/>
      <c r="E539" s="2"/>
      <c r="L539" s="2"/>
      <c r="M539" s="2"/>
    </row>
    <row r="540" ht="15.75" customHeight="1">
      <c r="B540" s="2"/>
      <c r="C540" s="2"/>
      <c r="D540" s="2"/>
      <c r="E540" s="2"/>
      <c r="L540" s="2"/>
      <c r="M540" s="2"/>
    </row>
    <row r="541" ht="15.75" customHeight="1">
      <c r="B541" s="2"/>
      <c r="C541" s="2"/>
      <c r="D541" s="2"/>
      <c r="E541" s="2"/>
      <c r="L541" s="2"/>
      <c r="M541" s="2"/>
    </row>
    <row r="542" ht="15.75" customHeight="1">
      <c r="B542" s="2"/>
      <c r="C542" s="2"/>
      <c r="D542" s="2"/>
      <c r="E542" s="2"/>
      <c r="L542" s="2"/>
      <c r="M542" s="2"/>
    </row>
    <row r="543" ht="15.75" customHeight="1">
      <c r="B543" s="2"/>
      <c r="C543" s="2"/>
      <c r="D543" s="2"/>
      <c r="E543" s="2"/>
      <c r="L543" s="2"/>
      <c r="M543" s="2"/>
    </row>
    <row r="544" ht="15.75" customHeight="1">
      <c r="B544" s="2"/>
      <c r="C544" s="2"/>
      <c r="D544" s="2"/>
      <c r="E544" s="2"/>
      <c r="L544" s="2"/>
      <c r="M544" s="2"/>
    </row>
    <row r="545" ht="15.75" customHeight="1">
      <c r="B545" s="2"/>
      <c r="C545" s="2"/>
      <c r="D545" s="2"/>
      <c r="E545" s="2"/>
      <c r="L545" s="2"/>
      <c r="M545" s="2"/>
    </row>
    <row r="546" ht="15.75" customHeight="1">
      <c r="B546" s="2"/>
      <c r="C546" s="2"/>
      <c r="D546" s="2"/>
      <c r="E546" s="2"/>
      <c r="L546" s="2"/>
      <c r="M546" s="2"/>
    </row>
    <row r="547" ht="15.75" customHeight="1">
      <c r="B547" s="2"/>
      <c r="C547" s="2"/>
      <c r="D547" s="2"/>
      <c r="E547" s="2"/>
      <c r="L547" s="2"/>
      <c r="M547" s="2"/>
    </row>
    <row r="548" ht="15.75" customHeight="1">
      <c r="B548" s="2"/>
      <c r="C548" s="2"/>
      <c r="D548" s="2"/>
      <c r="E548" s="2"/>
      <c r="L548" s="2"/>
      <c r="M548" s="2"/>
    </row>
    <row r="549" ht="15.75" customHeight="1">
      <c r="B549" s="2"/>
      <c r="C549" s="2"/>
      <c r="D549" s="2"/>
      <c r="E549" s="2"/>
      <c r="L549" s="2"/>
      <c r="M549" s="2"/>
    </row>
    <row r="550" ht="15.75" customHeight="1">
      <c r="B550" s="2"/>
      <c r="C550" s="2"/>
      <c r="D550" s="2"/>
      <c r="E550" s="2"/>
      <c r="L550" s="2"/>
      <c r="M550" s="2"/>
    </row>
    <row r="551" ht="15.75" customHeight="1">
      <c r="B551" s="2"/>
      <c r="C551" s="2"/>
      <c r="D551" s="2"/>
      <c r="E551" s="2"/>
      <c r="L551" s="2"/>
      <c r="M551" s="2"/>
    </row>
    <row r="552" ht="15.75" customHeight="1">
      <c r="B552" s="2"/>
      <c r="C552" s="2"/>
      <c r="D552" s="2"/>
      <c r="E552" s="2"/>
      <c r="L552" s="2"/>
      <c r="M552" s="2"/>
    </row>
    <row r="553" ht="15.75" customHeight="1">
      <c r="B553" s="2"/>
      <c r="C553" s="2"/>
      <c r="D553" s="2"/>
      <c r="E553" s="2"/>
      <c r="L553" s="2"/>
      <c r="M553" s="2"/>
    </row>
    <row r="554" ht="15.75" customHeight="1">
      <c r="B554" s="2"/>
      <c r="C554" s="2"/>
      <c r="D554" s="2"/>
      <c r="E554" s="2"/>
      <c r="L554" s="2"/>
      <c r="M554" s="2"/>
    </row>
    <row r="555" ht="15.75" customHeight="1">
      <c r="B555" s="2"/>
      <c r="C555" s="2"/>
      <c r="D555" s="2"/>
      <c r="E555" s="2"/>
      <c r="L555" s="2"/>
      <c r="M555" s="2"/>
    </row>
    <row r="556" ht="15.75" customHeight="1">
      <c r="B556" s="2"/>
      <c r="C556" s="2"/>
      <c r="D556" s="2"/>
      <c r="E556" s="2"/>
      <c r="L556" s="2"/>
      <c r="M556" s="2"/>
    </row>
    <row r="557" ht="15.75" customHeight="1">
      <c r="B557" s="2"/>
      <c r="C557" s="2"/>
      <c r="D557" s="2"/>
      <c r="E557" s="2"/>
      <c r="L557" s="2"/>
      <c r="M557" s="2"/>
    </row>
    <row r="558" ht="15.75" customHeight="1">
      <c r="B558" s="2"/>
      <c r="C558" s="2"/>
      <c r="D558" s="2"/>
      <c r="E558" s="2"/>
      <c r="L558" s="2"/>
      <c r="M558" s="2"/>
    </row>
    <row r="559" ht="15.75" customHeight="1">
      <c r="B559" s="2"/>
      <c r="C559" s="2"/>
      <c r="D559" s="2"/>
      <c r="E559" s="2"/>
      <c r="L559" s="2"/>
      <c r="M559" s="2"/>
    </row>
    <row r="560" ht="15.75" customHeight="1">
      <c r="B560" s="2"/>
      <c r="C560" s="2"/>
      <c r="D560" s="2"/>
      <c r="E560" s="2"/>
      <c r="L560" s="2"/>
      <c r="M560" s="2"/>
    </row>
    <row r="561" ht="15.75" customHeight="1">
      <c r="B561" s="2"/>
      <c r="C561" s="2"/>
      <c r="D561" s="2"/>
      <c r="E561" s="2"/>
      <c r="L561" s="2"/>
      <c r="M561" s="2"/>
    </row>
    <row r="562" ht="15.75" customHeight="1">
      <c r="B562" s="2"/>
      <c r="C562" s="2"/>
      <c r="D562" s="2"/>
      <c r="E562" s="2"/>
      <c r="L562" s="2"/>
      <c r="M562" s="2"/>
    </row>
    <row r="563" ht="15.75" customHeight="1">
      <c r="B563" s="2"/>
      <c r="C563" s="2"/>
      <c r="D563" s="2"/>
      <c r="E563" s="2"/>
      <c r="L563" s="2"/>
      <c r="M563" s="2"/>
    </row>
    <row r="564" ht="15.75" customHeight="1">
      <c r="B564" s="2"/>
      <c r="C564" s="2"/>
      <c r="D564" s="2"/>
      <c r="E564" s="2"/>
      <c r="L564" s="2"/>
      <c r="M564" s="2"/>
    </row>
    <row r="565" ht="15.75" customHeight="1">
      <c r="B565" s="2"/>
      <c r="C565" s="2"/>
      <c r="D565" s="2"/>
      <c r="E565" s="2"/>
      <c r="L565" s="2"/>
      <c r="M565" s="2"/>
    </row>
    <row r="566" ht="15.75" customHeight="1">
      <c r="B566" s="2"/>
      <c r="C566" s="2"/>
      <c r="D566" s="2"/>
      <c r="E566" s="2"/>
      <c r="L566" s="2"/>
      <c r="M566" s="2"/>
    </row>
    <row r="567" ht="15.75" customHeight="1">
      <c r="B567" s="2"/>
      <c r="C567" s="2"/>
      <c r="D567" s="2"/>
      <c r="E567" s="2"/>
      <c r="L567" s="2"/>
      <c r="M567" s="2"/>
    </row>
    <row r="568" ht="15.75" customHeight="1">
      <c r="B568" s="2"/>
      <c r="C568" s="2"/>
      <c r="D568" s="2"/>
      <c r="E568" s="2"/>
      <c r="L568" s="2"/>
      <c r="M568" s="2"/>
    </row>
    <row r="569" ht="15.75" customHeight="1">
      <c r="B569" s="2"/>
      <c r="C569" s="2"/>
      <c r="D569" s="2"/>
      <c r="E569" s="2"/>
      <c r="L569" s="2"/>
      <c r="M569" s="2"/>
    </row>
    <row r="570" ht="15.75" customHeight="1">
      <c r="B570" s="2"/>
      <c r="C570" s="2"/>
      <c r="D570" s="2"/>
      <c r="E570" s="2"/>
      <c r="L570" s="2"/>
      <c r="M570" s="2"/>
    </row>
    <row r="571" ht="15.75" customHeight="1">
      <c r="B571" s="2"/>
      <c r="C571" s="2"/>
      <c r="D571" s="2"/>
      <c r="E571" s="2"/>
      <c r="L571" s="2"/>
      <c r="M571" s="2"/>
    </row>
    <row r="572" ht="15.75" customHeight="1">
      <c r="B572" s="2"/>
      <c r="C572" s="2"/>
      <c r="D572" s="2"/>
      <c r="E572" s="2"/>
      <c r="L572" s="2"/>
      <c r="M572" s="2"/>
    </row>
    <row r="573" ht="15.75" customHeight="1">
      <c r="B573" s="2"/>
      <c r="C573" s="2"/>
      <c r="D573" s="2"/>
      <c r="E573" s="2"/>
      <c r="L573" s="2"/>
      <c r="M573" s="2"/>
    </row>
    <row r="574" ht="15.75" customHeight="1">
      <c r="B574" s="2"/>
      <c r="C574" s="2"/>
      <c r="D574" s="2"/>
      <c r="E574" s="2"/>
      <c r="L574" s="2"/>
      <c r="M574" s="2"/>
    </row>
    <row r="575" ht="15.75" customHeight="1">
      <c r="B575" s="2"/>
      <c r="C575" s="2"/>
      <c r="D575" s="2"/>
      <c r="E575" s="2"/>
      <c r="L575" s="2"/>
      <c r="M575" s="2"/>
    </row>
    <row r="576" ht="15.75" customHeight="1">
      <c r="B576" s="2"/>
      <c r="C576" s="2"/>
      <c r="D576" s="2"/>
      <c r="E576" s="2"/>
      <c r="L576" s="2"/>
      <c r="M576" s="2"/>
    </row>
    <row r="577" ht="15.75" customHeight="1">
      <c r="B577" s="2"/>
      <c r="C577" s="2"/>
      <c r="D577" s="2"/>
      <c r="E577" s="2"/>
      <c r="L577" s="2"/>
      <c r="M577" s="2"/>
    </row>
    <row r="578" ht="15.75" customHeight="1">
      <c r="B578" s="2"/>
      <c r="C578" s="2"/>
      <c r="D578" s="2"/>
      <c r="E578" s="2"/>
      <c r="L578" s="2"/>
      <c r="M578" s="2"/>
    </row>
    <row r="579" ht="15.75" customHeight="1">
      <c r="B579" s="2"/>
      <c r="C579" s="2"/>
      <c r="D579" s="2"/>
      <c r="E579" s="2"/>
      <c r="L579" s="2"/>
      <c r="M579" s="2"/>
    </row>
    <row r="580" ht="15.75" customHeight="1">
      <c r="B580" s="2"/>
      <c r="C580" s="2"/>
      <c r="D580" s="2"/>
      <c r="E580" s="2"/>
      <c r="L580" s="2"/>
      <c r="M580" s="2"/>
    </row>
    <row r="581" ht="15.75" customHeight="1">
      <c r="B581" s="2"/>
      <c r="C581" s="2"/>
      <c r="D581" s="2"/>
      <c r="E581" s="2"/>
      <c r="L581" s="2"/>
      <c r="M581" s="2"/>
    </row>
    <row r="582" ht="15.75" customHeight="1">
      <c r="B582" s="2"/>
      <c r="C582" s="2"/>
      <c r="D582" s="2"/>
      <c r="E582" s="2"/>
      <c r="L582" s="2"/>
      <c r="M582" s="2"/>
    </row>
    <row r="583" ht="15.75" customHeight="1">
      <c r="B583" s="2"/>
      <c r="C583" s="2"/>
      <c r="D583" s="2"/>
      <c r="E583" s="2"/>
      <c r="L583" s="2"/>
      <c r="M583" s="2"/>
    </row>
    <row r="584" ht="15.75" customHeight="1">
      <c r="B584" s="2"/>
      <c r="C584" s="2"/>
      <c r="D584" s="2"/>
      <c r="E584" s="2"/>
      <c r="L584" s="2"/>
      <c r="M584" s="2"/>
    </row>
    <row r="585" ht="15.75" customHeight="1">
      <c r="B585" s="2"/>
      <c r="C585" s="2"/>
      <c r="D585" s="2"/>
      <c r="E585" s="2"/>
      <c r="L585" s="2"/>
      <c r="M585" s="2"/>
    </row>
    <row r="586" ht="15.75" customHeight="1">
      <c r="B586" s="2"/>
      <c r="C586" s="2"/>
      <c r="D586" s="2"/>
      <c r="E586" s="2"/>
      <c r="L586" s="2"/>
      <c r="M586" s="2"/>
    </row>
    <row r="587" ht="15.75" customHeight="1">
      <c r="B587" s="2"/>
      <c r="C587" s="2"/>
      <c r="D587" s="2"/>
      <c r="E587" s="2"/>
      <c r="L587" s="2"/>
      <c r="M587" s="2"/>
    </row>
    <row r="588" ht="15.75" customHeight="1">
      <c r="B588" s="2"/>
      <c r="C588" s="2"/>
      <c r="D588" s="2"/>
      <c r="E588" s="2"/>
      <c r="L588" s="2"/>
      <c r="M588" s="2"/>
    </row>
    <row r="589" ht="15.75" customHeight="1">
      <c r="B589" s="2"/>
      <c r="C589" s="2"/>
      <c r="D589" s="2"/>
      <c r="E589" s="2"/>
      <c r="L589" s="2"/>
      <c r="M589" s="2"/>
    </row>
    <row r="590" ht="15.75" customHeight="1">
      <c r="B590" s="2"/>
      <c r="C590" s="2"/>
      <c r="D590" s="2"/>
      <c r="E590" s="2"/>
      <c r="L590" s="2"/>
      <c r="M590" s="2"/>
    </row>
    <row r="591" ht="15.75" customHeight="1">
      <c r="B591" s="2"/>
      <c r="C591" s="2"/>
      <c r="D591" s="2"/>
      <c r="E591" s="2"/>
      <c r="L591" s="2"/>
      <c r="M591" s="2"/>
    </row>
    <row r="592" ht="15.75" customHeight="1">
      <c r="B592" s="2"/>
      <c r="C592" s="2"/>
      <c r="D592" s="2"/>
      <c r="E592" s="2"/>
      <c r="L592" s="2"/>
      <c r="M592" s="2"/>
    </row>
    <row r="593" ht="15.75" customHeight="1">
      <c r="B593" s="2"/>
      <c r="C593" s="2"/>
      <c r="D593" s="2"/>
      <c r="E593" s="2"/>
      <c r="L593" s="2"/>
      <c r="M593" s="2"/>
    </row>
    <row r="594" ht="15.75" customHeight="1">
      <c r="B594" s="2"/>
      <c r="C594" s="2"/>
      <c r="D594" s="2"/>
      <c r="E594" s="2"/>
      <c r="L594" s="2"/>
      <c r="M594" s="2"/>
    </row>
    <row r="595" ht="15.75" customHeight="1">
      <c r="B595" s="2"/>
      <c r="C595" s="2"/>
      <c r="D595" s="2"/>
      <c r="E595" s="2"/>
      <c r="L595" s="2"/>
      <c r="M595" s="2"/>
    </row>
    <row r="596" ht="15.75" customHeight="1">
      <c r="B596" s="2"/>
      <c r="C596" s="2"/>
      <c r="D596" s="2"/>
      <c r="E596" s="2"/>
      <c r="L596" s="2"/>
      <c r="M596" s="2"/>
    </row>
    <row r="597" ht="15.75" customHeight="1">
      <c r="B597" s="2"/>
      <c r="C597" s="2"/>
      <c r="D597" s="2"/>
      <c r="E597" s="2"/>
      <c r="L597" s="2"/>
      <c r="M597" s="2"/>
    </row>
    <row r="598" ht="15.75" customHeight="1">
      <c r="B598" s="2"/>
      <c r="C598" s="2"/>
      <c r="D598" s="2"/>
      <c r="E598" s="2"/>
      <c r="L598" s="2"/>
      <c r="M598" s="2"/>
    </row>
    <row r="599" ht="15.75" customHeight="1">
      <c r="B599" s="2"/>
      <c r="C599" s="2"/>
      <c r="D599" s="2"/>
      <c r="E599" s="2"/>
      <c r="L599" s="2"/>
      <c r="M599" s="2"/>
    </row>
    <row r="600" ht="15.75" customHeight="1">
      <c r="B600" s="2"/>
      <c r="C600" s="2"/>
      <c r="D600" s="2"/>
      <c r="E600" s="2"/>
      <c r="L600" s="2"/>
      <c r="M600" s="2"/>
    </row>
    <row r="601" ht="15.75" customHeight="1">
      <c r="B601" s="2"/>
      <c r="C601" s="2"/>
      <c r="D601" s="2"/>
      <c r="E601" s="2"/>
      <c r="L601" s="2"/>
      <c r="M601" s="2"/>
    </row>
    <row r="602" ht="15.75" customHeight="1">
      <c r="B602" s="2"/>
      <c r="C602" s="2"/>
      <c r="D602" s="2"/>
      <c r="E602" s="2"/>
      <c r="L602" s="2"/>
      <c r="M602" s="2"/>
    </row>
    <row r="603" ht="15.75" customHeight="1">
      <c r="B603" s="2"/>
      <c r="C603" s="2"/>
      <c r="D603" s="2"/>
      <c r="E603" s="2"/>
      <c r="L603" s="2"/>
      <c r="M603" s="2"/>
    </row>
    <row r="604" ht="15.75" customHeight="1">
      <c r="B604" s="2"/>
      <c r="C604" s="2"/>
      <c r="D604" s="2"/>
      <c r="E604" s="2"/>
      <c r="L604" s="2"/>
      <c r="M604" s="2"/>
    </row>
    <row r="605" ht="15.75" customHeight="1">
      <c r="B605" s="2"/>
      <c r="C605" s="2"/>
      <c r="D605" s="2"/>
      <c r="E605" s="2"/>
      <c r="L605" s="2"/>
      <c r="M605" s="2"/>
    </row>
    <row r="606" ht="15.75" customHeight="1">
      <c r="B606" s="2"/>
      <c r="C606" s="2"/>
      <c r="D606" s="2"/>
      <c r="E606" s="2"/>
      <c r="L606" s="2"/>
      <c r="M606" s="2"/>
    </row>
    <row r="607" ht="15.75" customHeight="1">
      <c r="B607" s="2"/>
      <c r="C607" s="2"/>
      <c r="D607" s="2"/>
      <c r="E607" s="2"/>
      <c r="L607" s="2"/>
      <c r="M607" s="2"/>
    </row>
    <row r="608" ht="15.75" customHeight="1">
      <c r="B608" s="2"/>
      <c r="C608" s="2"/>
      <c r="D608" s="2"/>
      <c r="E608" s="2"/>
      <c r="L608" s="2"/>
      <c r="M608" s="2"/>
    </row>
    <row r="609" ht="15.75" customHeight="1">
      <c r="B609" s="2"/>
      <c r="C609" s="2"/>
      <c r="D609" s="2"/>
      <c r="E609" s="2"/>
      <c r="L609" s="2"/>
      <c r="M609" s="2"/>
    </row>
    <row r="610" ht="15.75" customHeight="1">
      <c r="B610" s="2"/>
      <c r="C610" s="2"/>
      <c r="D610" s="2"/>
      <c r="E610" s="2"/>
      <c r="L610" s="2"/>
      <c r="M610" s="2"/>
    </row>
    <row r="611" ht="15.75" customHeight="1">
      <c r="B611" s="2"/>
      <c r="C611" s="2"/>
      <c r="D611" s="2"/>
      <c r="E611" s="2"/>
      <c r="L611" s="2"/>
      <c r="M611" s="2"/>
    </row>
    <row r="612" ht="15.75" customHeight="1">
      <c r="B612" s="2"/>
      <c r="C612" s="2"/>
      <c r="D612" s="2"/>
      <c r="E612" s="2"/>
      <c r="L612" s="2"/>
      <c r="M612" s="2"/>
    </row>
    <row r="613" ht="15.75" customHeight="1">
      <c r="B613" s="2"/>
      <c r="C613" s="2"/>
      <c r="D613" s="2"/>
      <c r="E613" s="2"/>
      <c r="L613" s="2"/>
      <c r="M613" s="2"/>
    </row>
    <row r="614" ht="15.75" customHeight="1">
      <c r="B614" s="2"/>
      <c r="C614" s="2"/>
      <c r="D614" s="2"/>
      <c r="E614" s="2"/>
      <c r="L614" s="2"/>
      <c r="M614" s="2"/>
    </row>
    <row r="615" ht="15.75" customHeight="1">
      <c r="B615" s="2"/>
      <c r="C615" s="2"/>
      <c r="D615" s="2"/>
      <c r="E615" s="2"/>
      <c r="L615" s="2"/>
      <c r="M615" s="2"/>
    </row>
    <row r="616" ht="15.75" customHeight="1">
      <c r="B616" s="2"/>
      <c r="C616" s="2"/>
      <c r="D616" s="2"/>
      <c r="E616" s="2"/>
      <c r="L616" s="2"/>
      <c r="M616" s="2"/>
    </row>
    <row r="617" ht="15.75" customHeight="1">
      <c r="B617" s="2"/>
      <c r="C617" s="2"/>
      <c r="D617" s="2"/>
      <c r="E617" s="2"/>
      <c r="L617" s="2"/>
      <c r="M617" s="2"/>
    </row>
    <row r="618" ht="15.75" customHeight="1">
      <c r="B618" s="2"/>
      <c r="C618" s="2"/>
      <c r="D618" s="2"/>
      <c r="E618" s="2"/>
      <c r="L618" s="2"/>
      <c r="M618" s="2"/>
    </row>
    <row r="619" ht="15.75" customHeight="1">
      <c r="B619" s="2"/>
      <c r="C619" s="2"/>
      <c r="D619" s="2"/>
      <c r="E619" s="2"/>
      <c r="L619" s="2"/>
      <c r="M619" s="2"/>
    </row>
    <row r="620" ht="15.75" customHeight="1">
      <c r="B620" s="2"/>
      <c r="C620" s="2"/>
      <c r="D620" s="2"/>
      <c r="E620" s="2"/>
      <c r="L620" s="2"/>
      <c r="M620" s="2"/>
    </row>
    <row r="621" ht="15.75" customHeight="1">
      <c r="B621" s="2"/>
      <c r="C621" s="2"/>
      <c r="D621" s="2"/>
      <c r="E621" s="2"/>
      <c r="L621" s="2"/>
      <c r="M621" s="2"/>
    </row>
    <row r="622" ht="15.75" customHeight="1">
      <c r="B622" s="2"/>
      <c r="C622" s="2"/>
      <c r="D622" s="2"/>
      <c r="E622" s="2"/>
      <c r="L622" s="2"/>
      <c r="M622" s="2"/>
    </row>
    <row r="623" ht="15.75" customHeight="1">
      <c r="B623" s="2"/>
      <c r="C623" s="2"/>
      <c r="D623" s="2"/>
      <c r="E623" s="2"/>
      <c r="L623" s="2"/>
      <c r="M623" s="2"/>
    </row>
    <row r="624" ht="15.75" customHeight="1">
      <c r="B624" s="2"/>
      <c r="C624" s="2"/>
      <c r="D624" s="2"/>
      <c r="E624" s="2"/>
      <c r="L624" s="2"/>
      <c r="M624" s="2"/>
    </row>
    <row r="625" ht="15.75" customHeight="1">
      <c r="B625" s="2"/>
      <c r="C625" s="2"/>
      <c r="D625" s="2"/>
      <c r="E625" s="2"/>
      <c r="L625" s="2"/>
      <c r="M625" s="2"/>
    </row>
    <row r="626" ht="15.75" customHeight="1">
      <c r="B626" s="2"/>
      <c r="C626" s="2"/>
      <c r="D626" s="2"/>
      <c r="E626" s="2"/>
      <c r="L626" s="2"/>
      <c r="M626" s="2"/>
    </row>
    <row r="627" ht="15.75" customHeight="1">
      <c r="B627" s="2"/>
      <c r="C627" s="2"/>
      <c r="D627" s="2"/>
      <c r="E627" s="2"/>
      <c r="L627" s="2"/>
      <c r="M627" s="2"/>
    </row>
    <row r="628" ht="15.75" customHeight="1">
      <c r="B628" s="2"/>
      <c r="C628" s="2"/>
      <c r="D628" s="2"/>
      <c r="E628" s="2"/>
      <c r="L628" s="2"/>
      <c r="M628" s="2"/>
    </row>
    <row r="629" ht="15.75" customHeight="1">
      <c r="B629" s="2"/>
      <c r="C629" s="2"/>
      <c r="D629" s="2"/>
      <c r="E629" s="2"/>
      <c r="L629" s="2"/>
      <c r="M629" s="2"/>
    </row>
    <row r="630" ht="15.75" customHeight="1">
      <c r="B630" s="2"/>
      <c r="C630" s="2"/>
      <c r="D630" s="2"/>
      <c r="E630" s="2"/>
      <c r="L630" s="2"/>
      <c r="M630" s="2"/>
    </row>
    <row r="631" ht="15.75" customHeight="1">
      <c r="B631" s="2"/>
      <c r="C631" s="2"/>
      <c r="D631" s="2"/>
      <c r="E631" s="2"/>
      <c r="L631" s="2"/>
      <c r="M631" s="2"/>
    </row>
    <row r="632" ht="15.75" customHeight="1">
      <c r="B632" s="2"/>
      <c r="C632" s="2"/>
      <c r="D632" s="2"/>
      <c r="E632" s="2"/>
      <c r="L632" s="2"/>
      <c r="M632" s="2"/>
    </row>
    <row r="633" ht="15.75" customHeight="1">
      <c r="B633" s="2"/>
      <c r="C633" s="2"/>
      <c r="D633" s="2"/>
      <c r="E633" s="2"/>
      <c r="L633" s="2"/>
      <c r="M633" s="2"/>
    </row>
    <row r="634" ht="15.75" customHeight="1">
      <c r="B634" s="2"/>
      <c r="C634" s="2"/>
      <c r="D634" s="2"/>
      <c r="E634" s="2"/>
      <c r="L634" s="2"/>
      <c r="M634" s="2"/>
    </row>
    <row r="635" ht="15.75" customHeight="1">
      <c r="B635" s="2"/>
      <c r="C635" s="2"/>
      <c r="D635" s="2"/>
      <c r="E635" s="2"/>
      <c r="L635" s="2"/>
      <c r="M635" s="2"/>
    </row>
    <row r="636" ht="15.75" customHeight="1">
      <c r="B636" s="2"/>
      <c r="C636" s="2"/>
      <c r="D636" s="2"/>
      <c r="E636" s="2"/>
      <c r="L636" s="2"/>
      <c r="M636" s="2"/>
    </row>
    <row r="637" ht="15.75" customHeight="1">
      <c r="B637" s="2"/>
      <c r="C637" s="2"/>
      <c r="D637" s="2"/>
      <c r="E637" s="2"/>
      <c r="L637" s="2"/>
      <c r="M637" s="2"/>
    </row>
    <row r="638" ht="15.75" customHeight="1">
      <c r="B638" s="2"/>
      <c r="C638" s="2"/>
      <c r="D638" s="2"/>
      <c r="E638" s="2"/>
      <c r="L638" s="2"/>
      <c r="M638" s="2"/>
    </row>
    <row r="639" ht="15.75" customHeight="1">
      <c r="B639" s="2"/>
      <c r="C639" s="2"/>
      <c r="D639" s="2"/>
      <c r="E639" s="2"/>
      <c r="L639" s="2"/>
      <c r="M639" s="2"/>
    </row>
    <row r="640" ht="15.75" customHeight="1">
      <c r="B640" s="2"/>
      <c r="C640" s="2"/>
      <c r="D640" s="2"/>
      <c r="E640" s="2"/>
      <c r="L640" s="2"/>
      <c r="M640" s="2"/>
    </row>
    <row r="641" ht="15.75" customHeight="1">
      <c r="B641" s="2"/>
      <c r="C641" s="2"/>
      <c r="D641" s="2"/>
      <c r="E641" s="2"/>
      <c r="L641" s="2"/>
      <c r="M641" s="2"/>
    </row>
    <row r="642" ht="15.75" customHeight="1">
      <c r="B642" s="2"/>
      <c r="C642" s="2"/>
      <c r="D642" s="2"/>
      <c r="E642" s="2"/>
      <c r="L642" s="2"/>
      <c r="M642" s="2"/>
    </row>
    <row r="643" ht="15.75" customHeight="1">
      <c r="B643" s="2"/>
      <c r="C643" s="2"/>
      <c r="D643" s="2"/>
      <c r="E643" s="2"/>
      <c r="L643" s="2"/>
      <c r="M643" s="2"/>
    </row>
    <row r="644" ht="15.75" customHeight="1">
      <c r="B644" s="2"/>
      <c r="C644" s="2"/>
      <c r="D644" s="2"/>
      <c r="E644" s="2"/>
      <c r="L644" s="2"/>
      <c r="M644" s="2"/>
    </row>
    <row r="645" ht="15.75" customHeight="1">
      <c r="B645" s="2"/>
      <c r="C645" s="2"/>
      <c r="D645" s="2"/>
      <c r="E645" s="2"/>
      <c r="L645" s="2"/>
      <c r="M645" s="2"/>
    </row>
    <row r="646" ht="15.75" customHeight="1">
      <c r="B646" s="2"/>
      <c r="C646" s="2"/>
      <c r="D646" s="2"/>
      <c r="E646" s="2"/>
      <c r="L646" s="2"/>
      <c r="M646" s="2"/>
    </row>
    <row r="647" ht="15.75" customHeight="1">
      <c r="B647" s="2"/>
      <c r="C647" s="2"/>
      <c r="D647" s="2"/>
      <c r="E647" s="2"/>
      <c r="L647" s="2"/>
      <c r="M647" s="2"/>
    </row>
    <row r="648" ht="15.75" customHeight="1">
      <c r="B648" s="2"/>
      <c r="C648" s="2"/>
      <c r="D648" s="2"/>
      <c r="E648" s="2"/>
      <c r="L648" s="2"/>
      <c r="M648" s="2"/>
    </row>
    <row r="649" ht="15.75" customHeight="1">
      <c r="B649" s="2"/>
      <c r="C649" s="2"/>
      <c r="D649" s="2"/>
      <c r="E649" s="2"/>
      <c r="L649" s="2"/>
      <c r="M649" s="2"/>
    </row>
    <row r="650" ht="15.75" customHeight="1">
      <c r="B650" s="2"/>
      <c r="C650" s="2"/>
      <c r="D650" s="2"/>
      <c r="E650" s="2"/>
      <c r="L650" s="2"/>
      <c r="M650" s="2"/>
    </row>
    <row r="651" ht="15.75" customHeight="1">
      <c r="B651" s="2"/>
      <c r="C651" s="2"/>
      <c r="D651" s="2"/>
      <c r="E651" s="2"/>
      <c r="L651" s="2"/>
      <c r="M651" s="2"/>
    </row>
    <row r="652" ht="15.75" customHeight="1">
      <c r="B652" s="2"/>
      <c r="C652" s="2"/>
      <c r="D652" s="2"/>
      <c r="E652" s="2"/>
      <c r="L652" s="2"/>
      <c r="M652" s="2"/>
    </row>
    <row r="653" ht="15.75" customHeight="1">
      <c r="B653" s="2"/>
      <c r="C653" s="2"/>
      <c r="D653" s="2"/>
      <c r="E653" s="2"/>
      <c r="L653" s="2"/>
      <c r="M653" s="2"/>
    </row>
    <row r="654" ht="15.75" customHeight="1">
      <c r="B654" s="2"/>
      <c r="C654" s="2"/>
      <c r="D654" s="2"/>
      <c r="E654" s="2"/>
      <c r="L654" s="2"/>
      <c r="M654" s="2"/>
    </row>
    <row r="655" ht="15.75" customHeight="1">
      <c r="B655" s="2"/>
      <c r="C655" s="2"/>
      <c r="D655" s="2"/>
      <c r="E655" s="2"/>
      <c r="L655" s="2"/>
      <c r="M655" s="2"/>
    </row>
    <row r="656" ht="15.75" customHeight="1">
      <c r="B656" s="2"/>
      <c r="C656" s="2"/>
      <c r="D656" s="2"/>
      <c r="E656" s="2"/>
      <c r="L656" s="2"/>
      <c r="M656" s="2"/>
    </row>
    <row r="657" ht="15.75" customHeight="1">
      <c r="B657" s="2"/>
      <c r="C657" s="2"/>
      <c r="D657" s="2"/>
      <c r="E657" s="2"/>
      <c r="L657" s="2"/>
      <c r="M657" s="2"/>
    </row>
    <row r="658" ht="15.75" customHeight="1">
      <c r="B658" s="2"/>
      <c r="C658" s="2"/>
      <c r="D658" s="2"/>
      <c r="E658" s="2"/>
      <c r="L658" s="2"/>
      <c r="M658" s="2"/>
    </row>
    <row r="659" ht="15.75" customHeight="1">
      <c r="B659" s="2"/>
      <c r="C659" s="2"/>
      <c r="D659" s="2"/>
      <c r="E659" s="2"/>
      <c r="L659" s="2"/>
      <c r="M659" s="2"/>
    </row>
    <row r="660" ht="15.75" customHeight="1">
      <c r="B660" s="2"/>
      <c r="C660" s="2"/>
      <c r="D660" s="2"/>
      <c r="E660" s="2"/>
      <c r="L660" s="2"/>
      <c r="M660" s="2"/>
    </row>
    <row r="661" ht="15.75" customHeight="1">
      <c r="B661" s="2"/>
      <c r="C661" s="2"/>
      <c r="D661" s="2"/>
      <c r="E661" s="2"/>
      <c r="L661" s="2"/>
      <c r="M661" s="2"/>
    </row>
    <row r="662" ht="15.75" customHeight="1">
      <c r="B662" s="2"/>
      <c r="C662" s="2"/>
      <c r="D662" s="2"/>
      <c r="E662" s="2"/>
      <c r="L662" s="2"/>
      <c r="M662" s="2"/>
    </row>
    <row r="663" ht="15.75" customHeight="1">
      <c r="B663" s="2"/>
      <c r="C663" s="2"/>
      <c r="D663" s="2"/>
      <c r="E663" s="2"/>
      <c r="L663" s="2"/>
      <c r="M663" s="2"/>
    </row>
    <row r="664" ht="15.75" customHeight="1">
      <c r="B664" s="2"/>
      <c r="C664" s="2"/>
      <c r="D664" s="2"/>
      <c r="E664" s="2"/>
      <c r="L664" s="2"/>
      <c r="M664" s="2"/>
    </row>
    <row r="665" ht="15.75" customHeight="1">
      <c r="B665" s="2"/>
      <c r="C665" s="2"/>
      <c r="D665" s="2"/>
      <c r="E665" s="2"/>
      <c r="L665" s="2"/>
      <c r="M665" s="2"/>
    </row>
    <row r="666" ht="15.75" customHeight="1">
      <c r="B666" s="2"/>
      <c r="C666" s="2"/>
      <c r="D666" s="2"/>
      <c r="E666" s="2"/>
      <c r="L666" s="2"/>
      <c r="M666" s="2"/>
    </row>
    <row r="667" ht="15.75" customHeight="1">
      <c r="B667" s="2"/>
      <c r="C667" s="2"/>
      <c r="D667" s="2"/>
      <c r="E667" s="2"/>
      <c r="L667" s="2"/>
      <c r="M667" s="2"/>
    </row>
    <row r="668" ht="15.75" customHeight="1">
      <c r="B668" s="2"/>
      <c r="C668" s="2"/>
      <c r="D668" s="2"/>
      <c r="E668" s="2"/>
      <c r="L668" s="2"/>
      <c r="M668" s="2"/>
    </row>
    <row r="669" ht="15.75" customHeight="1">
      <c r="B669" s="2"/>
      <c r="C669" s="2"/>
      <c r="D669" s="2"/>
      <c r="E669" s="2"/>
      <c r="L669" s="2"/>
      <c r="M669" s="2"/>
    </row>
    <row r="670" ht="15.75" customHeight="1">
      <c r="B670" s="2"/>
      <c r="C670" s="2"/>
      <c r="D670" s="2"/>
      <c r="E670" s="2"/>
      <c r="L670" s="2"/>
      <c r="M670" s="2"/>
    </row>
    <row r="671" ht="15.75" customHeight="1">
      <c r="B671" s="2"/>
      <c r="C671" s="2"/>
      <c r="D671" s="2"/>
      <c r="E671" s="2"/>
      <c r="L671" s="2"/>
      <c r="M671" s="2"/>
    </row>
    <row r="672" ht="15.75" customHeight="1">
      <c r="B672" s="2"/>
      <c r="C672" s="2"/>
      <c r="D672" s="2"/>
      <c r="E672" s="2"/>
      <c r="L672" s="2"/>
      <c r="M672" s="2"/>
    </row>
    <row r="673" ht="15.75" customHeight="1">
      <c r="B673" s="2"/>
      <c r="C673" s="2"/>
      <c r="D673" s="2"/>
      <c r="E673" s="2"/>
      <c r="L673" s="2"/>
      <c r="M673" s="2"/>
    </row>
    <row r="674" ht="15.75" customHeight="1">
      <c r="B674" s="2"/>
      <c r="C674" s="2"/>
      <c r="D674" s="2"/>
      <c r="E674" s="2"/>
      <c r="L674" s="2"/>
      <c r="M674" s="2"/>
    </row>
    <row r="675" ht="15.75" customHeight="1">
      <c r="B675" s="2"/>
      <c r="C675" s="2"/>
      <c r="D675" s="2"/>
      <c r="E675" s="2"/>
      <c r="L675" s="2"/>
      <c r="M675" s="2"/>
    </row>
    <row r="676" ht="15.75" customHeight="1">
      <c r="B676" s="2"/>
      <c r="C676" s="2"/>
      <c r="D676" s="2"/>
      <c r="E676" s="2"/>
      <c r="L676" s="2"/>
      <c r="M676" s="2"/>
    </row>
    <row r="677" ht="15.75" customHeight="1">
      <c r="B677" s="2"/>
      <c r="C677" s="2"/>
      <c r="D677" s="2"/>
      <c r="E677" s="2"/>
      <c r="L677" s="2"/>
      <c r="M677" s="2"/>
    </row>
    <row r="678" ht="15.75" customHeight="1">
      <c r="B678" s="2"/>
      <c r="C678" s="2"/>
      <c r="D678" s="2"/>
      <c r="E678" s="2"/>
      <c r="L678" s="2"/>
      <c r="M678" s="2"/>
    </row>
    <row r="679" ht="15.75" customHeight="1">
      <c r="B679" s="2"/>
      <c r="C679" s="2"/>
      <c r="D679" s="2"/>
      <c r="E679" s="2"/>
      <c r="L679" s="2"/>
      <c r="M679" s="2"/>
    </row>
    <row r="680" ht="15.75" customHeight="1">
      <c r="B680" s="2"/>
      <c r="C680" s="2"/>
      <c r="D680" s="2"/>
      <c r="E680" s="2"/>
      <c r="L680" s="2"/>
      <c r="M680" s="2"/>
    </row>
    <row r="681" ht="15.75" customHeight="1">
      <c r="B681" s="2"/>
      <c r="C681" s="2"/>
      <c r="D681" s="2"/>
      <c r="E681" s="2"/>
      <c r="L681" s="2"/>
      <c r="M681" s="2"/>
    </row>
    <row r="682" ht="15.75" customHeight="1">
      <c r="B682" s="2"/>
      <c r="C682" s="2"/>
      <c r="D682" s="2"/>
      <c r="E682" s="2"/>
      <c r="L682" s="2"/>
      <c r="M682" s="2"/>
    </row>
    <row r="683" ht="15.75" customHeight="1">
      <c r="B683" s="2"/>
      <c r="C683" s="2"/>
      <c r="D683" s="2"/>
      <c r="E683" s="2"/>
      <c r="L683" s="2"/>
      <c r="M683" s="2"/>
    </row>
    <row r="684" ht="15.75" customHeight="1">
      <c r="B684" s="2"/>
      <c r="C684" s="2"/>
      <c r="D684" s="2"/>
      <c r="E684" s="2"/>
      <c r="L684" s="2"/>
      <c r="M684" s="2"/>
    </row>
    <row r="685" ht="15.75" customHeight="1">
      <c r="B685" s="2"/>
      <c r="C685" s="2"/>
      <c r="D685" s="2"/>
      <c r="E685" s="2"/>
      <c r="L685" s="2"/>
      <c r="M685" s="2"/>
    </row>
    <row r="686" ht="15.75" customHeight="1">
      <c r="B686" s="2"/>
      <c r="C686" s="2"/>
      <c r="D686" s="2"/>
      <c r="E686" s="2"/>
      <c r="L686" s="2"/>
      <c r="M686" s="2"/>
    </row>
    <row r="687" ht="15.75" customHeight="1">
      <c r="B687" s="2"/>
      <c r="C687" s="2"/>
      <c r="D687" s="2"/>
      <c r="E687" s="2"/>
      <c r="L687" s="2"/>
      <c r="M687" s="2"/>
    </row>
    <row r="688" ht="15.75" customHeight="1">
      <c r="B688" s="2"/>
      <c r="C688" s="2"/>
      <c r="D688" s="2"/>
      <c r="E688" s="2"/>
      <c r="L688" s="2"/>
      <c r="M688" s="2"/>
    </row>
    <row r="689" ht="15.75" customHeight="1">
      <c r="B689" s="2"/>
      <c r="C689" s="2"/>
      <c r="D689" s="2"/>
      <c r="E689" s="2"/>
      <c r="L689" s="2"/>
      <c r="M689" s="2"/>
    </row>
    <row r="690" ht="15.75" customHeight="1">
      <c r="B690" s="2"/>
      <c r="C690" s="2"/>
      <c r="D690" s="2"/>
      <c r="E690" s="2"/>
      <c r="L690" s="2"/>
      <c r="M690" s="2"/>
    </row>
    <row r="691" ht="15.75" customHeight="1">
      <c r="B691" s="2"/>
      <c r="C691" s="2"/>
      <c r="D691" s="2"/>
      <c r="E691" s="2"/>
      <c r="L691" s="2"/>
      <c r="M691" s="2"/>
    </row>
    <row r="692" ht="15.75" customHeight="1">
      <c r="B692" s="2"/>
      <c r="C692" s="2"/>
      <c r="D692" s="2"/>
      <c r="E692" s="2"/>
      <c r="L692" s="2"/>
      <c r="M692" s="2"/>
    </row>
    <row r="693" ht="15.75" customHeight="1">
      <c r="B693" s="2"/>
      <c r="C693" s="2"/>
      <c r="D693" s="2"/>
      <c r="E693" s="2"/>
      <c r="L693" s="2"/>
      <c r="M693" s="2"/>
    </row>
    <row r="694" ht="15.75" customHeight="1">
      <c r="B694" s="2"/>
      <c r="C694" s="2"/>
      <c r="D694" s="2"/>
      <c r="E694" s="2"/>
      <c r="L694" s="2"/>
      <c r="M694" s="2"/>
    </row>
    <row r="695" ht="15.75" customHeight="1">
      <c r="B695" s="2"/>
      <c r="C695" s="2"/>
      <c r="D695" s="2"/>
      <c r="E695" s="2"/>
      <c r="L695" s="2"/>
      <c r="M695" s="2"/>
    </row>
    <row r="696" ht="15.75" customHeight="1">
      <c r="B696" s="2"/>
      <c r="C696" s="2"/>
      <c r="D696" s="2"/>
      <c r="E696" s="2"/>
      <c r="L696" s="2"/>
      <c r="M696" s="2"/>
    </row>
    <row r="697" ht="15.75" customHeight="1">
      <c r="B697" s="2"/>
      <c r="C697" s="2"/>
      <c r="D697" s="2"/>
      <c r="E697" s="2"/>
      <c r="L697" s="2"/>
      <c r="M697" s="2"/>
    </row>
    <row r="698" ht="15.75" customHeight="1">
      <c r="B698" s="2"/>
      <c r="C698" s="2"/>
      <c r="D698" s="2"/>
      <c r="E698" s="2"/>
      <c r="L698" s="2"/>
      <c r="M698" s="2"/>
    </row>
    <row r="699" ht="15.75" customHeight="1">
      <c r="B699" s="2"/>
      <c r="C699" s="2"/>
      <c r="D699" s="2"/>
      <c r="E699" s="2"/>
      <c r="L699" s="2"/>
      <c r="M699" s="2"/>
    </row>
    <row r="700" ht="15.75" customHeight="1">
      <c r="B700" s="2"/>
      <c r="C700" s="2"/>
      <c r="D700" s="2"/>
      <c r="E700" s="2"/>
      <c r="L700" s="2"/>
      <c r="M700" s="2"/>
    </row>
    <row r="701" ht="15.75" customHeight="1">
      <c r="B701" s="2"/>
      <c r="C701" s="2"/>
      <c r="D701" s="2"/>
      <c r="E701" s="2"/>
      <c r="L701" s="2"/>
      <c r="M701" s="2"/>
    </row>
    <row r="702" ht="15.75" customHeight="1">
      <c r="B702" s="2"/>
      <c r="C702" s="2"/>
      <c r="D702" s="2"/>
      <c r="E702" s="2"/>
      <c r="L702" s="2"/>
      <c r="M702" s="2"/>
    </row>
    <row r="703" ht="15.75" customHeight="1">
      <c r="B703" s="2"/>
      <c r="C703" s="2"/>
      <c r="D703" s="2"/>
      <c r="E703" s="2"/>
      <c r="L703" s="2"/>
      <c r="M703" s="2"/>
    </row>
    <row r="704" ht="15.75" customHeight="1">
      <c r="B704" s="2"/>
      <c r="C704" s="2"/>
      <c r="D704" s="2"/>
      <c r="E704" s="2"/>
      <c r="L704" s="2"/>
      <c r="M704" s="2"/>
    </row>
    <row r="705" ht="15.75" customHeight="1">
      <c r="B705" s="2"/>
      <c r="C705" s="2"/>
      <c r="D705" s="2"/>
      <c r="E705" s="2"/>
      <c r="L705" s="2"/>
      <c r="M705" s="2"/>
    </row>
    <row r="706" ht="15.75" customHeight="1">
      <c r="B706" s="2"/>
      <c r="C706" s="2"/>
      <c r="D706" s="2"/>
      <c r="E706" s="2"/>
      <c r="L706" s="2"/>
      <c r="M706" s="2"/>
    </row>
    <row r="707" ht="15.75" customHeight="1">
      <c r="B707" s="2"/>
      <c r="C707" s="2"/>
      <c r="D707" s="2"/>
      <c r="E707" s="2"/>
      <c r="L707" s="2"/>
      <c r="M707" s="2"/>
    </row>
    <row r="708" ht="15.75" customHeight="1">
      <c r="B708" s="2"/>
      <c r="C708" s="2"/>
      <c r="D708" s="2"/>
      <c r="E708" s="2"/>
      <c r="L708" s="2"/>
      <c r="M708" s="2"/>
    </row>
    <row r="709" ht="15.75" customHeight="1">
      <c r="B709" s="2"/>
      <c r="C709" s="2"/>
      <c r="D709" s="2"/>
      <c r="E709" s="2"/>
      <c r="L709" s="2"/>
      <c r="M709" s="2"/>
    </row>
    <row r="710" ht="15.75" customHeight="1">
      <c r="B710" s="2"/>
      <c r="C710" s="2"/>
      <c r="D710" s="2"/>
      <c r="E710" s="2"/>
      <c r="L710" s="2"/>
      <c r="M710" s="2"/>
    </row>
    <row r="711" ht="15.75" customHeight="1">
      <c r="B711" s="2"/>
      <c r="C711" s="2"/>
      <c r="D711" s="2"/>
      <c r="E711" s="2"/>
      <c r="L711" s="2"/>
      <c r="M711" s="2"/>
    </row>
    <row r="712" ht="15.75" customHeight="1">
      <c r="B712" s="2"/>
      <c r="C712" s="2"/>
      <c r="D712" s="2"/>
      <c r="E712" s="2"/>
      <c r="L712" s="2"/>
      <c r="M712" s="2"/>
    </row>
    <row r="713" ht="15.75" customHeight="1">
      <c r="B713" s="2"/>
      <c r="C713" s="2"/>
      <c r="D713" s="2"/>
      <c r="E713" s="2"/>
      <c r="L713" s="2"/>
      <c r="M713" s="2"/>
    </row>
    <row r="714" ht="15.75" customHeight="1">
      <c r="B714" s="2"/>
      <c r="C714" s="2"/>
      <c r="D714" s="2"/>
      <c r="E714" s="2"/>
      <c r="L714" s="2"/>
      <c r="M714" s="2"/>
    </row>
    <row r="715" ht="15.75" customHeight="1">
      <c r="B715" s="2"/>
      <c r="C715" s="2"/>
      <c r="D715" s="2"/>
      <c r="E715" s="2"/>
      <c r="L715" s="2"/>
      <c r="M715" s="2"/>
    </row>
    <row r="716" ht="15.75" customHeight="1">
      <c r="B716" s="2"/>
      <c r="C716" s="2"/>
      <c r="D716" s="2"/>
      <c r="E716" s="2"/>
      <c r="L716" s="2"/>
      <c r="M716" s="2"/>
    </row>
    <row r="717" ht="15.75" customHeight="1">
      <c r="B717" s="2"/>
      <c r="C717" s="2"/>
      <c r="D717" s="2"/>
      <c r="E717" s="2"/>
      <c r="L717" s="2"/>
      <c r="M717" s="2"/>
    </row>
    <row r="718" ht="15.75" customHeight="1">
      <c r="B718" s="2"/>
      <c r="C718" s="2"/>
      <c r="D718" s="2"/>
      <c r="E718" s="2"/>
      <c r="L718" s="2"/>
      <c r="M718" s="2"/>
    </row>
    <row r="719" ht="15.75" customHeight="1">
      <c r="B719" s="2"/>
      <c r="C719" s="2"/>
      <c r="D719" s="2"/>
      <c r="E719" s="2"/>
      <c r="L719" s="2"/>
      <c r="M719" s="2"/>
    </row>
    <row r="720" ht="15.75" customHeight="1">
      <c r="B720" s="2"/>
      <c r="C720" s="2"/>
      <c r="D720" s="2"/>
      <c r="E720" s="2"/>
      <c r="L720" s="2"/>
      <c r="M720" s="2"/>
    </row>
    <row r="721" ht="15.75" customHeight="1">
      <c r="B721" s="2"/>
      <c r="C721" s="2"/>
      <c r="D721" s="2"/>
      <c r="E721" s="2"/>
      <c r="L721" s="2"/>
      <c r="M721" s="2"/>
    </row>
    <row r="722" ht="15.75" customHeight="1">
      <c r="B722" s="2"/>
      <c r="C722" s="2"/>
      <c r="D722" s="2"/>
      <c r="E722" s="2"/>
      <c r="L722" s="2"/>
      <c r="M722" s="2"/>
    </row>
    <row r="723" ht="15.75" customHeight="1">
      <c r="B723" s="2"/>
      <c r="C723" s="2"/>
      <c r="D723" s="2"/>
      <c r="E723" s="2"/>
      <c r="L723" s="2"/>
      <c r="M723" s="2"/>
    </row>
    <row r="724" ht="15.75" customHeight="1">
      <c r="B724" s="2"/>
      <c r="C724" s="2"/>
      <c r="D724" s="2"/>
      <c r="E724" s="2"/>
      <c r="L724" s="2"/>
      <c r="M724" s="2"/>
    </row>
    <row r="725" ht="15.75" customHeight="1">
      <c r="B725" s="2"/>
      <c r="C725" s="2"/>
      <c r="D725" s="2"/>
      <c r="E725" s="2"/>
      <c r="L725" s="2"/>
      <c r="M725" s="2"/>
    </row>
    <row r="726" ht="15.75" customHeight="1">
      <c r="B726" s="2"/>
      <c r="C726" s="2"/>
      <c r="D726" s="2"/>
      <c r="E726" s="2"/>
      <c r="L726" s="2"/>
      <c r="M726" s="2"/>
    </row>
    <row r="727" ht="15.75" customHeight="1">
      <c r="B727" s="2"/>
      <c r="C727" s="2"/>
      <c r="D727" s="2"/>
      <c r="E727" s="2"/>
      <c r="L727" s="2"/>
      <c r="M727" s="2"/>
    </row>
    <row r="728" ht="15.75" customHeight="1">
      <c r="B728" s="2"/>
      <c r="C728" s="2"/>
      <c r="D728" s="2"/>
      <c r="E728" s="2"/>
      <c r="L728" s="2"/>
      <c r="M728" s="2"/>
    </row>
    <row r="729" ht="15.75" customHeight="1">
      <c r="B729" s="2"/>
      <c r="C729" s="2"/>
      <c r="D729" s="2"/>
      <c r="E729" s="2"/>
      <c r="L729" s="2"/>
      <c r="M729" s="2"/>
    </row>
    <row r="730" ht="15.75" customHeight="1">
      <c r="B730" s="2"/>
      <c r="C730" s="2"/>
      <c r="D730" s="2"/>
      <c r="E730" s="2"/>
      <c r="L730" s="2"/>
      <c r="M730" s="2"/>
    </row>
    <row r="731" ht="15.75" customHeight="1">
      <c r="B731" s="2"/>
      <c r="C731" s="2"/>
      <c r="D731" s="2"/>
      <c r="E731" s="2"/>
      <c r="L731" s="2"/>
      <c r="M731" s="2"/>
    </row>
    <row r="732" ht="15.75" customHeight="1">
      <c r="B732" s="2"/>
      <c r="C732" s="2"/>
      <c r="D732" s="2"/>
      <c r="E732" s="2"/>
      <c r="L732" s="2"/>
      <c r="M732" s="2"/>
    </row>
    <row r="733" ht="15.75" customHeight="1">
      <c r="B733" s="2"/>
      <c r="C733" s="2"/>
      <c r="D733" s="2"/>
      <c r="E733" s="2"/>
      <c r="L733" s="2"/>
      <c r="M733" s="2"/>
    </row>
    <row r="734" ht="15.75" customHeight="1">
      <c r="B734" s="2"/>
      <c r="C734" s="2"/>
      <c r="D734" s="2"/>
      <c r="E734" s="2"/>
      <c r="L734" s="2"/>
      <c r="M734" s="2"/>
    </row>
    <row r="735" ht="15.75" customHeight="1">
      <c r="B735" s="2"/>
      <c r="C735" s="2"/>
      <c r="D735" s="2"/>
      <c r="E735" s="2"/>
      <c r="L735" s="2"/>
      <c r="M735" s="2"/>
    </row>
    <row r="736" ht="15.75" customHeight="1">
      <c r="B736" s="2"/>
      <c r="C736" s="2"/>
      <c r="D736" s="2"/>
      <c r="E736" s="2"/>
      <c r="L736" s="2"/>
      <c r="M736" s="2"/>
    </row>
    <row r="737" ht="15.75" customHeight="1">
      <c r="B737" s="2"/>
      <c r="C737" s="2"/>
      <c r="D737" s="2"/>
      <c r="E737" s="2"/>
      <c r="L737" s="2"/>
      <c r="M737" s="2"/>
    </row>
    <row r="738" ht="15.75" customHeight="1">
      <c r="B738" s="2"/>
      <c r="C738" s="2"/>
      <c r="D738" s="2"/>
      <c r="E738" s="2"/>
      <c r="L738" s="2"/>
      <c r="M738" s="2"/>
    </row>
    <row r="739" ht="15.75" customHeight="1">
      <c r="B739" s="2"/>
      <c r="C739" s="2"/>
      <c r="D739" s="2"/>
      <c r="E739" s="2"/>
      <c r="L739" s="2"/>
      <c r="M739" s="2"/>
    </row>
    <row r="740" ht="15.75" customHeight="1">
      <c r="B740" s="2"/>
      <c r="C740" s="2"/>
      <c r="D740" s="2"/>
      <c r="E740" s="2"/>
      <c r="L740" s="2"/>
      <c r="M740" s="2"/>
    </row>
    <row r="741" ht="15.75" customHeight="1">
      <c r="B741" s="2"/>
      <c r="C741" s="2"/>
      <c r="D741" s="2"/>
      <c r="E741" s="2"/>
      <c r="L741" s="2"/>
      <c r="M741" s="2"/>
    </row>
    <row r="742" ht="15.75" customHeight="1">
      <c r="B742" s="2"/>
      <c r="C742" s="2"/>
      <c r="D742" s="2"/>
      <c r="E742" s="2"/>
      <c r="L742" s="2"/>
      <c r="M742" s="2"/>
    </row>
    <row r="743" ht="15.75" customHeight="1">
      <c r="B743" s="2"/>
      <c r="C743" s="2"/>
      <c r="D743" s="2"/>
      <c r="E743" s="2"/>
      <c r="L743" s="2"/>
      <c r="M743" s="2"/>
    </row>
    <row r="744" ht="15.75" customHeight="1">
      <c r="B744" s="2"/>
      <c r="C744" s="2"/>
      <c r="D744" s="2"/>
      <c r="E744" s="2"/>
      <c r="L744" s="2"/>
      <c r="M744" s="2"/>
    </row>
    <row r="745" ht="15.75" customHeight="1">
      <c r="B745" s="2"/>
      <c r="C745" s="2"/>
      <c r="D745" s="2"/>
      <c r="E745" s="2"/>
      <c r="L745" s="2"/>
      <c r="M745" s="2"/>
    </row>
    <row r="746" ht="15.75" customHeight="1">
      <c r="B746" s="2"/>
      <c r="C746" s="2"/>
      <c r="D746" s="2"/>
      <c r="E746" s="2"/>
      <c r="L746" s="2"/>
      <c r="M746" s="2"/>
    </row>
    <row r="747" ht="15.75" customHeight="1">
      <c r="B747" s="2"/>
      <c r="C747" s="2"/>
      <c r="D747" s="2"/>
      <c r="E747" s="2"/>
      <c r="L747" s="2"/>
      <c r="M747" s="2"/>
    </row>
    <row r="748" ht="15.75" customHeight="1">
      <c r="B748" s="2"/>
      <c r="C748" s="2"/>
      <c r="D748" s="2"/>
      <c r="E748" s="2"/>
      <c r="L748" s="2"/>
      <c r="M748" s="2"/>
    </row>
    <row r="749" ht="15.75" customHeight="1">
      <c r="B749" s="2"/>
      <c r="C749" s="2"/>
      <c r="D749" s="2"/>
      <c r="E749" s="2"/>
      <c r="L749" s="2"/>
      <c r="M749" s="2"/>
    </row>
    <row r="750" ht="15.75" customHeight="1">
      <c r="B750" s="2"/>
      <c r="C750" s="2"/>
      <c r="D750" s="2"/>
      <c r="E750" s="2"/>
      <c r="L750" s="2"/>
      <c r="M750" s="2"/>
    </row>
    <row r="751" ht="15.75" customHeight="1">
      <c r="B751" s="2"/>
      <c r="C751" s="2"/>
      <c r="D751" s="2"/>
      <c r="E751" s="2"/>
      <c r="L751" s="2"/>
      <c r="M751" s="2"/>
    </row>
    <row r="752" ht="15.75" customHeight="1">
      <c r="B752" s="2"/>
      <c r="C752" s="2"/>
      <c r="D752" s="2"/>
      <c r="E752" s="2"/>
      <c r="L752" s="2"/>
      <c r="M752" s="2"/>
    </row>
    <row r="753" ht="15.75" customHeight="1">
      <c r="B753" s="2"/>
      <c r="C753" s="2"/>
      <c r="D753" s="2"/>
      <c r="E753" s="2"/>
      <c r="L753" s="2"/>
      <c r="M753" s="2"/>
    </row>
    <row r="754" ht="15.75" customHeight="1">
      <c r="B754" s="2"/>
      <c r="C754" s="2"/>
      <c r="D754" s="2"/>
      <c r="E754" s="2"/>
      <c r="L754" s="2"/>
      <c r="M754" s="2"/>
    </row>
    <row r="755" ht="15.75" customHeight="1">
      <c r="B755" s="2"/>
      <c r="C755" s="2"/>
      <c r="D755" s="2"/>
      <c r="E755" s="2"/>
      <c r="L755" s="2"/>
      <c r="M755" s="2"/>
    </row>
    <row r="756" ht="15.75" customHeight="1">
      <c r="B756" s="2"/>
      <c r="C756" s="2"/>
      <c r="D756" s="2"/>
      <c r="E756" s="2"/>
      <c r="L756" s="2"/>
      <c r="M756" s="2"/>
    </row>
    <row r="757" ht="15.75" customHeight="1">
      <c r="B757" s="2"/>
      <c r="C757" s="2"/>
      <c r="D757" s="2"/>
      <c r="E757" s="2"/>
      <c r="L757" s="2"/>
      <c r="M757" s="2"/>
    </row>
    <row r="758" ht="15.75" customHeight="1">
      <c r="B758" s="2"/>
      <c r="C758" s="2"/>
      <c r="D758" s="2"/>
      <c r="E758" s="2"/>
      <c r="L758" s="2"/>
      <c r="M758" s="2"/>
    </row>
    <row r="759" ht="15.75" customHeight="1">
      <c r="B759" s="2"/>
      <c r="C759" s="2"/>
      <c r="D759" s="2"/>
      <c r="E759" s="2"/>
      <c r="L759" s="2"/>
      <c r="M759" s="2"/>
    </row>
    <row r="760" ht="15.75" customHeight="1">
      <c r="B760" s="2"/>
      <c r="C760" s="2"/>
      <c r="D760" s="2"/>
      <c r="E760" s="2"/>
      <c r="L760" s="2"/>
      <c r="M760" s="2"/>
    </row>
    <row r="761" ht="15.75" customHeight="1">
      <c r="B761" s="2"/>
      <c r="C761" s="2"/>
      <c r="D761" s="2"/>
      <c r="E761" s="2"/>
      <c r="L761" s="2"/>
      <c r="M761" s="2"/>
    </row>
    <row r="762" ht="15.75" customHeight="1">
      <c r="B762" s="2"/>
      <c r="C762" s="2"/>
      <c r="D762" s="2"/>
      <c r="E762" s="2"/>
      <c r="L762" s="2"/>
      <c r="M762" s="2"/>
    </row>
    <row r="763" ht="15.75" customHeight="1">
      <c r="B763" s="2"/>
      <c r="C763" s="2"/>
      <c r="D763" s="2"/>
      <c r="E763" s="2"/>
      <c r="L763" s="2"/>
      <c r="M763" s="2"/>
    </row>
    <row r="764" ht="15.75" customHeight="1">
      <c r="B764" s="2"/>
      <c r="C764" s="2"/>
      <c r="D764" s="2"/>
      <c r="E764" s="2"/>
      <c r="L764" s="2"/>
      <c r="M764" s="2"/>
    </row>
    <row r="765" ht="15.75" customHeight="1">
      <c r="B765" s="2"/>
      <c r="C765" s="2"/>
      <c r="D765" s="2"/>
      <c r="E765" s="2"/>
      <c r="L765" s="2"/>
      <c r="M765" s="2"/>
    </row>
    <row r="766" ht="15.75" customHeight="1">
      <c r="B766" s="2"/>
      <c r="C766" s="2"/>
      <c r="D766" s="2"/>
      <c r="E766" s="2"/>
      <c r="L766" s="2"/>
      <c r="M766" s="2"/>
    </row>
    <row r="767" ht="15.75" customHeight="1">
      <c r="B767" s="2"/>
      <c r="C767" s="2"/>
      <c r="D767" s="2"/>
      <c r="E767" s="2"/>
      <c r="L767" s="2"/>
      <c r="M767" s="2"/>
    </row>
    <row r="768" ht="15.75" customHeight="1">
      <c r="B768" s="2"/>
      <c r="C768" s="2"/>
      <c r="D768" s="2"/>
      <c r="E768" s="2"/>
      <c r="L768" s="2"/>
      <c r="M768" s="2"/>
    </row>
    <row r="769" ht="15.75" customHeight="1">
      <c r="B769" s="2"/>
      <c r="C769" s="2"/>
      <c r="D769" s="2"/>
      <c r="E769" s="2"/>
      <c r="L769" s="2"/>
      <c r="M769" s="2"/>
    </row>
    <row r="770" ht="15.75" customHeight="1">
      <c r="B770" s="2"/>
      <c r="C770" s="2"/>
      <c r="D770" s="2"/>
      <c r="E770" s="2"/>
      <c r="L770" s="2"/>
      <c r="M770" s="2"/>
    </row>
    <row r="771" ht="15.75" customHeight="1">
      <c r="B771" s="2"/>
      <c r="C771" s="2"/>
      <c r="D771" s="2"/>
      <c r="E771" s="2"/>
      <c r="L771" s="2"/>
      <c r="M771" s="2"/>
    </row>
    <row r="772" ht="15.75" customHeight="1">
      <c r="B772" s="2"/>
      <c r="C772" s="2"/>
      <c r="D772" s="2"/>
      <c r="E772" s="2"/>
      <c r="L772" s="2"/>
      <c r="M772" s="2"/>
    </row>
    <row r="773" ht="15.75" customHeight="1">
      <c r="B773" s="2"/>
      <c r="C773" s="2"/>
      <c r="D773" s="2"/>
      <c r="E773" s="2"/>
      <c r="L773" s="2"/>
      <c r="M773" s="2"/>
    </row>
    <row r="774" ht="15.75" customHeight="1">
      <c r="B774" s="2"/>
      <c r="C774" s="2"/>
      <c r="D774" s="2"/>
      <c r="E774" s="2"/>
      <c r="L774" s="2"/>
      <c r="M774" s="2"/>
    </row>
    <row r="775" ht="15.75" customHeight="1">
      <c r="B775" s="2"/>
      <c r="C775" s="2"/>
      <c r="D775" s="2"/>
      <c r="E775" s="2"/>
      <c r="L775" s="2"/>
      <c r="M775" s="2"/>
    </row>
    <row r="776" ht="15.75" customHeight="1">
      <c r="B776" s="2"/>
      <c r="C776" s="2"/>
      <c r="D776" s="2"/>
      <c r="E776" s="2"/>
      <c r="L776" s="2"/>
      <c r="M776" s="2"/>
    </row>
    <row r="777" ht="15.75" customHeight="1">
      <c r="B777" s="2"/>
      <c r="C777" s="2"/>
      <c r="D777" s="2"/>
      <c r="E777" s="2"/>
      <c r="L777" s="2"/>
      <c r="M777" s="2"/>
    </row>
    <row r="778" ht="15.75" customHeight="1">
      <c r="B778" s="2"/>
      <c r="C778" s="2"/>
      <c r="D778" s="2"/>
      <c r="E778" s="2"/>
      <c r="L778" s="2"/>
      <c r="M778" s="2"/>
    </row>
    <row r="779" ht="15.75" customHeight="1">
      <c r="B779" s="2"/>
      <c r="C779" s="2"/>
      <c r="D779" s="2"/>
      <c r="E779" s="2"/>
      <c r="L779" s="2"/>
      <c r="M779" s="2"/>
    </row>
    <row r="780" ht="15.75" customHeight="1">
      <c r="B780" s="2"/>
      <c r="C780" s="2"/>
      <c r="D780" s="2"/>
      <c r="E780" s="2"/>
      <c r="L780" s="2"/>
      <c r="M780" s="2"/>
    </row>
    <row r="781" ht="15.75" customHeight="1">
      <c r="B781" s="2"/>
      <c r="C781" s="2"/>
      <c r="D781" s="2"/>
      <c r="E781" s="2"/>
      <c r="L781" s="2"/>
      <c r="M781" s="2"/>
    </row>
    <row r="782" ht="15.75" customHeight="1">
      <c r="B782" s="2"/>
      <c r="C782" s="2"/>
      <c r="D782" s="2"/>
      <c r="E782" s="2"/>
      <c r="L782" s="2"/>
      <c r="M782" s="2"/>
    </row>
    <row r="783" ht="15.75" customHeight="1">
      <c r="B783" s="2"/>
      <c r="C783" s="2"/>
      <c r="D783" s="2"/>
      <c r="E783" s="2"/>
      <c r="L783" s="2"/>
      <c r="M783" s="2"/>
    </row>
    <row r="784" ht="15.75" customHeight="1">
      <c r="B784" s="2"/>
      <c r="C784" s="2"/>
      <c r="D784" s="2"/>
      <c r="E784" s="2"/>
      <c r="L784" s="2"/>
      <c r="M784" s="2"/>
    </row>
    <row r="785" ht="15.75" customHeight="1">
      <c r="B785" s="2"/>
      <c r="C785" s="2"/>
      <c r="D785" s="2"/>
      <c r="E785" s="2"/>
      <c r="L785" s="2"/>
      <c r="M785" s="2"/>
    </row>
    <row r="786" ht="15.75" customHeight="1">
      <c r="B786" s="2"/>
      <c r="C786" s="2"/>
      <c r="D786" s="2"/>
      <c r="E786" s="2"/>
      <c r="L786" s="2"/>
      <c r="M786" s="2"/>
    </row>
    <row r="787" ht="15.75" customHeight="1">
      <c r="B787" s="2"/>
      <c r="C787" s="2"/>
      <c r="D787" s="2"/>
      <c r="E787" s="2"/>
      <c r="L787" s="2"/>
      <c r="M787" s="2"/>
    </row>
    <row r="788" ht="15.75" customHeight="1">
      <c r="B788" s="2"/>
      <c r="C788" s="2"/>
      <c r="D788" s="2"/>
      <c r="E788" s="2"/>
      <c r="L788" s="2"/>
      <c r="M788" s="2"/>
    </row>
    <row r="789" ht="15.75" customHeight="1">
      <c r="B789" s="2"/>
      <c r="C789" s="2"/>
      <c r="D789" s="2"/>
      <c r="E789" s="2"/>
      <c r="L789" s="2"/>
      <c r="M789" s="2"/>
    </row>
    <row r="790" ht="15.75" customHeight="1">
      <c r="B790" s="2"/>
      <c r="C790" s="2"/>
      <c r="D790" s="2"/>
      <c r="E790" s="2"/>
      <c r="L790" s="2"/>
      <c r="M790" s="2"/>
    </row>
    <row r="791" ht="15.75" customHeight="1">
      <c r="B791" s="2"/>
      <c r="C791" s="2"/>
      <c r="D791" s="2"/>
      <c r="E791" s="2"/>
      <c r="L791" s="2"/>
      <c r="M791" s="2"/>
    </row>
    <row r="792" ht="15.75" customHeight="1">
      <c r="B792" s="2"/>
      <c r="C792" s="2"/>
      <c r="D792" s="2"/>
      <c r="E792" s="2"/>
      <c r="L792" s="2"/>
      <c r="M792" s="2"/>
    </row>
    <row r="793" ht="15.75" customHeight="1">
      <c r="B793" s="2"/>
      <c r="C793" s="2"/>
      <c r="D793" s="2"/>
      <c r="E793" s="2"/>
      <c r="L793" s="2"/>
      <c r="M793" s="2"/>
    </row>
    <row r="794" ht="15.75" customHeight="1">
      <c r="B794" s="2"/>
      <c r="C794" s="2"/>
      <c r="D794" s="2"/>
      <c r="E794" s="2"/>
      <c r="L794" s="2"/>
      <c r="M794" s="2"/>
    </row>
    <row r="795" ht="15.75" customHeight="1">
      <c r="B795" s="2"/>
      <c r="C795" s="2"/>
      <c r="D795" s="2"/>
      <c r="E795" s="2"/>
      <c r="L795" s="2"/>
      <c r="M795" s="2"/>
    </row>
    <row r="796" ht="15.75" customHeight="1">
      <c r="B796" s="2"/>
      <c r="C796" s="2"/>
      <c r="D796" s="2"/>
      <c r="E796" s="2"/>
      <c r="L796" s="2"/>
      <c r="M796" s="2"/>
    </row>
    <row r="797" ht="15.75" customHeight="1">
      <c r="B797" s="2"/>
      <c r="C797" s="2"/>
      <c r="D797" s="2"/>
      <c r="E797" s="2"/>
      <c r="L797" s="2"/>
      <c r="M797" s="2"/>
    </row>
    <row r="798" ht="15.75" customHeight="1">
      <c r="B798" s="2"/>
      <c r="C798" s="2"/>
      <c r="D798" s="2"/>
      <c r="E798" s="2"/>
      <c r="L798" s="2"/>
      <c r="M798" s="2"/>
    </row>
    <row r="799" ht="15.75" customHeight="1">
      <c r="B799" s="2"/>
      <c r="C799" s="2"/>
      <c r="D799" s="2"/>
      <c r="E799" s="2"/>
      <c r="L799" s="2"/>
      <c r="M799" s="2"/>
    </row>
    <row r="800" ht="15.75" customHeight="1">
      <c r="B800" s="2"/>
      <c r="C800" s="2"/>
      <c r="D800" s="2"/>
      <c r="E800" s="2"/>
      <c r="L800" s="2"/>
      <c r="M800" s="2"/>
    </row>
    <row r="801" ht="15.75" customHeight="1">
      <c r="B801" s="2"/>
      <c r="C801" s="2"/>
      <c r="D801" s="2"/>
      <c r="E801" s="2"/>
      <c r="L801" s="2"/>
      <c r="M801" s="2"/>
    </row>
    <row r="802" ht="15.75" customHeight="1">
      <c r="B802" s="2"/>
      <c r="C802" s="2"/>
      <c r="D802" s="2"/>
      <c r="E802" s="2"/>
      <c r="L802" s="2"/>
      <c r="M802" s="2"/>
    </row>
    <row r="803" ht="15.75" customHeight="1">
      <c r="B803" s="2"/>
      <c r="C803" s="2"/>
      <c r="D803" s="2"/>
      <c r="E803" s="2"/>
      <c r="L803" s="2"/>
      <c r="M803" s="2"/>
    </row>
    <row r="804" ht="15.75" customHeight="1">
      <c r="B804" s="2"/>
      <c r="C804" s="2"/>
      <c r="D804" s="2"/>
      <c r="E804" s="2"/>
      <c r="L804" s="2"/>
      <c r="M804" s="2"/>
    </row>
    <row r="805" ht="15.75" customHeight="1">
      <c r="B805" s="2"/>
      <c r="C805" s="2"/>
      <c r="D805" s="2"/>
      <c r="E805" s="2"/>
      <c r="L805" s="2"/>
      <c r="M805" s="2"/>
    </row>
    <row r="806" ht="15.75" customHeight="1">
      <c r="B806" s="2"/>
      <c r="C806" s="2"/>
      <c r="D806" s="2"/>
      <c r="E806" s="2"/>
      <c r="L806" s="2"/>
      <c r="M806" s="2"/>
    </row>
    <row r="807" ht="15.75" customHeight="1">
      <c r="B807" s="2"/>
      <c r="C807" s="2"/>
      <c r="D807" s="2"/>
      <c r="E807" s="2"/>
      <c r="L807" s="2"/>
      <c r="M807" s="2"/>
    </row>
    <row r="808" ht="15.75" customHeight="1">
      <c r="B808" s="2"/>
      <c r="C808" s="2"/>
      <c r="D808" s="2"/>
      <c r="E808" s="2"/>
      <c r="L808" s="2"/>
      <c r="M808" s="2"/>
    </row>
    <row r="809" ht="15.75" customHeight="1">
      <c r="B809" s="2"/>
      <c r="C809" s="2"/>
      <c r="D809" s="2"/>
      <c r="E809" s="2"/>
      <c r="L809" s="2"/>
      <c r="M809" s="2"/>
    </row>
    <row r="810" ht="15.75" customHeight="1">
      <c r="B810" s="2"/>
      <c r="C810" s="2"/>
      <c r="D810" s="2"/>
      <c r="E810" s="2"/>
      <c r="L810" s="2"/>
      <c r="M810" s="2"/>
    </row>
    <row r="811" ht="15.75" customHeight="1">
      <c r="B811" s="2"/>
      <c r="C811" s="2"/>
      <c r="D811" s="2"/>
      <c r="E811" s="2"/>
      <c r="L811" s="2"/>
      <c r="M811" s="2"/>
    </row>
    <row r="812" ht="15.75" customHeight="1">
      <c r="B812" s="2"/>
      <c r="C812" s="2"/>
      <c r="D812" s="2"/>
      <c r="E812" s="2"/>
      <c r="L812" s="2"/>
      <c r="M812" s="2"/>
    </row>
    <row r="813" ht="15.75" customHeight="1">
      <c r="B813" s="2"/>
      <c r="C813" s="2"/>
      <c r="D813" s="2"/>
      <c r="E813" s="2"/>
      <c r="L813" s="2"/>
      <c r="M813" s="2"/>
    </row>
    <row r="814" ht="15.75" customHeight="1">
      <c r="B814" s="2"/>
      <c r="C814" s="2"/>
      <c r="D814" s="2"/>
      <c r="E814" s="2"/>
      <c r="L814" s="2"/>
      <c r="M814" s="2"/>
    </row>
    <row r="815" ht="15.75" customHeight="1">
      <c r="B815" s="2"/>
      <c r="C815" s="2"/>
      <c r="D815" s="2"/>
      <c r="E815" s="2"/>
      <c r="L815" s="2"/>
      <c r="M815" s="2"/>
    </row>
    <row r="816" ht="15.75" customHeight="1">
      <c r="B816" s="2"/>
      <c r="C816" s="2"/>
      <c r="D816" s="2"/>
      <c r="E816" s="2"/>
      <c r="L816" s="2"/>
      <c r="M816" s="2"/>
    </row>
    <row r="817" ht="15.75" customHeight="1">
      <c r="B817" s="2"/>
      <c r="C817" s="2"/>
      <c r="D817" s="2"/>
      <c r="E817" s="2"/>
      <c r="L817" s="2"/>
      <c r="M817" s="2"/>
    </row>
    <row r="818" ht="15.75" customHeight="1">
      <c r="B818" s="2"/>
      <c r="C818" s="2"/>
      <c r="D818" s="2"/>
      <c r="E818" s="2"/>
      <c r="L818" s="2"/>
      <c r="M818" s="2"/>
    </row>
    <row r="819" ht="15.75" customHeight="1">
      <c r="B819" s="2"/>
      <c r="C819" s="2"/>
      <c r="D819" s="2"/>
      <c r="E819" s="2"/>
      <c r="L819" s="2"/>
      <c r="M819" s="2"/>
    </row>
    <row r="820" ht="15.75" customHeight="1">
      <c r="B820" s="2"/>
      <c r="C820" s="2"/>
      <c r="D820" s="2"/>
      <c r="E820" s="2"/>
      <c r="L820" s="2"/>
      <c r="M820" s="2"/>
    </row>
    <row r="821" ht="15.75" customHeight="1">
      <c r="B821" s="2"/>
      <c r="C821" s="2"/>
      <c r="D821" s="2"/>
      <c r="E821" s="2"/>
      <c r="L821" s="2"/>
      <c r="M821" s="2"/>
    </row>
    <row r="822" ht="15.75" customHeight="1">
      <c r="B822" s="2"/>
      <c r="C822" s="2"/>
      <c r="D822" s="2"/>
      <c r="E822" s="2"/>
      <c r="L822" s="2"/>
      <c r="M822" s="2"/>
    </row>
    <row r="823" ht="15.75" customHeight="1">
      <c r="B823" s="2"/>
      <c r="C823" s="2"/>
      <c r="D823" s="2"/>
      <c r="E823" s="2"/>
      <c r="L823" s="2"/>
      <c r="M823" s="2"/>
    </row>
    <row r="824" ht="15.75" customHeight="1">
      <c r="B824" s="2"/>
      <c r="C824" s="2"/>
      <c r="D824" s="2"/>
      <c r="E824" s="2"/>
      <c r="L824" s="2"/>
      <c r="M824" s="2"/>
    </row>
    <row r="825" ht="15.75" customHeight="1">
      <c r="B825" s="2"/>
      <c r="C825" s="2"/>
      <c r="D825" s="2"/>
      <c r="E825" s="2"/>
      <c r="L825" s="2"/>
      <c r="M825" s="2"/>
    </row>
    <row r="826" ht="15.75" customHeight="1">
      <c r="B826" s="2"/>
      <c r="C826" s="2"/>
      <c r="D826" s="2"/>
      <c r="E826" s="2"/>
      <c r="L826" s="2"/>
      <c r="M826" s="2"/>
    </row>
    <row r="827" ht="15.75" customHeight="1">
      <c r="B827" s="2"/>
      <c r="C827" s="2"/>
      <c r="D827" s="2"/>
      <c r="E827" s="2"/>
      <c r="L827" s="2"/>
      <c r="M827" s="2"/>
    </row>
    <row r="828" ht="15.75" customHeight="1">
      <c r="B828" s="2"/>
      <c r="C828" s="2"/>
      <c r="D828" s="2"/>
      <c r="E828" s="2"/>
      <c r="L828" s="2"/>
      <c r="M828" s="2"/>
    </row>
    <row r="829" ht="15.75" customHeight="1">
      <c r="B829" s="2"/>
      <c r="C829" s="2"/>
      <c r="D829" s="2"/>
      <c r="E829" s="2"/>
      <c r="L829" s="2"/>
      <c r="M829" s="2"/>
    </row>
    <row r="830" ht="15.75" customHeight="1">
      <c r="B830" s="2"/>
      <c r="C830" s="2"/>
      <c r="D830" s="2"/>
      <c r="E830" s="2"/>
      <c r="L830" s="2"/>
      <c r="M830" s="2"/>
    </row>
    <row r="831" ht="15.75" customHeight="1">
      <c r="B831" s="2"/>
      <c r="C831" s="2"/>
      <c r="D831" s="2"/>
      <c r="E831" s="2"/>
      <c r="L831" s="2"/>
      <c r="M831" s="2"/>
    </row>
    <row r="832" ht="15.75" customHeight="1">
      <c r="B832" s="2"/>
      <c r="C832" s="2"/>
      <c r="D832" s="2"/>
      <c r="E832" s="2"/>
      <c r="L832" s="2"/>
      <c r="M832" s="2"/>
    </row>
    <row r="833" ht="15.75" customHeight="1">
      <c r="B833" s="2"/>
      <c r="C833" s="2"/>
      <c r="D833" s="2"/>
      <c r="E833" s="2"/>
      <c r="L833" s="2"/>
      <c r="M833" s="2"/>
    </row>
    <row r="834" ht="15.75" customHeight="1">
      <c r="B834" s="2"/>
      <c r="C834" s="2"/>
      <c r="D834" s="2"/>
      <c r="E834" s="2"/>
      <c r="L834" s="2"/>
      <c r="M834" s="2"/>
    </row>
    <row r="835" ht="15.75" customHeight="1">
      <c r="B835" s="2"/>
      <c r="C835" s="2"/>
      <c r="D835" s="2"/>
      <c r="E835" s="2"/>
      <c r="L835" s="2"/>
      <c r="M835" s="2"/>
    </row>
    <row r="836" ht="15.75" customHeight="1">
      <c r="B836" s="2"/>
      <c r="C836" s="2"/>
      <c r="D836" s="2"/>
      <c r="E836" s="2"/>
      <c r="L836" s="2"/>
      <c r="M836" s="2"/>
    </row>
    <row r="837" ht="15.75" customHeight="1">
      <c r="B837" s="2"/>
      <c r="C837" s="2"/>
      <c r="D837" s="2"/>
      <c r="E837" s="2"/>
      <c r="L837" s="2"/>
      <c r="M837" s="2"/>
    </row>
    <row r="838" ht="15.75" customHeight="1">
      <c r="B838" s="2"/>
      <c r="C838" s="2"/>
      <c r="D838" s="2"/>
      <c r="E838" s="2"/>
      <c r="L838" s="2"/>
      <c r="M838" s="2"/>
    </row>
    <row r="839" ht="15.75" customHeight="1">
      <c r="B839" s="2"/>
      <c r="C839" s="2"/>
      <c r="D839" s="2"/>
      <c r="E839" s="2"/>
      <c r="L839" s="2"/>
      <c r="M839" s="2"/>
    </row>
    <row r="840" ht="15.75" customHeight="1">
      <c r="B840" s="2"/>
      <c r="C840" s="2"/>
      <c r="D840" s="2"/>
      <c r="E840" s="2"/>
      <c r="L840" s="2"/>
      <c r="M840" s="2"/>
    </row>
    <row r="841" ht="15.75" customHeight="1">
      <c r="B841" s="2"/>
      <c r="C841" s="2"/>
      <c r="D841" s="2"/>
      <c r="E841" s="2"/>
      <c r="L841" s="2"/>
      <c r="M841" s="2"/>
    </row>
    <row r="842" ht="15.75" customHeight="1">
      <c r="B842" s="2"/>
      <c r="C842" s="2"/>
      <c r="D842" s="2"/>
      <c r="E842" s="2"/>
      <c r="L842" s="2"/>
      <c r="M842" s="2"/>
    </row>
    <row r="843" ht="15.75" customHeight="1">
      <c r="B843" s="2"/>
      <c r="C843" s="2"/>
      <c r="D843" s="2"/>
      <c r="E843" s="2"/>
      <c r="L843" s="2"/>
      <c r="M843" s="2"/>
    </row>
    <row r="844" ht="15.75" customHeight="1">
      <c r="B844" s="2"/>
      <c r="C844" s="2"/>
      <c r="D844" s="2"/>
      <c r="E844" s="2"/>
      <c r="L844" s="2"/>
      <c r="M844" s="2"/>
    </row>
    <row r="845" ht="15.75" customHeight="1">
      <c r="B845" s="2"/>
      <c r="C845" s="2"/>
      <c r="D845" s="2"/>
      <c r="E845" s="2"/>
      <c r="L845" s="2"/>
      <c r="M845" s="2"/>
    </row>
    <row r="846" ht="15.75" customHeight="1">
      <c r="B846" s="2"/>
      <c r="C846" s="2"/>
      <c r="D846" s="2"/>
      <c r="E846" s="2"/>
      <c r="L846" s="2"/>
      <c r="M846" s="2"/>
    </row>
    <row r="847" ht="15.75" customHeight="1">
      <c r="B847" s="2"/>
      <c r="C847" s="2"/>
      <c r="D847" s="2"/>
      <c r="E847" s="2"/>
      <c r="L847" s="2"/>
      <c r="M847" s="2"/>
    </row>
    <row r="848" ht="15.75" customHeight="1">
      <c r="B848" s="2"/>
      <c r="C848" s="2"/>
      <c r="D848" s="2"/>
      <c r="E848" s="2"/>
      <c r="L848" s="2"/>
      <c r="M848" s="2"/>
    </row>
    <row r="849" ht="15.75" customHeight="1">
      <c r="B849" s="2"/>
      <c r="C849" s="2"/>
      <c r="D849" s="2"/>
      <c r="E849" s="2"/>
      <c r="L849" s="2"/>
      <c r="M849" s="2"/>
    </row>
    <row r="850" ht="15.75" customHeight="1">
      <c r="B850" s="2"/>
      <c r="C850" s="2"/>
      <c r="D850" s="2"/>
      <c r="E850" s="2"/>
      <c r="L850" s="2"/>
      <c r="M850" s="2"/>
    </row>
    <row r="851" ht="15.75" customHeight="1">
      <c r="B851" s="2"/>
      <c r="C851" s="2"/>
      <c r="D851" s="2"/>
      <c r="E851" s="2"/>
      <c r="L851" s="2"/>
      <c r="M851" s="2"/>
    </row>
    <row r="852" ht="15.75" customHeight="1">
      <c r="B852" s="2"/>
      <c r="C852" s="2"/>
      <c r="D852" s="2"/>
      <c r="E852" s="2"/>
      <c r="L852" s="2"/>
      <c r="M852" s="2"/>
    </row>
    <row r="853" ht="15.75" customHeight="1">
      <c r="B853" s="2"/>
      <c r="C853" s="2"/>
      <c r="D853" s="2"/>
      <c r="E853" s="2"/>
      <c r="L853" s="2"/>
      <c r="M853" s="2"/>
    </row>
    <row r="854" ht="15.75" customHeight="1">
      <c r="B854" s="2"/>
      <c r="C854" s="2"/>
      <c r="D854" s="2"/>
      <c r="E854" s="2"/>
      <c r="L854" s="2"/>
      <c r="M854" s="2"/>
    </row>
    <row r="855" ht="15.75" customHeight="1">
      <c r="B855" s="2"/>
      <c r="C855" s="2"/>
      <c r="D855" s="2"/>
      <c r="E855" s="2"/>
      <c r="L855" s="2"/>
      <c r="M855" s="2"/>
    </row>
    <row r="856" ht="15.75" customHeight="1">
      <c r="B856" s="2"/>
      <c r="C856" s="2"/>
      <c r="D856" s="2"/>
      <c r="E856" s="2"/>
      <c r="L856" s="2"/>
      <c r="M856" s="2"/>
    </row>
    <row r="857" ht="15.75" customHeight="1">
      <c r="B857" s="2"/>
      <c r="C857" s="2"/>
      <c r="D857" s="2"/>
      <c r="E857" s="2"/>
      <c r="L857" s="2"/>
      <c r="M857" s="2"/>
    </row>
    <row r="858" ht="15.75" customHeight="1">
      <c r="B858" s="2"/>
      <c r="C858" s="2"/>
      <c r="D858" s="2"/>
      <c r="E858" s="2"/>
      <c r="L858" s="2"/>
      <c r="M858" s="2"/>
    </row>
    <row r="859" ht="15.75" customHeight="1">
      <c r="B859" s="2"/>
      <c r="C859" s="2"/>
      <c r="D859" s="2"/>
      <c r="E859" s="2"/>
      <c r="L859" s="2"/>
      <c r="M859" s="2"/>
    </row>
    <row r="860" ht="15.75" customHeight="1">
      <c r="B860" s="2"/>
      <c r="C860" s="2"/>
      <c r="D860" s="2"/>
      <c r="E860" s="2"/>
      <c r="L860" s="2"/>
      <c r="M860" s="2"/>
    </row>
    <row r="861" ht="15.75" customHeight="1">
      <c r="B861" s="2"/>
      <c r="C861" s="2"/>
      <c r="D861" s="2"/>
      <c r="E861" s="2"/>
      <c r="L861" s="2"/>
      <c r="M861" s="2"/>
    </row>
    <row r="862" ht="15.75" customHeight="1">
      <c r="B862" s="2"/>
      <c r="C862" s="2"/>
      <c r="D862" s="2"/>
      <c r="E862" s="2"/>
      <c r="L862" s="2"/>
      <c r="M862" s="2"/>
    </row>
    <row r="863" ht="15.75" customHeight="1">
      <c r="B863" s="2"/>
      <c r="C863" s="2"/>
      <c r="D863" s="2"/>
      <c r="E863" s="2"/>
      <c r="L863" s="2"/>
      <c r="M863" s="2"/>
    </row>
    <row r="864" ht="15.75" customHeight="1">
      <c r="B864" s="2"/>
      <c r="C864" s="2"/>
      <c r="D864" s="2"/>
      <c r="E864" s="2"/>
      <c r="L864" s="2"/>
      <c r="M864" s="2"/>
    </row>
    <row r="865" ht="15.75" customHeight="1">
      <c r="B865" s="2"/>
      <c r="C865" s="2"/>
      <c r="D865" s="2"/>
      <c r="E865" s="2"/>
      <c r="L865" s="2"/>
      <c r="M865" s="2"/>
    </row>
    <row r="866" ht="15.75" customHeight="1">
      <c r="B866" s="2"/>
      <c r="C866" s="2"/>
      <c r="D866" s="2"/>
      <c r="E866" s="2"/>
      <c r="L866" s="2"/>
      <c r="M866" s="2"/>
    </row>
    <row r="867" ht="15.75" customHeight="1">
      <c r="B867" s="2"/>
      <c r="C867" s="2"/>
      <c r="D867" s="2"/>
      <c r="E867" s="2"/>
      <c r="L867" s="2"/>
      <c r="M867" s="2"/>
    </row>
    <row r="868" ht="15.75" customHeight="1">
      <c r="B868" s="2"/>
      <c r="C868" s="2"/>
      <c r="D868" s="2"/>
      <c r="E868" s="2"/>
      <c r="L868" s="2"/>
      <c r="M868" s="2"/>
    </row>
    <row r="869" ht="15.75" customHeight="1">
      <c r="B869" s="2"/>
      <c r="C869" s="2"/>
      <c r="D869" s="2"/>
      <c r="E869" s="2"/>
      <c r="L869" s="2"/>
      <c r="M869" s="2"/>
    </row>
    <row r="870" ht="15.75" customHeight="1">
      <c r="B870" s="2"/>
      <c r="C870" s="2"/>
      <c r="D870" s="2"/>
      <c r="E870" s="2"/>
      <c r="L870" s="2"/>
      <c r="M870" s="2"/>
    </row>
    <row r="871" ht="15.75" customHeight="1">
      <c r="B871" s="2"/>
      <c r="C871" s="2"/>
      <c r="D871" s="2"/>
      <c r="E871" s="2"/>
      <c r="L871" s="2"/>
      <c r="M871" s="2"/>
    </row>
    <row r="872" ht="15.75" customHeight="1">
      <c r="B872" s="2"/>
      <c r="C872" s="2"/>
      <c r="D872" s="2"/>
      <c r="E872" s="2"/>
      <c r="L872" s="2"/>
      <c r="M872" s="2"/>
    </row>
    <row r="873" ht="15.75" customHeight="1">
      <c r="B873" s="2"/>
      <c r="C873" s="2"/>
      <c r="D873" s="2"/>
      <c r="E873" s="2"/>
      <c r="L873" s="2"/>
      <c r="M873" s="2"/>
    </row>
    <row r="874" ht="15.75" customHeight="1">
      <c r="B874" s="2"/>
      <c r="C874" s="2"/>
      <c r="D874" s="2"/>
      <c r="E874" s="2"/>
      <c r="L874" s="2"/>
      <c r="M874" s="2"/>
    </row>
    <row r="875" ht="15.75" customHeight="1">
      <c r="B875" s="2"/>
      <c r="C875" s="2"/>
      <c r="D875" s="2"/>
      <c r="E875" s="2"/>
      <c r="L875" s="2"/>
      <c r="M875" s="2"/>
    </row>
    <row r="876" ht="15.75" customHeight="1">
      <c r="B876" s="2"/>
      <c r="C876" s="2"/>
      <c r="D876" s="2"/>
      <c r="E876" s="2"/>
      <c r="L876" s="2"/>
      <c r="M876" s="2"/>
    </row>
    <row r="877" ht="15.75" customHeight="1">
      <c r="B877" s="2"/>
      <c r="C877" s="2"/>
      <c r="D877" s="2"/>
      <c r="E877" s="2"/>
      <c r="L877" s="2"/>
      <c r="M877" s="2"/>
    </row>
    <row r="878" ht="15.75" customHeight="1">
      <c r="B878" s="2"/>
      <c r="C878" s="2"/>
      <c r="D878" s="2"/>
      <c r="E878" s="2"/>
      <c r="L878" s="2"/>
      <c r="M878" s="2"/>
    </row>
    <row r="879" ht="15.75" customHeight="1">
      <c r="B879" s="2"/>
      <c r="C879" s="2"/>
      <c r="D879" s="2"/>
      <c r="E879" s="2"/>
      <c r="L879" s="2"/>
      <c r="M879" s="2"/>
    </row>
    <row r="880" ht="15.75" customHeight="1">
      <c r="B880" s="2"/>
      <c r="C880" s="2"/>
      <c r="D880" s="2"/>
      <c r="E880" s="2"/>
      <c r="L880" s="2"/>
      <c r="M880" s="2"/>
    </row>
    <row r="881" ht="15.75" customHeight="1">
      <c r="B881" s="2"/>
      <c r="C881" s="2"/>
      <c r="D881" s="2"/>
      <c r="E881" s="2"/>
      <c r="L881" s="2"/>
      <c r="M881" s="2"/>
    </row>
    <row r="882" ht="15.75" customHeight="1">
      <c r="B882" s="2"/>
      <c r="C882" s="2"/>
      <c r="D882" s="2"/>
      <c r="E882" s="2"/>
      <c r="L882" s="2"/>
      <c r="M882" s="2"/>
    </row>
    <row r="883" ht="15.75" customHeight="1">
      <c r="B883" s="2"/>
      <c r="C883" s="2"/>
      <c r="D883" s="2"/>
      <c r="E883" s="2"/>
      <c r="L883" s="2"/>
      <c r="M883" s="2"/>
    </row>
    <row r="884" ht="15.75" customHeight="1">
      <c r="B884" s="2"/>
      <c r="C884" s="2"/>
      <c r="D884" s="2"/>
      <c r="E884" s="2"/>
      <c r="L884" s="2"/>
      <c r="M884" s="2"/>
    </row>
    <row r="885" ht="15.75" customHeight="1">
      <c r="B885" s="2"/>
      <c r="C885" s="2"/>
      <c r="D885" s="2"/>
      <c r="E885" s="2"/>
      <c r="L885" s="2"/>
      <c r="M885" s="2"/>
    </row>
    <row r="886" ht="15.75" customHeight="1">
      <c r="B886" s="2"/>
      <c r="C886" s="2"/>
      <c r="D886" s="2"/>
      <c r="E886" s="2"/>
      <c r="L886" s="2"/>
      <c r="M886" s="2"/>
    </row>
    <row r="887" ht="15.75" customHeight="1">
      <c r="B887" s="2"/>
      <c r="C887" s="2"/>
      <c r="D887" s="2"/>
      <c r="E887" s="2"/>
      <c r="L887" s="2"/>
      <c r="M887" s="2"/>
    </row>
    <row r="888" ht="15.75" customHeight="1">
      <c r="B888" s="2"/>
      <c r="C888" s="2"/>
      <c r="D888" s="2"/>
      <c r="E888" s="2"/>
      <c r="L888" s="2"/>
      <c r="M888" s="2"/>
    </row>
    <row r="889" ht="15.75" customHeight="1">
      <c r="B889" s="2"/>
      <c r="C889" s="2"/>
      <c r="D889" s="2"/>
      <c r="E889" s="2"/>
      <c r="L889" s="2"/>
      <c r="M889" s="2"/>
    </row>
    <row r="890" ht="15.75" customHeight="1">
      <c r="B890" s="2"/>
      <c r="C890" s="2"/>
      <c r="D890" s="2"/>
      <c r="E890" s="2"/>
      <c r="L890" s="2"/>
      <c r="M890" s="2"/>
    </row>
    <row r="891" ht="15.75" customHeight="1">
      <c r="B891" s="2"/>
      <c r="C891" s="2"/>
      <c r="D891" s="2"/>
      <c r="E891" s="2"/>
      <c r="L891" s="2"/>
      <c r="M891" s="2"/>
    </row>
    <row r="892" ht="15.75" customHeight="1">
      <c r="B892" s="2"/>
      <c r="C892" s="2"/>
      <c r="D892" s="2"/>
      <c r="E892" s="2"/>
      <c r="L892" s="2"/>
      <c r="M892" s="2"/>
    </row>
    <row r="893" ht="15.75" customHeight="1">
      <c r="B893" s="2"/>
      <c r="C893" s="2"/>
      <c r="D893" s="2"/>
      <c r="E893" s="2"/>
      <c r="L893" s="2"/>
      <c r="M893" s="2"/>
    </row>
    <row r="894" ht="15.75" customHeight="1">
      <c r="B894" s="2"/>
      <c r="C894" s="2"/>
      <c r="D894" s="2"/>
      <c r="E894" s="2"/>
      <c r="L894" s="2"/>
      <c r="M894" s="2"/>
    </row>
    <row r="895" ht="15.75" customHeight="1">
      <c r="B895" s="2"/>
      <c r="C895" s="2"/>
      <c r="D895" s="2"/>
      <c r="E895" s="2"/>
      <c r="L895" s="2"/>
      <c r="M895" s="2"/>
    </row>
    <row r="896" ht="15.75" customHeight="1">
      <c r="B896" s="2"/>
      <c r="C896" s="2"/>
      <c r="D896" s="2"/>
      <c r="E896" s="2"/>
      <c r="L896" s="2"/>
      <c r="M896" s="2"/>
    </row>
    <row r="897" ht="15.75" customHeight="1">
      <c r="B897" s="2"/>
      <c r="C897" s="2"/>
      <c r="D897" s="2"/>
      <c r="E897" s="2"/>
      <c r="L897" s="2"/>
      <c r="M897" s="2"/>
    </row>
    <row r="898" ht="15.75" customHeight="1">
      <c r="B898" s="2"/>
      <c r="C898" s="2"/>
      <c r="D898" s="2"/>
      <c r="E898" s="2"/>
      <c r="L898" s="2"/>
      <c r="M898" s="2"/>
    </row>
    <row r="899" ht="15.75" customHeight="1">
      <c r="B899" s="2"/>
      <c r="C899" s="2"/>
      <c r="D899" s="2"/>
      <c r="E899" s="2"/>
      <c r="L899" s="2"/>
      <c r="M899" s="2"/>
    </row>
    <row r="900" ht="15.75" customHeight="1">
      <c r="B900" s="2"/>
      <c r="C900" s="2"/>
      <c r="D900" s="2"/>
      <c r="E900" s="2"/>
      <c r="L900" s="2"/>
      <c r="M900" s="2"/>
    </row>
    <row r="901" ht="15.75" customHeight="1">
      <c r="B901" s="2"/>
      <c r="C901" s="2"/>
      <c r="D901" s="2"/>
      <c r="E901" s="2"/>
      <c r="L901" s="2"/>
      <c r="M901" s="2"/>
    </row>
    <row r="902" ht="15.75" customHeight="1">
      <c r="B902" s="2"/>
      <c r="C902" s="2"/>
      <c r="D902" s="2"/>
      <c r="E902" s="2"/>
      <c r="L902" s="2"/>
      <c r="M902" s="2"/>
    </row>
    <row r="903" ht="15.75" customHeight="1">
      <c r="B903" s="2"/>
      <c r="C903" s="2"/>
      <c r="D903" s="2"/>
      <c r="E903" s="2"/>
      <c r="L903" s="2"/>
      <c r="M903" s="2"/>
    </row>
    <row r="904" ht="15.75" customHeight="1">
      <c r="B904" s="2"/>
      <c r="C904" s="2"/>
      <c r="D904" s="2"/>
      <c r="E904" s="2"/>
      <c r="L904" s="2"/>
      <c r="M904" s="2"/>
    </row>
    <row r="905" ht="15.75" customHeight="1">
      <c r="B905" s="2"/>
      <c r="C905" s="2"/>
      <c r="D905" s="2"/>
      <c r="E905" s="2"/>
      <c r="L905" s="2"/>
      <c r="M905" s="2"/>
    </row>
    <row r="906" ht="15.75" customHeight="1">
      <c r="B906" s="2"/>
      <c r="C906" s="2"/>
      <c r="D906" s="2"/>
      <c r="E906" s="2"/>
      <c r="L906" s="2"/>
      <c r="M906" s="2"/>
    </row>
    <row r="907" ht="15.75" customHeight="1">
      <c r="B907" s="2"/>
      <c r="C907" s="2"/>
      <c r="D907" s="2"/>
      <c r="E907" s="2"/>
      <c r="L907" s="2"/>
      <c r="M907" s="2"/>
    </row>
    <row r="908" ht="15.75" customHeight="1">
      <c r="B908" s="2"/>
      <c r="C908" s="2"/>
      <c r="D908" s="2"/>
      <c r="E908" s="2"/>
      <c r="L908" s="2"/>
      <c r="M908" s="2"/>
    </row>
    <row r="909" ht="15.75" customHeight="1">
      <c r="B909" s="2"/>
      <c r="C909" s="2"/>
      <c r="D909" s="2"/>
      <c r="E909" s="2"/>
      <c r="L909" s="2"/>
      <c r="M909" s="2"/>
    </row>
    <row r="910" ht="15.75" customHeight="1">
      <c r="B910" s="2"/>
      <c r="C910" s="2"/>
      <c r="D910" s="2"/>
      <c r="E910" s="2"/>
      <c r="L910" s="2"/>
      <c r="M910" s="2"/>
    </row>
    <row r="911" ht="15.75" customHeight="1">
      <c r="B911" s="2"/>
      <c r="C911" s="2"/>
      <c r="D911" s="2"/>
      <c r="E911" s="2"/>
      <c r="L911" s="2"/>
      <c r="M911" s="2"/>
    </row>
    <row r="912" ht="15.75" customHeight="1">
      <c r="B912" s="2"/>
      <c r="C912" s="2"/>
      <c r="D912" s="2"/>
      <c r="E912" s="2"/>
      <c r="L912" s="2"/>
      <c r="M912" s="2"/>
    </row>
    <row r="913" ht="15.75" customHeight="1">
      <c r="B913" s="2"/>
      <c r="C913" s="2"/>
      <c r="D913" s="2"/>
      <c r="E913" s="2"/>
      <c r="L913" s="2"/>
      <c r="M913" s="2"/>
    </row>
    <row r="914" ht="15.75" customHeight="1">
      <c r="B914" s="2"/>
      <c r="C914" s="2"/>
      <c r="D914" s="2"/>
      <c r="E914" s="2"/>
      <c r="L914" s="2"/>
      <c r="M914" s="2"/>
    </row>
    <row r="915" ht="15.75" customHeight="1">
      <c r="B915" s="2"/>
      <c r="C915" s="2"/>
      <c r="D915" s="2"/>
      <c r="E915" s="2"/>
      <c r="L915" s="2"/>
      <c r="M915" s="2"/>
    </row>
    <row r="916" ht="15.75" customHeight="1">
      <c r="B916" s="2"/>
      <c r="C916" s="2"/>
      <c r="D916" s="2"/>
      <c r="E916" s="2"/>
      <c r="L916" s="2"/>
      <c r="M916" s="2"/>
    </row>
    <row r="917" ht="15.75" customHeight="1">
      <c r="B917" s="2"/>
      <c r="C917" s="2"/>
      <c r="D917" s="2"/>
      <c r="E917" s="2"/>
      <c r="L917" s="2"/>
      <c r="M917" s="2"/>
    </row>
    <row r="918" ht="15.75" customHeight="1">
      <c r="B918" s="2"/>
      <c r="C918" s="2"/>
      <c r="D918" s="2"/>
      <c r="E918" s="2"/>
      <c r="L918" s="2"/>
      <c r="M918" s="2"/>
    </row>
    <row r="919" ht="15.75" customHeight="1">
      <c r="B919" s="2"/>
      <c r="C919" s="2"/>
      <c r="D919" s="2"/>
      <c r="E919" s="2"/>
      <c r="L919" s="2"/>
      <c r="M919" s="2"/>
    </row>
    <row r="920" ht="15.75" customHeight="1">
      <c r="B920" s="2"/>
      <c r="C920" s="2"/>
      <c r="D920" s="2"/>
      <c r="E920" s="2"/>
      <c r="L920" s="2"/>
      <c r="M920" s="2"/>
    </row>
    <row r="921" ht="15.75" customHeight="1">
      <c r="B921" s="2"/>
      <c r="C921" s="2"/>
      <c r="D921" s="2"/>
      <c r="E921" s="2"/>
      <c r="L921" s="2"/>
      <c r="M921" s="2"/>
    </row>
    <row r="922" ht="15.75" customHeight="1">
      <c r="B922" s="2"/>
      <c r="C922" s="2"/>
      <c r="D922" s="2"/>
      <c r="E922" s="2"/>
      <c r="L922" s="2"/>
      <c r="M922" s="2"/>
    </row>
    <row r="923" ht="15.75" customHeight="1">
      <c r="B923" s="2"/>
      <c r="C923" s="2"/>
      <c r="D923" s="2"/>
      <c r="E923" s="2"/>
      <c r="L923" s="2"/>
      <c r="M923" s="2"/>
    </row>
    <row r="924" ht="15.75" customHeight="1">
      <c r="B924" s="2"/>
      <c r="C924" s="2"/>
      <c r="D924" s="2"/>
      <c r="E924" s="2"/>
      <c r="L924" s="2"/>
      <c r="M924" s="2"/>
    </row>
    <row r="925" ht="15.75" customHeight="1">
      <c r="B925" s="2"/>
      <c r="C925" s="2"/>
      <c r="D925" s="2"/>
      <c r="E925" s="2"/>
      <c r="L925" s="2"/>
      <c r="M925" s="2"/>
    </row>
    <row r="926" ht="15.75" customHeight="1">
      <c r="B926" s="2"/>
      <c r="C926" s="2"/>
      <c r="D926" s="2"/>
      <c r="E926" s="2"/>
      <c r="L926" s="2"/>
      <c r="M926" s="2"/>
    </row>
    <row r="927" ht="15.75" customHeight="1">
      <c r="B927" s="2"/>
      <c r="C927" s="2"/>
      <c r="D927" s="2"/>
      <c r="E927" s="2"/>
      <c r="L927" s="2"/>
      <c r="M927" s="2"/>
    </row>
    <row r="928" ht="15.75" customHeight="1">
      <c r="B928" s="2"/>
      <c r="C928" s="2"/>
      <c r="D928" s="2"/>
      <c r="E928" s="2"/>
      <c r="L928" s="2"/>
      <c r="M928" s="2"/>
    </row>
    <row r="929" ht="15.75" customHeight="1">
      <c r="B929" s="2"/>
      <c r="C929" s="2"/>
      <c r="D929" s="2"/>
      <c r="E929" s="2"/>
      <c r="L929" s="2"/>
      <c r="M929" s="2"/>
    </row>
    <row r="930" ht="15.75" customHeight="1">
      <c r="B930" s="2"/>
      <c r="C930" s="2"/>
      <c r="D930" s="2"/>
      <c r="E930" s="2"/>
      <c r="L930" s="2"/>
      <c r="M930" s="2"/>
    </row>
    <row r="931" ht="15.75" customHeight="1">
      <c r="B931" s="2"/>
      <c r="C931" s="2"/>
      <c r="D931" s="2"/>
      <c r="E931" s="2"/>
      <c r="L931" s="2"/>
      <c r="M931" s="2"/>
    </row>
    <row r="932" ht="15.75" customHeight="1">
      <c r="B932" s="2"/>
      <c r="C932" s="2"/>
      <c r="D932" s="2"/>
      <c r="E932" s="2"/>
      <c r="L932" s="2"/>
      <c r="M932" s="2"/>
    </row>
    <row r="933" ht="15.75" customHeight="1">
      <c r="B933" s="2"/>
      <c r="C933" s="2"/>
      <c r="D933" s="2"/>
      <c r="E933" s="2"/>
      <c r="L933" s="2"/>
      <c r="M933" s="2"/>
    </row>
    <row r="934" ht="15.75" customHeight="1">
      <c r="B934" s="2"/>
      <c r="C934" s="2"/>
      <c r="D934" s="2"/>
      <c r="E934" s="2"/>
      <c r="L934" s="2"/>
      <c r="M934" s="2"/>
    </row>
    <row r="935" ht="15.75" customHeight="1">
      <c r="B935" s="2"/>
      <c r="C935" s="2"/>
      <c r="D935" s="2"/>
      <c r="E935" s="2"/>
      <c r="L935" s="2"/>
      <c r="M935" s="2"/>
    </row>
    <row r="936" ht="15.75" customHeight="1">
      <c r="B936" s="2"/>
      <c r="C936" s="2"/>
      <c r="D936" s="2"/>
      <c r="E936" s="2"/>
      <c r="L936" s="2"/>
      <c r="M936" s="2"/>
    </row>
    <row r="937" ht="15.75" customHeight="1">
      <c r="B937" s="2"/>
      <c r="C937" s="2"/>
      <c r="D937" s="2"/>
      <c r="E937" s="2"/>
      <c r="L937" s="2"/>
      <c r="M937" s="2"/>
    </row>
    <row r="938" ht="15.75" customHeight="1">
      <c r="B938" s="2"/>
      <c r="C938" s="2"/>
      <c r="D938" s="2"/>
      <c r="E938" s="2"/>
      <c r="L938" s="2"/>
      <c r="M938" s="2"/>
    </row>
    <row r="939" ht="15.75" customHeight="1">
      <c r="B939" s="2"/>
      <c r="C939" s="2"/>
      <c r="D939" s="2"/>
      <c r="E939" s="2"/>
      <c r="L939" s="2"/>
      <c r="M939" s="2"/>
    </row>
    <row r="940" ht="15.75" customHeight="1">
      <c r="B940" s="2"/>
      <c r="C940" s="2"/>
      <c r="D940" s="2"/>
      <c r="E940" s="2"/>
      <c r="L940" s="2"/>
      <c r="M940" s="2"/>
    </row>
    <row r="941" ht="15.75" customHeight="1">
      <c r="B941" s="2"/>
      <c r="C941" s="2"/>
      <c r="D941" s="2"/>
      <c r="E941" s="2"/>
      <c r="L941" s="2"/>
      <c r="M941" s="2"/>
    </row>
    <row r="942" ht="15.75" customHeight="1">
      <c r="B942" s="2"/>
      <c r="C942" s="2"/>
      <c r="D942" s="2"/>
      <c r="E942" s="2"/>
      <c r="L942" s="2"/>
      <c r="M942" s="2"/>
    </row>
    <row r="943" ht="15.75" customHeight="1">
      <c r="B943" s="2"/>
      <c r="C943" s="2"/>
      <c r="D943" s="2"/>
      <c r="E943" s="2"/>
      <c r="L943" s="2"/>
      <c r="M943" s="2"/>
    </row>
    <row r="944" ht="15.75" customHeight="1">
      <c r="B944" s="2"/>
      <c r="C944" s="2"/>
      <c r="D944" s="2"/>
      <c r="E944" s="2"/>
      <c r="L944" s="2"/>
      <c r="M944" s="2"/>
    </row>
    <row r="945" ht="15.75" customHeight="1">
      <c r="B945" s="2"/>
      <c r="C945" s="2"/>
      <c r="D945" s="2"/>
      <c r="E945" s="2"/>
      <c r="L945" s="2"/>
      <c r="M945" s="2"/>
    </row>
    <row r="946" ht="15.75" customHeight="1">
      <c r="B946" s="2"/>
      <c r="C946" s="2"/>
      <c r="D946" s="2"/>
      <c r="E946" s="2"/>
      <c r="L946" s="2"/>
      <c r="M946" s="2"/>
    </row>
    <row r="947" ht="15.75" customHeight="1">
      <c r="B947" s="2"/>
      <c r="C947" s="2"/>
      <c r="D947" s="2"/>
      <c r="E947" s="2"/>
      <c r="L947" s="2"/>
      <c r="M947" s="2"/>
    </row>
    <row r="948" ht="15.75" customHeight="1">
      <c r="B948" s="2"/>
      <c r="C948" s="2"/>
      <c r="D948" s="2"/>
      <c r="E948" s="2"/>
      <c r="L948" s="2"/>
      <c r="M948" s="2"/>
    </row>
    <row r="949" ht="15.75" customHeight="1">
      <c r="B949" s="2"/>
      <c r="C949" s="2"/>
      <c r="D949" s="2"/>
      <c r="E949" s="2"/>
      <c r="L949" s="2"/>
      <c r="M949" s="2"/>
    </row>
    <row r="950" ht="15.75" customHeight="1">
      <c r="B950" s="2"/>
      <c r="C950" s="2"/>
      <c r="D950" s="2"/>
      <c r="E950" s="2"/>
      <c r="L950" s="2"/>
      <c r="M950" s="2"/>
    </row>
    <row r="951" ht="15.75" customHeight="1">
      <c r="B951" s="2"/>
      <c r="C951" s="2"/>
      <c r="D951" s="2"/>
      <c r="E951" s="2"/>
      <c r="L951" s="2"/>
      <c r="M951" s="2"/>
    </row>
    <row r="952" ht="15.75" customHeight="1">
      <c r="B952" s="2"/>
      <c r="C952" s="2"/>
      <c r="D952" s="2"/>
      <c r="E952" s="2"/>
      <c r="L952" s="2"/>
      <c r="M952" s="2"/>
    </row>
    <row r="953" ht="15.75" customHeight="1">
      <c r="B953" s="2"/>
      <c r="C953" s="2"/>
      <c r="D953" s="2"/>
      <c r="E953" s="2"/>
      <c r="L953" s="2"/>
      <c r="M953" s="2"/>
    </row>
    <row r="954" ht="15.75" customHeight="1">
      <c r="B954" s="2"/>
      <c r="C954" s="2"/>
      <c r="D954" s="2"/>
      <c r="E954" s="2"/>
      <c r="L954" s="2"/>
      <c r="M954" s="2"/>
    </row>
    <row r="955" ht="15.75" customHeight="1">
      <c r="B955" s="2"/>
      <c r="C955" s="2"/>
      <c r="D955" s="2"/>
      <c r="E955" s="2"/>
      <c r="L955" s="2"/>
      <c r="M955" s="2"/>
    </row>
    <row r="956" ht="15.75" customHeight="1">
      <c r="B956" s="2"/>
      <c r="C956" s="2"/>
      <c r="D956" s="2"/>
      <c r="E956" s="2"/>
      <c r="L956" s="2"/>
      <c r="M956" s="2"/>
    </row>
    <row r="957" ht="15.75" customHeight="1">
      <c r="B957" s="2"/>
      <c r="C957" s="2"/>
      <c r="D957" s="2"/>
      <c r="E957" s="2"/>
      <c r="L957" s="2"/>
      <c r="M957" s="2"/>
    </row>
    <row r="958" ht="15.75" customHeight="1">
      <c r="B958" s="2"/>
      <c r="C958" s="2"/>
      <c r="D958" s="2"/>
      <c r="E958" s="2"/>
      <c r="L958" s="2"/>
      <c r="M958" s="2"/>
    </row>
    <row r="959" ht="15.75" customHeight="1">
      <c r="B959" s="2"/>
      <c r="C959" s="2"/>
      <c r="D959" s="2"/>
      <c r="E959" s="2"/>
      <c r="L959" s="2"/>
      <c r="M959" s="2"/>
    </row>
    <row r="960" ht="15.75" customHeight="1">
      <c r="B960" s="2"/>
      <c r="C960" s="2"/>
      <c r="D960" s="2"/>
      <c r="E960" s="2"/>
      <c r="L960" s="2"/>
      <c r="M960" s="2"/>
    </row>
    <row r="961" ht="15.75" customHeight="1">
      <c r="B961" s="2"/>
      <c r="C961" s="2"/>
      <c r="D961" s="2"/>
      <c r="E961" s="2"/>
      <c r="L961" s="2"/>
      <c r="M961" s="2"/>
    </row>
    <row r="962" ht="15.75" customHeight="1">
      <c r="B962" s="2"/>
      <c r="C962" s="2"/>
      <c r="D962" s="2"/>
      <c r="E962" s="2"/>
      <c r="L962" s="2"/>
      <c r="M962" s="2"/>
    </row>
    <row r="963" ht="15.75" customHeight="1">
      <c r="B963" s="2"/>
      <c r="C963" s="2"/>
      <c r="D963" s="2"/>
      <c r="E963" s="2"/>
      <c r="L963" s="2"/>
      <c r="M963" s="2"/>
    </row>
    <row r="964" ht="15.75" customHeight="1">
      <c r="B964" s="2"/>
      <c r="C964" s="2"/>
      <c r="D964" s="2"/>
      <c r="E964" s="2"/>
      <c r="L964" s="2"/>
      <c r="M964" s="2"/>
    </row>
    <row r="965" ht="15.75" customHeight="1">
      <c r="B965" s="2"/>
      <c r="C965" s="2"/>
      <c r="D965" s="2"/>
      <c r="E965" s="2"/>
      <c r="L965" s="2"/>
      <c r="M965" s="2"/>
    </row>
    <row r="966" ht="15.75" customHeight="1">
      <c r="B966" s="2"/>
      <c r="C966" s="2"/>
      <c r="D966" s="2"/>
      <c r="E966" s="2"/>
      <c r="L966" s="2"/>
      <c r="M966" s="2"/>
    </row>
    <row r="967" ht="15.75" customHeight="1">
      <c r="B967" s="2"/>
      <c r="C967" s="2"/>
      <c r="D967" s="2"/>
      <c r="E967" s="2"/>
      <c r="L967" s="2"/>
      <c r="M967" s="2"/>
    </row>
    <row r="968" ht="15.75" customHeight="1">
      <c r="B968" s="2"/>
      <c r="C968" s="2"/>
      <c r="D968" s="2"/>
      <c r="E968" s="2"/>
      <c r="L968" s="2"/>
      <c r="M968" s="2"/>
    </row>
    <row r="969" ht="15.75" customHeight="1">
      <c r="B969" s="2"/>
      <c r="C969" s="2"/>
      <c r="D969" s="2"/>
      <c r="E969" s="2"/>
      <c r="L969" s="2"/>
      <c r="M969" s="2"/>
    </row>
    <row r="970" ht="15.75" customHeight="1">
      <c r="B970" s="2"/>
      <c r="C970" s="2"/>
      <c r="D970" s="2"/>
      <c r="E970" s="2"/>
      <c r="L970" s="2"/>
      <c r="M970" s="2"/>
    </row>
    <row r="971" ht="15.75" customHeight="1">
      <c r="B971" s="2"/>
      <c r="C971" s="2"/>
      <c r="D971" s="2"/>
      <c r="E971" s="2"/>
      <c r="L971" s="2"/>
      <c r="M971" s="2"/>
    </row>
    <row r="972" ht="15.75" customHeight="1">
      <c r="B972" s="2"/>
      <c r="C972" s="2"/>
      <c r="D972" s="2"/>
      <c r="E972" s="2"/>
      <c r="L972" s="2"/>
      <c r="M972" s="2"/>
    </row>
    <row r="973" ht="15.75" customHeight="1">
      <c r="B973" s="2"/>
      <c r="C973" s="2"/>
      <c r="D973" s="2"/>
      <c r="E973" s="2"/>
      <c r="L973" s="2"/>
      <c r="M973" s="2"/>
    </row>
    <row r="974" ht="15.75" customHeight="1">
      <c r="B974" s="2"/>
      <c r="C974" s="2"/>
      <c r="D974" s="2"/>
      <c r="E974" s="2"/>
      <c r="L974" s="2"/>
      <c r="M974" s="2"/>
    </row>
    <row r="975" ht="15.75" customHeight="1">
      <c r="B975" s="2"/>
      <c r="C975" s="2"/>
      <c r="D975" s="2"/>
      <c r="E975" s="2"/>
      <c r="L975" s="2"/>
      <c r="M975" s="2"/>
    </row>
    <row r="976" ht="15.75" customHeight="1">
      <c r="B976" s="2"/>
      <c r="C976" s="2"/>
      <c r="D976" s="2"/>
      <c r="E976" s="2"/>
      <c r="L976" s="2"/>
      <c r="M976" s="2"/>
    </row>
    <row r="977" ht="15.75" customHeight="1">
      <c r="B977" s="2"/>
      <c r="C977" s="2"/>
      <c r="D977" s="2"/>
      <c r="E977" s="2"/>
      <c r="L977" s="2"/>
      <c r="M977" s="2"/>
    </row>
    <row r="978" ht="15.75" customHeight="1">
      <c r="B978" s="2"/>
      <c r="C978" s="2"/>
      <c r="D978" s="2"/>
      <c r="E978" s="2"/>
      <c r="L978" s="2"/>
      <c r="M978" s="2"/>
    </row>
    <row r="979" ht="15.75" customHeight="1">
      <c r="B979" s="2"/>
      <c r="C979" s="2"/>
      <c r="D979" s="2"/>
      <c r="E979" s="2"/>
      <c r="L979" s="2"/>
      <c r="M979" s="2"/>
    </row>
    <row r="980" ht="15.75" customHeight="1">
      <c r="B980" s="2"/>
      <c r="C980" s="2"/>
      <c r="D980" s="2"/>
      <c r="E980" s="2"/>
      <c r="L980" s="2"/>
      <c r="M980" s="2"/>
    </row>
    <row r="981" ht="15.75" customHeight="1">
      <c r="B981" s="2"/>
      <c r="C981" s="2"/>
      <c r="D981" s="2"/>
      <c r="E981" s="2"/>
      <c r="L981" s="2"/>
      <c r="M981" s="2"/>
    </row>
    <row r="982" ht="15.75" customHeight="1">
      <c r="B982" s="2"/>
      <c r="C982" s="2"/>
      <c r="D982" s="2"/>
      <c r="E982" s="2"/>
      <c r="L982" s="2"/>
      <c r="M982" s="2"/>
    </row>
    <row r="983" ht="15.75" customHeight="1">
      <c r="B983" s="2"/>
      <c r="C983" s="2"/>
      <c r="D983" s="2"/>
      <c r="E983" s="2"/>
      <c r="L983" s="2"/>
      <c r="M983" s="2"/>
    </row>
    <row r="984" ht="15.75" customHeight="1">
      <c r="B984" s="2"/>
      <c r="C984" s="2"/>
      <c r="D984" s="2"/>
      <c r="E984" s="2"/>
      <c r="L984" s="2"/>
      <c r="M984" s="2"/>
    </row>
    <row r="985" ht="15.75" customHeight="1">
      <c r="B985" s="2"/>
      <c r="C985" s="2"/>
      <c r="D985" s="2"/>
      <c r="E985" s="2"/>
      <c r="L985" s="2"/>
      <c r="M985" s="2"/>
    </row>
    <row r="986" ht="15.75" customHeight="1">
      <c r="B986" s="2"/>
      <c r="C986" s="2"/>
      <c r="D986" s="2"/>
      <c r="E986" s="2"/>
      <c r="L986" s="2"/>
      <c r="M986" s="2"/>
    </row>
    <row r="987" ht="15.75" customHeight="1">
      <c r="B987" s="2"/>
      <c r="C987" s="2"/>
      <c r="D987" s="2"/>
      <c r="E987" s="2"/>
      <c r="L987" s="2"/>
      <c r="M987" s="2"/>
    </row>
    <row r="988" ht="15.75" customHeight="1">
      <c r="B988" s="2"/>
      <c r="C988" s="2"/>
      <c r="D988" s="2"/>
      <c r="E988" s="2"/>
      <c r="L988" s="2"/>
      <c r="M988" s="2"/>
    </row>
    <row r="989" ht="15.75" customHeight="1">
      <c r="B989" s="2"/>
      <c r="C989" s="2"/>
      <c r="D989" s="2"/>
      <c r="E989" s="2"/>
      <c r="L989" s="2"/>
      <c r="M989" s="2"/>
    </row>
    <row r="990" ht="15.75" customHeight="1">
      <c r="B990" s="2"/>
      <c r="C990" s="2"/>
      <c r="D990" s="2"/>
      <c r="E990" s="2"/>
      <c r="L990" s="2"/>
      <c r="M990" s="2"/>
    </row>
    <row r="991" ht="15.75" customHeight="1">
      <c r="B991" s="2"/>
      <c r="C991" s="2"/>
      <c r="D991" s="2"/>
      <c r="E991" s="2"/>
      <c r="L991" s="2"/>
      <c r="M991" s="2"/>
    </row>
    <row r="992" ht="15.75" customHeight="1">
      <c r="B992" s="2"/>
      <c r="C992" s="2"/>
      <c r="D992" s="2"/>
      <c r="E992" s="2"/>
      <c r="L992" s="2"/>
      <c r="M992" s="2"/>
    </row>
    <row r="993" ht="15.75" customHeight="1">
      <c r="B993" s="2"/>
      <c r="C993" s="2"/>
      <c r="D993" s="2"/>
      <c r="E993" s="2"/>
      <c r="L993" s="2"/>
      <c r="M993" s="2"/>
    </row>
    <row r="994" ht="15.75" customHeight="1">
      <c r="B994" s="2"/>
      <c r="C994" s="2"/>
      <c r="D994" s="2"/>
      <c r="E994" s="2"/>
      <c r="L994" s="2"/>
      <c r="M994" s="2"/>
    </row>
    <row r="995" ht="15.75" customHeight="1">
      <c r="B995" s="2"/>
      <c r="C995" s="2"/>
      <c r="D995" s="2"/>
      <c r="E995" s="2"/>
      <c r="L995" s="2"/>
      <c r="M995" s="2"/>
    </row>
    <row r="996" ht="15.75" customHeight="1">
      <c r="B996" s="2"/>
      <c r="C996" s="2"/>
      <c r="D996" s="2"/>
      <c r="E996" s="2"/>
      <c r="L996" s="2"/>
      <c r="M996" s="2"/>
    </row>
    <row r="997" ht="15.75" customHeight="1">
      <c r="B997" s="2"/>
      <c r="C997" s="2"/>
      <c r="D997" s="2"/>
      <c r="E997" s="2"/>
      <c r="L997" s="2"/>
      <c r="M997" s="2"/>
    </row>
    <row r="998" ht="15.75" customHeight="1">
      <c r="B998" s="2"/>
      <c r="C998" s="2"/>
      <c r="D998" s="2"/>
      <c r="E998" s="2"/>
      <c r="L998" s="2"/>
      <c r="M998" s="2"/>
    </row>
    <row r="999" ht="15.75" customHeight="1">
      <c r="B999" s="2"/>
      <c r="C999" s="2"/>
      <c r="D999" s="2"/>
      <c r="E999" s="2"/>
      <c r="L999" s="2"/>
      <c r="M999" s="2"/>
    </row>
    <row r="1000" ht="15.75" customHeight="1">
      <c r="B1000" s="2"/>
      <c r="C1000" s="2"/>
      <c r="D1000" s="2"/>
      <c r="E1000" s="2"/>
      <c r="L1000" s="2"/>
      <c r="M1000" s="2"/>
    </row>
  </sheetData>
  <mergeCells count="14">
    <mergeCell ref="S8:T8"/>
    <mergeCell ref="AC8:AD8"/>
    <mergeCell ref="AG9:AH9"/>
    <mergeCell ref="AJ9:AK9"/>
    <mergeCell ref="S19:T19"/>
    <mergeCell ref="D41:E41"/>
    <mergeCell ref="L41:M41"/>
    <mergeCell ref="B2:P2"/>
    <mergeCell ref="B5:G7"/>
    <mergeCell ref="H5:H7"/>
    <mergeCell ref="J5:O7"/>
    <mergeCell ref="P5:P7"/>
    <mergeCell ref="B8:H8"/>
    <mergeCell ref="J8:P8"/>
  </mergeCells>
  <conditionalFormatting sqref="H10:H41">
    <cfRule type="cellIs" dxfId="0" priority="1" operator="greaterThanOrEqual">
      <formula>0</formula>
    </cfRule>
  </conditionalFormatting>
  <conditionalFormatting sqref="H10:H41">
    <cfRule type="cellIs" dxfId="1" priority="2" operator="lessThan">
      <formula>0</formula>
    </cfRule>
  </conditionalFormatting>
  <conditionalFormatting sqref="H10:H41">
    <cfRule type="cellIs" dxfId="2" priority="3" operator="lessThan">
      <formula>0</formula>
    </cfRule>
  </conditionalFormatting>
  <conditionalFormatting sqref="P10:P41">
    <cfRule type="cellIs" dxfId="0" priority="4" operator="greaterThanOrEqual">
      <formula>0</formula>
    </cfRule>
  </conditionalFormatting>
  <conditionalFormatting sqref="P10:P41">
    <cfRule type="cellIs" dxfId="1" priority="5" operator="lessThan">
      <formula>0</formula>
    </cfRule>
  </conditionalFormatting>
  <conditionalFormatting sqref="P10:P41">
    <cfRule type="cellIs" dxfId="2" priority="6" operator="lessThan">
      <formula>0</formula>
    </cfRule>
  </conditionalFormatting>
  <printOptions horizontalCentered="1"/>
  <pageMargins bottom="0.3937007874015748" footer="0.0" header="0.0" left="0.11811023622047245" right="0.11811023622047245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4" width="14.78"/>
    <col customWidth="1" min="5" max="7" width="10.56"/>
    <col customWidth="1" min="8" max="8" width="18.67"/>
    <col customWidth="1" min="9" max="10" width="10.56"/>
    <col customWidth="1" min="11" max="11" width="18.67"/>
    <col customWidth="1" min="12" max="16" width="10.56"/>
    <col customWidth="1" min="17" max="17" width="18.11"/>
    <col customWidth="1" min="18" max="26" width="10.56"/>
  </cols>
  <sheetData>
    <row r="1" ht="15.75" customHeight="1"/>
    <row r="2" ht="15.75" customHeight="1"/>
    <row r="3" ht="15.75" customHeight="1">
      <c r="B3" s="1"/>
      <c r="C3" s="3" t="s">
        <v>0</v>
      </c>
      <c r="F3" s="4"/>
      <c r="G3" s="5" t="s">
        <v>1</v>
      </c>
      <c r="H3" s="6"/>
      <c r="I3" s="4"/>
      <c r="J3" s="5" t="s">
        <v>4</v>
      </c>
      <c r="K3" s="6"/>
      <c r="L3" s="4"/>
    </row>
    <row r="4" ht="15.75" customHeight="1">
      <c r="B4" s="1"/>
      <c r="C4" s="8" t="s">
        <v>1</v>
      </c>
      <c r="D4" s="8" t="s">
        <v>5</v>
      </c>
      <c r="F4" s="4"/>
      <c r="G4" s="10" t="s">
        <v>6</v>
      </c>
      <c r="H4" s="11">
        <v>3927.59</v>
      </c>
      <c r="I4" s="4"/>
      <c r="J4" s="10" t="s">
        <v>6</v>
      </c>
      <c r="K4" s="11">
        <v>3073.62</v>
      </c>
      <c r="L4" s="4"/>
      <c r="N4" s="2" t="s">
        <v>7</v>
      </c>
    </row>
    <row r="5" ht="15.75" customHeight="1">
      <c r="B5" s="1" t="s">
        <v>6</v>
      </c>
      <c r="C5" s="13">
        <v>3927.59</v>
      </c>
      <c r="D5" s="13">
        <v>3073.62</v>
      </c>
      <c r="F5" s="4"/>
      <c r="G5" s="10" t="s">
        <v>6</v>
      </c>
      <c r="H5" s="11">
        <v>3927.59</v>
      </c>
      <c r="I5" s="4"/>
      <c r="J5" s="10" t="s">
        <v>6</v>
      </c>
      <c r="K5" s="11">
        <v>3073.62</v>
      </c>
      <c r="L5" s="4"/>
      <c r="N5" s="14" t="s">
        <v>8</v>
      </c>
    </row>
    <row r="6" ht="15.75" customHeight="1">
      <c r="B6" s="1" t="s">
        <v>10</v>
      </c>
      <c r="C6" s="16">
        <v>3755.69</v>
      </c>
      <c r="D6" s="13">
        <v>6686.79</v>
      </c>
      <c r="F6" s="4"/>
      <c r="G6" s="10" t="s">
        <v>6</v>
      </c>
      <c r="H6" s="11">
        <v>3927.59</v>
      </c>
      <c r="I6" s="4"/>
      <c r="J6" s="10" t="s">
        <v>6</v>
      </c>
      <c r="K6" s="11">
        <v>3073.62</v>
      </c>
      <c r="L6" s="4"/>
      <c r="N6" s="14" t="s">
        <v>11</v>
      </c>
    </row>
    <row r="7" ht="15.75" customHeight="1">
      <c r="B7" s="1" t="s">
        <v>12</v>
      </c>
      <c r="C7" s="16">
        <v>4782.26</v>
      </c>
      <c r="D7" s="13">
        <v>4695.86</v>
      </c>
      <c r="F7" s="4"/>
      <c r="G7" s="10" t="s">
        <v>6</v>
      </c>
      <c r="H7" s="11">
        <v>3927.59</v>
      </c>
      <c r="I7" s="4"/>
      <c r="J7" s="10" t="s">
        <v>6</v>
      </c>
      <c r="K7" s="11">
        <v>3073.62</v>
      </c>
      <c r="L7" s="4"/>
      <c r="N7" s="14" t="s">
        <v>14</v>
      </c>
    </row>
    <row r="8" ht="15.75" customHeight="1">
      <c r="B8" s="1" t="s">
        <v>15</v>
      </c>
      <c r="C8" s="16">
        <v>4955.18</v>
      </c>
      <c r="D8" s="13">
        <v>5289.67</v>
      </c>
      <c r="F8" s="4"/>
      <c r="G8" s="10" t="s">
        <v>10</v>
      </c>
      <c r="H8" s="11">
        <v>3755.69</v>
      </c>
      <c r="I8" s="4"/>
      <c r="J8" s="10" t="s">
        <v>10</v>
      </c>
      <c r="K8" s="11">
        <v>6686.79</v>
      </c>
      <c r="L8" s="4"/>
      <c r="N8" s="14" t="s">
        <v>16</v>
      </c>
    </row>
    <row r="9" ht="15.75" customHeight="1">
      <c r="B9" s="1" t="s">
        <v>17</v>
      </c>
      <c r="C9" s="16">
        <v>11059.26</v>
      </c>
      <c r="D9" s="13">
        <v>8919.54</v>
      </c>
      <c r="F9" s="4"/>
      <c r="G9" s="10" t="s">
        <v>10</v>
      </c>
      <c r="H9" s="11">
        <v>3755.69</v>
      </c>
      <c r="I9" s="4"/>
      <c r="J9" s="10" t="s">
        <v>10</v>
      </c>
      <c r="K9" s="11">
        <v>6686.79</v>
      </c>
      <c r="L9" s="4"/>
      <c r="N9" s="14" t="s">
        <v>18</v>
      </c>
    </row>
    <row r="10" ht="15.75" customHeight="1">
      <c r="B10" s="1" t="s">
        <v>19</v>
      </c>
      <c r="C10" s="16">
        <v>19743.86</v>
      </c>
      <c r="D10" s="13">
        <v>12517.35</v>
      </c>
      <c r="F10" s="4"/>
      <c r="G10" s="10" t="s">
        <v>10</v>
      </c>
      <c r="H10" s="11">
        <v>3755.69</v>
      </c>
      <c r="I10" s="4"/>
      <c r="J10" s="10" t="s">
        <v>10</v>
      </c>
      <c r="K10" s="11">
        <v>6686.79</v>
      </c>
      <c r="L10" s="4"/>
    </row>
    <row r="11" ht="15.75" customHeight="1">
      <c r="B11" s="1" t="s">
        <v>20</v>
      </c>
      <c r="C11" s="16">
        <v>19453.13</v>
      </c>
      <c r="D11" s="13">
        <v>21259.45</v>
      </c>
      <c r="F11" s="4"/>
      <c r="G11" s="10" t="s">
        <v>10</v>
      </c>
      <c r="H11" s="11">
        <v>3755.69</v>
      </c>
      <c r="I11" s="4"/>
      <c r="J11" s="10" t="s">
        <v>10</v>
      </c>
      <c r="K11" s="11">
        <v>6686.79</v>
      </c>
      <c r="L11" s="4"/>
    </row>
    <row r="12" ht="15.75" customHeight="1">
      <c r="F12" s="20">
        <v>1.0</v>
      </c>
      <c r="G12" s="21" t="s">
        <v>12</v>
      </c>
      <c r="H12" s="22">
        <v>13051.55</v>
      </c>
      <c r="I12" s="20"/>
      <c r="J12" s="21" t="s">
        <v>12</v>
      </c>
      <c r="K12" s="22">
        <v>12403.61</v>
      </c>
      <c r="L12" s="20" t="s">
        <v>21</v>
      </c>
    </row>
    <row r="13" ht="15.75" customHeight="1">
      <c r="F13" s="4"/>
      <c r="G13" s="10" t="s">
        <v>12</v>
      </c>
      <c r="H13" s="11">
        <v>4782.26</v>
      </c>
      <c r="I13" s="4"/>
      <c r="J13" s="10" t="s">
        <v>12</v>
      </c>
      <c r="K13" s="11">
        <v>4695.86</v>
      </c>
      <c r="L13" s="4"/>
    </row>
    <row r="14" ht="15.75" customHeight="1">
      <c r="F14" s="4"/>
      <c r="G14" s="10" t="s">
        <v>12</v>
      </c>
      <c r="H14" s="11">
        <v>4782.26</v>
      </c>
      <c r="I14" s="4"/>
      <c r="J14" s="10" t="s">
        <v>12</v>
      </c>
      <c r="K14" s="11">
        <v>4695.86</v>
      </c>
      <c r="L14" s="4"/>
    </row>
    <row r="15" ht="15.75" customHeight="1">
      <c r="F15" s="4"/>
      <c r="G15" s="10" t="s">
        <v>12</v>
      </c>
      <c r="H15" s="11">
        <v>4782.26</v>
      </c>
      <c r="I15" s="4"/>
      <c r="J15" s="10" t="s">
        <v>12</v>
      </c>
      <c r="K15" s="11">
        <v>4695.86</v>
      </c>
      <c r="L15" s="4"/>
    </row>
    <row r="16" ht="15.75" customHeight="1">
      <c r="F16" s="23">
        <v>29.0</v>
      </c>
      <c r="G16" s="24" t="s">
        <v>12</v>
      </c>
      <c r="H16" s="26">
        <v>5982.26</v>
      </c>
      <c r="I16" s="23" t="s">
        <v>23</v>
      </c>
      <c r="J16" s="24" t="s">
        <v>12</v>
      </c>
      <c r="K16" s="26">
        <v>5895.86</v>
      </c>
      <c r="L16" s="23" t="s">
        <v>23</v>
      </c>
    </row>
    <row r="17" ht="15.75" customHeight="1">
      <c r="F17" s="20">
        <v>2.0</v>
      </c>
      <c r="G17" s="21" t="s">
        <v>15</v>
      </c>
      <c r="H17" s="22">
        <v>3574.65</v>
      </c>
      <c r="I17" s="20"/>
      <c r="J17" s="21" t="s">
        <v>15</v>
      </c>
      <c r="K17" s="22">
        <v>4246.78</v>
      </c>
      <c r="L17" s="20" t="s">
        <v>21</v>
      </c>
    </row>
    <row r="18" ht="15.75" customHeight="1">
      <c r="F18" s="4"/>
      <c r="G18" s="10" t="s">
        <v>15</v>
      </c>
      <c r="H18" s="11">
        <v>4955.18</v>
      </c>
      <c r="I18" s="4"/>
      <c r="J18" s="10" t="s">
        <v>15</v>
      </c>
      <c r="K18" s="11">
        <v>5289.67</v>
      </c>
      <c r="L18" s="4"/>
    </row>
    <row r="19" ht="15.75" customHeight="1">
      <c r="F19" s="4"/>
      <c r="G19" s="10" t="s">
        <v>24</v>
      </c>
      <c r="H19" s="11">
        <v>4955.18</v>
      </c>
      <c r="I19" s="4"/>
      <c r="J19" s="10" t="s">
        <v>24</v>
      </c>
      <c r="K19" s="11">
        <v>5289.67</v>
      </c>
      <c r="L19" s="4"/>
    </row>
    <row r="20" ht="15.75" customHeight="1">
      <c r="F20" s="4"/>
      <c r="G20" s="10" t="s">
        <v>24</v>
      </c>
      <c r="H20" s="11">
        <v>4955.18</v>
      </c>
      <c r="I20" s="4"/>
      <c r="J20" s="10" t="s">
        <v>24</v>
      </c>
      <c r="K20" s="11">
        <v>5289.67</v>
      </c>
      <c r="L20" s="4"/>
    </row>
    <row r="21" ht="15.75" customHeight="1">
      <c r="E21" s="28" t="s">
        <v>25</v>
      </c>
      <c r="F21" s="23">
        <v>30.0</v>
      </c>
      <c r="G21" s="24" t="s">
        <v>24</v>
      </c>
      <c r="H21" s="26">
        <v>7493.72</v>
      </c>
      <c r="I21" s="29">
        <v>0.5123</v>
      </c>
      <c r="J21" s="24" t="s">
        <v>24</v>
      </c>
      <c r="K21" s="26">
        <v>8463.47</v>
      </c>
      <c r="L21" s="30">
        <v>0.6</v>
      </c>
    </row>
    <row r="22" ht="15.75" customHeight="1">
      <c r="F22" s="4"/>
      <c r="G22" s="10" t="s">
        <v>17</v>
      </c>
      <c r="H22" s="11">
        <v>11059.26</v>
      </c>
      <c r="I22" s="4"/>
      <c r="J22" s="10" t="s">
        <v>17</v>
      </c>
      <c r="K22" s="11">
        <v>8919.54</v>
      </c>
      <c r="L22" s="4"/>
    </row>
    <row r="23" ht="15.75" customHeight="1">
      <c r="F23" s="4"/>
      <c r="G23" s="10" t="s">
        <v>17</v>
      </c>
      <c r="H23" s="11">
        <v>11059.26</v>
      </c>
      <c r="I23" s="4"/>
      <c r="J23" s="10" t="s">
        <v>17</v>
      </c>
      <c r="K23" s="11">
        <v>8919.54</v>
      </c>
      <c r="L23" s="4"/>
    </row>
    <row r="24" ht="15.75" customHeight="1">
      <c r="F24" s="4"/>
      <c r="G24" s="10" t="s">
        <v>26</v>
      </c>
      <c r="H24" s="11">
        <v>11059.26</v>
      </c>
      <c r="I24" s="4"/>
      <c r="J24" s="10" t="s">
        <v>26</v>
      </c>
      <c r="K24" s="11">
        <v>8919.54</v>
      </c>
      <c r="L24" s="4"/>
    </row>
    <row r="25" ht="15.75" customHeight="1">
      <c r="F25" s="4"/>
      <c r="G25" s="10" t="s">
        <v>26</v>
      </c>
      <c r="H25" s="11">
        <v>11059.26</v>
      </c>
      <c r="I25" s="4"/>
      <c r="J25" s="10" t="s">
        <v>26</v>
      </c>
      <c r="K25" s="11">
        <v>8919.54</v>
      </c>
      <c r="L25" s="4"/>
    </row>
    <row r="26" ht="15.75" customHeight="1">
      <c r="F26" s="4"/>
      <c r="G26" s="10" t="s">
        <v>26</v>
      </c>
      <c r="H26" s="11">
        <v>11059.26</v>
      </c>
      <c r="I26" s="4"/>
      <c r="J26" s="10" t="s">
        <v>26</v>
      </c>
      <c r="K26" s="11">
        <v>8919.54</v>
      </c>
      <c r="L26" s="4"/>
    </row>
    <row r="27" ht="15.75" customHeight="1">
      <c r="F27" s="4"/>
      <c r="G27" s="10" t="s">
        <v>27</v>
      </c>
      <c r="H27" s="11">
        <v>19743.86</v>
      </c>
      <c r="I27" s="4"/>
      <c r="J27" s="10" t="s">
        <v>27</v>
      </c>
      <c r="K27" s="11">
        <v>12517.35</v>
      </c>
      <c r="L27" s="4"/>
    </row>
    <row r="28" ht="15.75" customHeight="1">
      <c r="F28" s="4"/>
      <c r="G28" s="10" t="s">
        <v>27</v>
      </c>
      <c r="H28" s="11">
        <v>19743.86</v>
      </c>
      <c r="I28" s="4"/>
      <c r="J28" s="10" t="s">
        <v>27</v>
      </c>
      <c r="K28" s="11">
        <v>12517.35</v>
      </c>
      <c r="L28" s="4"/>
    </row>
    <row r="29" ht="15.75" customHeight="1">
      <c r="F29" s="4"/>
      <c r="G29" s="10" t="s">
        <v>27</v>
      </c>
      <c r="H29" s="11">
        <v>19743.86</v>
      </c>
      <c r="I29" s="4"/>
      <c r="J29" s="10" t="s">
        <v>27</v>
      </c>
      <c r="K29" s="11">
        <v>12517.35</v>
      </c>
      <c r="L29" s="4"/>
    </row>
    <row r="30" ht="15.75" customHeight="1">
      <c r="F30" s="4"/>
      <c r="G30" s="10" t="s">
        <v>27</v>
      </c>
      <c r="H30" s="11">
        <v>19743.86</v>
      </c>
      <c r="I30" s="4"/>
      <c r="J30" s="10" t="s">
        <v>27</v>
      </c>
      <c r="K30" s="11">
        <v>12517.35</v>
      </c>
      <c r="L30" s="4"/>
    </row>
    <row r="31" ht="15.75" customHeight="1">
      <c r="F31" s="4"/>
      <c r="G31" s="10" t="s">
        <v>20</v>
      </c>
      <c r="H31" s="11">
        <v>19453.13</v>
      </c>
      <c r="I31" s="4"/>
      <c r="J31" s="10" t="s">
        <v>20</v>
      </c>
      <c r="K31" s="11">
        <v>21259.45</v>
      </c>
      <c r="L31" s="4"/>
    </row>
    <row r="32" ht="15.75" customHeight="1">
      <c r="F32" s="4"/>
      <c r="G32" s="10" t="s">
        <v>20</v>
      </c>
      <c r="H32" s="11">
        <v>19453.13</v>
      </c>
      <c r="I32" s="4"/>
      <c r="J32" s="10" t="s">
        <v>20</v>
      </c>
      <c r="K32" s="11">
        <v>21259.45</v>
      </c>
      <c r="L32" s="4"/>
    </row>
    <row r="33" ht="15.75" customHeight="1">
      <c r="F33" s="4"/>
      <c r="G33" s="10" t="s">
        <v>20</v>
      </c>
      <c r="H33" s="11">
        <v>19453.13</v>
      </c>
      <c r="I33" s="4"/>
      <c r="J33" s="10" t="s">
        <v>20</v>
      </c>
      <c r="K33" s="11">
        <v>21259.45</v>
      </c>
      <c r="L33" s="4"/>
    </row>
    <row r="34" ht="15.75" customHeight="1">
      <c r="F34" s="4"/>
      <c r="G34" s="10" t="s">
        <v>20</v>
      </c>
      <c r="H34" s="11">
        <v>19453.13</v>
      </c>
      <c r="I34" s="4"/>
      <c r="J34" s="10" t="s">
        <v>20</v>
      </c>
      <c r="K34" s="11">
        <v>21259.45</v>
      </c>
      <c r="L34" s="4"/>
    </row>
    <row r="35" ht="15.75" customHeight="1">
      <c r="F35" s="4"/>
      <c r="G35" s="4"/>
      <c r="H35" s="38">
        <v>302131.88</v>
      </c>
      <c r="I35" s="4"/>
      <c r="J35" s="4"/>
      <c r="K35" s="38">
        <v>279712.85</v>
      </c>
      <c r="L35" s="4"/>
    </row>
    <row r="36" ht="15.75" customHeight="1">
      <c r="F36" s="4"/>
      <c r="G36" s="4"/>
      <c r="H36" s="4"/>
      <c r="I36" s="4"/>
      <c r="J36" s="4"/>
      <c r="K36" s="4"/>
      <c r="L36" s="4"/>
    </row>
    <row r="37" ht="15.75" customHeight="1">
      <c r="F37" s="4"/>
      <c r="G37" s="4"/>
      <c r="H37" s="4"/>
      <c r="I37" s="4"/>
      <c r="J37" s="4"/>
      <c r="K37" s="4"/>
      <c r="L37" s="4"/>
    </row>
    <row r="38" ht="15.75" customHeight="1">
      <c r="F38" s="4"/>
      <c r="G38" s="39" t="s">
        <v>29</v>
      </c>
      <c r="H38" s="42">
        <v>302000.0</v>
      </c>
      <c r="I38" s="39"/>
      <c r="J38" s="39"/>
      <c r="K38" s="42">
        <v>280000.0</v>
      </c>
      <c r="L38" s="4"/>
    </row>
    <row r="39" ht="15.75" customHeight="1">
      <c r="F39" s="4"/>
      <c r="G39" s="4"/>
      <c r="H39" s="4"/>
      <c r="I39" s="4"/>
      <c r="J39" s="4"/>
      <c r="K39" s="4"/>
      <c r="L39" s="4"/>
    </row>
    <row r="40" ht="15.75" customHeight="1"/>
    <row r="41" ht="15.75" customHeight="1">
      <c r="I41" s="43" t="s">
        <v>30</v>
      </c>
      <c r="J41" s="6"/>
    </row>
    <row r="42" ht="15.75" customHeight="1">
      <c r="I42" s="45">
        <f>H38+K38</f>
        <v>582000</v>
      </c>
      <c r="J42" s="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N8:Q8"/>
    <mergeCell ref="N9:Q9"/>
    <mergeCell ref="I41:J41"/>
    <mergeCell ref="I42:J42"/>
    <mergeCell ref="C3:D3"/>
    <mergeCell ref="G3:H3"/>
    <mergeCell ref="J3:K3"/>
    <mergeCell ref="N4:Q4"/>
    <mergeCell ref="N5:Q5"/>
    <mergeCell ref="N6:Q6"/>
    <mergeCell ref="N7:Q7"/>
  </mergeCells>
  <printOptions/>
  <pageMargins bottom="1.0" footer="0.0" header="0.0" left="1.0" right="1.0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7.11"/>
    <col customWidth="1" min="3" max="3" width="19.0"/>
    <col customWidth="1" min="4" max="4" width="6.11"/>
    <col customWidth="1" min="5" max="5" width="6.0"/>
    <col customWidth="1" min="6" max="6" width="18.78"/>
    <col customWidth="1" min="7" max="7" width="18.33"/>
    <col customWidth="1" min="8" max="8" width="16.78"/>
    <col customWidth="1" min="9" max="9" width="2.11"/>
    <col customWidth="1" min="10" max="10" width="11.11"/>
    <col customWidth="1" min="11" max="11" width="19.0"/>
    <col customWidth="1" min="12" max="12" width="6.11"/>
    <col customWidth="1" min="13" max="13" width="5.78"/>
    <col customWidth="1" min="14" max="14" width="18.78"/>
    <col customWidth="1" min="15" max="15" width="18.33"/>
    <col customWidth="1" min="16" max="16" width="16.78"/>
    <col customWidth="1" min="17" max="17" width="2.0"/>
    <col customWidth="1" min="18" max="20" width="15.0"/>
    <col customWidth="1" min="21" max="21" width="14.78"/>
    <col customWidth="1" min="22" max="23" width="11.0"/>
    <col customWidth="1" min="24" max="24" width="15.0"/>
    <col customWidth="1" min="25" max="25" width="11.0"/>
    <col customWidth="1" min="26" max="26" width="15.0"/>
    <col customWidth="1" min="27" max="27" width="11.0"/>
    <col customWidth="1" min="28" max="30" width="14.0"/>
    <col customWidth="1" min="31" max="33" width="11.0"/>
    <col customWidth="1" min="34" max="34" width="21.44"/>
    <col customWidth="1" min="35" max="36" width="11.0"/>
    <col customWidth="1" min="37" max="37" width="21.33"/>
    <col customWidth="1" min="38" max="38" width="11.0"/>
  </cols>
  <sheetData>
    <row r="1" ht="10.5" customHeight="1">
      <c r="B1" s="2"/>
      <c r="C1" s="2"/>
      <c r="D1" s="2"/>
      <c r="E1" s="2"/>
      <c r="L1" s="2"/>
      <c r="M1" s="2"/>
    </row>
    <row r="2" ht="15.75" customHeight="1">
      <c r="B2" s="7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2"/>
    </row>
    <row r="3" ht="16.5" customHeight="1">
      <c r="B3" s="2"/>
      <c r="C3" s="2"/>
      <c r="D3" s="2"/>
      <c r="E3" s="2"/>
      <c r="L3" s="2"/>
      <c r="M3" s="2"/>
    </row>
    <row r="4" ht="16.5" customHeight="1">
      <c r="B4" s="2"/>
      <c r="C4" s="2"/>
      <c r="D4" s="2"/>
      <c r="E4" s="2"/>
      <c r="H4" s="15" t="s">
        <v>9</v>
      </c>
      <c r="J4" s="2"/>
      <c r="K4" s="2"/>
      <c r="L4" s="2"/>
      <c r="M4" s="2"/>
      <c r="P4" s="15" t="s">
        <v>9</v>
      </c>
    </row>
    <row r="5" ht="15.75" customHeight="1">
      <c r="B5" s="17" t="s">
        <v>13</v>
      </c>
      <c r="C5" s="18"/>
      <c r="D5" s="18"/>
      <c r="E5" s="18"/>
      <c r="F5" s="18"/>
      <c r="G5" s="19"/>
      <c r="H5" s="25">
        <f>F41/4</f>
        <v>75000.545</v>
      </c>
      <c r="J5" s="27" t="s">
        <v>22</v>
      </c>
      <c r="K5" s="18"/>
      <c r="L5" s="18"/>
      <c r="M5" s="18"/>
      <c r="N5" s="18"/>
      <c r="O5" s="19"/>
      <c r="P5" s="25">
        <f>N41/4</f>
        <v>68754.93</v>
      </c>
    </row>
    <row r="6" ht="15.75" customHeight="1">
      <c r="B6" s="31"/>
      <c r="G6" s="32"/>
      <c r="H6" s="33"/>
      <c r="J6" s="31"/>
      <c r="O6" s="32"/>
      <c r="P6" s="33"/>
    </row>
    <row r="7" ht="9.75" customHeight="1">
      <c r="B7" s="34"/>
      <c r="C7" s="35"/>
      <c r="D7" s="35"/>
      <c r="E7" s="35"/>
      <c r="F7" s="35"/>
      <c r="G7" s="36"/>
      <c r="H7" s="37"/>
      <c r="J7" s="34"/>
      <c r="K7" s="35"/>
      <c r="L7" s="35"/>
      <c r="M7" s="35"/>
      <c r="N7" s="35"/>
      <c r="O7" s="36"/>
      <c r="P7" s="37"/>
    </row>
    <row r="8" ht="15.75" customHeight="1">
      <c r="B8" s="40" t="s">
        <v>28</v>
      </c>
      <c r="C8" s="41"/>
      <c r="D8" s="41"/>
      <c r="E8" s="41"/>
      <c r="F8" s="41"/>
      <c r="G8" s="41"/>
      <c r="H8" s="6"/>
      <c r="J8" s="40" t="s">
        <v>28</v>
      </c>
      <c r="K8" s="41"/>
      <c r="L8" s="41"/>
      <c r="M8" s="41"/>
      <c r="N8" s="41"/>
      <c r="O8" s="41"/>
      <c r="P8" s="6"/>
      <c r="R8" s="1"/>
      <c r="S8" s="3"/>
      <c r="V8" s="1"/>
      <c r="W8" s="8"/>
      <c r="AB8" s="1"/>
      <c r="AC8" s="3"/>
    </row>
    <row r="9" ht="15.75" customHeight="1">
      <c r="B9" s="44" t="s">
        <v>32</v>
      </c>
      <c r="C9" s="44" t="s">
        <v>33</v>
      </c>
      <c r="D9" s="44" t="s">
        <v>34</v>
      </c>
      <c r="E9" s="44" t="s">
        <v>35</v>
      </c>
      <c r="F9" s="44" t="s">
        <v>36</v>
      </c>
      <c r="G9" s="44" t="s">
        <v>37</v>
      </c>
      <c r="H9" s="44" t="s">
        <v>38</v>
      </c>
      <c r="J9" s="44" t="s">
        <v>32</v>
      </c>
      <c r="K9" s="44" t="s">
        <v>33</v>
      </c>
      <c r="L9" s="44" t="s">
        <v>34</v>
      </c>
      <c r="M9" s="44" t="s">
        <v>35</v>
      </c>
      <c r="N9" s="44" t="s">
        <v>36</v>
      </c>
      <c r="O9" s="44" t="s">
        <v>37</v>
      </c>
      <c r="P9" s="44" t="s">
        <v>38</v>
      </c>
      <c r="R9" s="1"/>
      <c r="S9" s="8"/>
      <c r="T9" s="8"/>
      <c r="V9" s="1"/>
      <c r="W9" s="8"/>
      <c r="X9" s="8"/>
      <c r="AB9" s="1"/>
      <c r="AC9" s="8"/>
      <c r="AD9" s="8"/>
      <c r="AG9" s="46" t="s">
        <v>1</v>
      </c>
      <c r="AH9" s="6"/>
      <c r="AJ9" s="46" t="s">
        <v>4</v>
      </c>
      <c r="AK9" s="6"/>
    </row>
    <row r="10" ht="15.75" customHeight="1">
      <c r="B10" s="47">
        <v>1.0</v>
      </c>
      <c r="C10" s="47" t="s">
        <v>40</v>
      </c>
      <c r="D10" s="48">
        <v>0.123050259965338</v>
      </c>
      <c r="E10" s="48">
        <f t="shared" ref="E10:E40" si="1">G10/$H$5</f>
        <v>0.1740194021</v>
      </c>
      <c r="F10" s="53">
        <v>13051.55</v>
      </c>
      <c r="G10" s="55">
        <f>12820.05+231.5</f>
        <v>13051.55</v>
      </c>
      <c r="H10" s="51">
        <f t="shared" ref="H10:H39" si="2">G10-F10</f>
        <v>0</v>
      </c>
      <c r="J10" s="44">
        <v>1.0</v>
      </c>
      <c r="K10" s="47" t="s">
        <v>40</v>
      </c>
      <c r="L10" s="52">
        <v>0.14942528735632182</v>
      </c>
      <c r="M10" s="52">
        <f t="shared" ref="M10:M17" si="3">O10/$P$5</f>
        <v>0.1804032089</v>
      </c>
      <c r="N10" s="60">
        <v>12403.61</v>
      </c>
      <c r="O10" s="55">
        <v>12403.61</v>
      </c>
      <c r="P10" s="56">
        <f t="shared" ref="P10:P40" si="4">O10-N10</f>
        <v>0</v>
      </c>
      <c r="R10" s="1"/>
      <c r="S10" s="13"/>
      <c r="T10" s="13"/>
      <c r="V10" s="1"/>
      <c r="W10" s="13"/>
      <c r="X10" s="13"/>
      <c r="AB10" s="1"/>
      <c r="AC10" s="13"/>
      <c r="AD10" s="13"/>
      <c r="AG10" s="57" t="s">
        <v>6</v>
      </c>
      <c r="AH10" s="55"/>
      <c r="AJ10" s="57" t="s">
        <v>6</v>
      </c>
      <c r="AK10" s="55"/>
    </row>
    <row r="11" ht="15.75" customHeight="1">
      <c r="B11" s="47">
        <v>2.0</v>
      </c>
      <c r="C11" s="47" t="s">
        <v>47</v>
      </c>
      <c r="D11" s="48">
        <v>0.31715771230502593</v>
      </c>
      <c r="E11" s="48">
        <f t="shared" si="1"/>
        <v>0.04766165366</v>
      </c>
      <c r="F11" s="62">
        <v>3574.65</v>
      </c>
      <c r="G11" s="55">
        <f>3574.65</f>
        <v>3574.65</v>
      </c>
      <c r="H11" s="51">
        <f t="shared" si="2"/>
        <v>0</v>
      </c>
      <c r="J11" s="44">
        <v>2.0</v>
      </c>
      <c r="K11" s="47" t="s">
        <v>47</v>
      </c>
      <c r="L11" s="52">
        <v>0.2512315270935961</v>
      </c>
      <c r="M11" s="52">
        <f t="shared" si="3"/>
        <v>0.06176691621</v>
      </c>
      <c r="N11" s="55">
        <v>4246.78</v>
      </c>
      <c r="O11" s="55">
        <v>4246.78</v>
      </c>
      <c r="P11" s="56">
        <f t="shared" si="4"/>
        <v>0</v>
      </c>
      <c r="R11" s="1"/>
      <c r="S11" s="16"/>
      <c r="T11" s="13"/>
      <c r="V11" s="1"/>
      <c r="W11" s="13"/>
      <c r="X11" s="13"/>
      <c r="AB11" s="1"/>
      <c r="AC11" s="16"/>
      <c r="AD11" s="13"/>
      <c r="AG11" s="57" t="s">
        <v>6</v>
      </c>
      <c r="AH11" s="55"/>
      <c r="AJ11" s="57" t="s">
        <v>6</v>
      </c>
      <c r="AK11" s="55"/>
    </row>
    <row r="12" ht="15.75" customHeight="1">
      <c r="B12" s="47">
        <v>3.0</v>
      </c>
      <c r="C12" s="47" t="s">
        <v>48</v>
      </c>
      <c r="D12" s="48">
        <v>0.27902946273830154</v>
      </c>
      <c r="E12" s="48">
        <f t="shared" si="1"/>
        <v>0.1645861373</v>
      </c>
      <c r="F12" s="62">
        <v>11000.0</v>
      </c>
      <c r="G12" s="55">
        <f>12350.55+198.5-205</f>
        <v>12344.05</v>
      </c>
      <c r="H12" s="51">
        <f t="shared" si="2"/>
        <v>1344.05</v>
      </c>
      <c r="J12" s="44">
        <v>3.0</v>
      </c>
      <c r="K12" s="47" t="s">
        <v>48</v>
      </c>
      <c r="L12" s="52">
        <v>0.3382594417077176</v>
      </c>
      <c r="M12" s="52">
        <f t="shared" si="3"/>
        <v>0.1236456789</v>
      </c>
      <c r="N12" s="55">
        <v>8900.0</v>
      </c>
      <c r="O12" s="55">
        <f>4738.66+133.8+4337.79-709</f>
        <v>8501.25</v>
      </c>
      <c r="P12" s="56">
        <f t="shared" si="4"/>
        <v>-398.75</v>
      </c>
      <c r="R12" s="1"/>
      <c r="S12" s="16"/>
      <c r="T12" s="13"/>
      <c r="V12" s="1"/>
      <c r="W12" s="13"/>
      <c r="X12" s="13"/>
      <c r="AB12" s="1"/>
      <c r="AC12" s="16"/>
      <c r="AD12" s="13"/>
      <c r="AG12" s="57" t="s">
        <v>6</v>
      </c>
      <c r="AH12" s="55"/>
      <c r="AJ12" s="57" t="s">
        <v>6</v>
      </c>
      <c r="AK12" s="55"/>
    </row>
    <row r="13" ht="15.75" customHeight="1">
      <c r="B13" s="47">
        <v>4.0</v>
      </c>
      <c r="C13" s="47" t="s">
        <v>41</v>
      </c>
      <c r="D13" s="48">
        <v>0.05545927209705372</v>
      </c>
      <c r="E13" s="48">
        <f t="shared" si="1"/>
        <v>0.1985938902</v>
      </c>
      <c r="F13" s="62">
        <v>19700.0</v>
      </c>
      <c r="G13" s="55">
        <v>14894.65</v>
      </c>
      <c r="H13" s="51">
        <f t="shared" si="2"/>
        <v>-4805.35</v>
      </c>
      <c r="J13" s="44">
        <v>4.0</v>
      </c>
      <c r="K13" s="47" t="s">
        <v>41</v>
      </c>
      <c r="L13" s="52">
        <v>0.05582922824302135</v>
      </c>
      <c r="M13" s="52">
        <f t="shared" si="3"/>
        <v>0.194652078</v>
      </c>
      <c r="N13" s="55">
        <v>12500.0</v>
      </c>
      <c r="O13" s="55">
        <f>6231.41+8290.88-1139</f>
        <v>13383.29</v>
      </c>
      <c r="P13" s="56">
        <f t="shared" si="4"/>
        <v>883.29</v>
      </c>
      <c r="R13" s="1"/>
      <c r="S13" s="16"/>
      <c r="T13" s="13"/>
      <c r="V13" s="1"/>
      <c r="W13" s="13"/>
      <c r="X13" s="13"/>
      <c r="AB13" s="1"/>
      <c r="AC13" s="16"/>
      <c r="AD13" s="13"/>
      <c r="AG13" s="57" t="s">
        <v>6</v>
      </c>
      <c r="AH13" s="55"/>
      <c r="AJ13" s="57" t="s">
        <v>6</v>
      </c>
      <c r="AK13" s="55"/>
    </row>
    <row r="14" ht="15.75" customHeight="1">
      <c r="B14" s="47">
        <v>5.0</v>
      </c>
      <c r="C14" s="47" t="s">
        <v>44</v>
      </c>
      <c r="D14" s="48">
        <v>0.06932409012131714</v>
      </c>
      <c r="E14" s="48">
        <f t="shared" si="1"/>
        <v>0.2551948123</v>
      </c>
      <c r="F14" s="62">
        <v>19400.0</v>
      </c>
      <c r="G14" s="55">
        <v>19139.75</v>
      </c>
      <c r="H14" s="51">
        <f t="shared" si="2"/>
        <v>-260.25</v>
      </c>
      <c r="I14" s="61"/>
      <c r="J14" s="44">
        <v>5.0</v>
      </c>
      <c r="K14" s="47" t="s">
        <v>44</v>
      </c>
      <c r="L14" s="52">
        <v>0.07060755336617405</v>
      </c>
      <c r="M14" s="52">
        <f t="shared" si="3"/>
        <v>0.2721163413</v>
      </c>
      <c r="N14" s="55">
        <v>21200.0</v>
      </c>
      <c r="O14" s="55">
        <f>7310.03+3734.45+9288.86-1624</f>
        <v>18709.34</v>
      </c>
      <c r="P14" s="56">
        <f t="shared" si="4"/>
        <v>-2490.66</v>
      </c>
      <c r="R14" s="1"/>
      <c r="S14" s="16"/>
      <c r="T14" s="13"/>
      <c r="V14" s="1"/>
      <c r="W14" s="13"/>
      <c r="X14" s="13"/>
      <c r="AB14" s="1"/>
      <c r="AC14" s="16"/>
      <c r="AD14" s="13"/>
      <c r="AG14" s="57" t="s">
        <v>10</v>
      </c>
      <c r="AH14" s="55"/>
      <c r="AJ14" s="57" t="s">
        <v>10</v>
      </c>
      <c r="AK14" s="55"/>
    </row>
    <row r="15" ht="15.75" customHeight="1">
      <c r="B15" s="47">
        <v>6.0</v>
      </c>
      <c r="C15" s="44" t="s">
        <v>45</v>
      </c>
      <c r="D15" s="48">
        <v>0.09705372616984399</v>
      </c>
      <c r="E15" s="48">
        <f t="shared" si="1"/>
        <v>0.07104148377</v>
      </c>
      <c r="F15" s="62">
        <v>3800.0</v>
      </c>
      <c r="G15" s="55">
        <v>5328.15</v>
      </c>
      <c r="H15" s="51">
        <f t="shared" si="2"/>
        <v>1528.15</v>
      </c>
      <c r="J15" s="44">
        <v>6.0</v>
      </c>
      <c r="K15" s="44" t="s">
        <v>45</v>
      </c>
      <c r="L15" s="52">
        <v>0.05911330049261084</v>
      </c>
      <c r="M15" s="52">
        <f t="shared" si="3"/>
        <v>0.04714701913</v>
      </c>
      <c r="N15" s="55">
        <v>3000.0</v>
      </c>
      <c r="O15" s="55">
        <f>3524.59-283</f>
        <v>3241.59</v>
      </c>
      <c r="P15" s="56">
        <f t="shared" si="4"/>
        <v>241.59</v>
      </c>
      <c r="R15" s="1"/>
      <c r="S15" s="16"/>
      <c r="T15" s="13"/>
      <c r="V15" s="1"/>
      <c r="W15" s="13"/>
      <c r="X15" s="13"/>
      <c r="AB15" s="1"/>
      <c r="AC15" s="16"/>
      <c r="AD15" s="13"/>
      <c r="AG15" s="57" t="s">
        <v>10</v>
      </c>
      <c r="AH15" s="55"/>
      <c r="AJ15" s="57" t="s">
        <v>10</v>
      </c>
      <c r="AK15" s="55"/>
    </row>
    <row r="16" ht="15.75" customHeight="1">
      <c r="B16" s="47">
        <v>7.0</v>
      </c>
      <c r="C16" s="44" t="s">
        <v>46</v>
      </c>
      <c r="D16" s="48">
        <v>0.05892547660311957</v>
      </c>
      <c r="E16" s="48">
        <f t="shared" si="1"/>
        <v>0.04927364194</v>
      </c>
      <c r="F16" s="62">
        <v>3700.0</v>
      </c>
      <c r="G16" s="55">
        <v>3695.55</v>
      </c>
      <c r="H16" s="51">
        <f t="shared" si="2"/>
        <v>-4.45</v>
      </c>
      <c r="J16" s="44">
        <v>7.0</v>
      </c>
      <c r="K16" s="44" t="s">
        <v>46</v>
      </c>
      <c r="L16" s="52">
        <v>0.08</v>
      </c>
      <c r="M16" s="52">
        <f t="shared" si="3"/>
        <v>0.03873845846</v>
      </c>
      <c r="N16" s="55">
        <v>5700.0</v>
      </c>
      <c r="O16" s="55">
        <f>2876.46-213</f>
        <v>2663.46</v>
      </c>
      <c r="P16" s="56">
        <f t="shared" si="4"/>
        <v>-3036.54</v>
      </c>
      <c r="R16" s="1"/>
      <c r="S16" s="16" t="s">
        <v>55</v>
      </c>
      <c r="T16" s="58" t="s">
        <v>56</v>
      </c>
      <c r="U16" s="13">
        <f>14529.66+1078</f>
        <v>15607.66</v>
      </c>
      <c r="V16" s="1"/>
      <c r="W16" s="13"/>
      <c r="X16" s="13"/>
      <c r="AB16" s="1"/>
      <c r="AC16" s="16"/>
      <c r="AD16" s="13"/>
      <c r="AG16" s="57" t="s">
        <v>10</v>
      </c>
      <c r="AH16" s="55"/>
      <c r="AJ16" s="57" t="s">
        <v>10</v>
      </c>
      <c r="AK16" s="55"/>
    </row>
    <row r="17" ht="15.75" customHeight="1">
      <c r="B17" s="44">
        <v>8.0</v>
      </c>
      <c r="C17" s="44" t="s">
        <v>40</v>
      </c>
      <c r="D17" s="52">
        <v>0.12305025996533793</v>
      </c>
      <c r="E17" s="52">
        <f t="shared" si="1"/>
        <v>0.06521085947</v>
      </c>
      <c r="F17" s="62">
        <v>4700.0</v>
      </c>
      <c r="G17" s="55">
        <f>3133.55+1757.3</f>
        <v>4890.85</v>
      </c>
      <c r="H17" s="51">
        <f t="shared" si="2"/>
        <v>190.85</v>
      </c>
      <c r="J17" s="44">
        <v>8.0</v>
      </c>
      <c r="K17" s="44" t="s">
        <v>40</v>
      </c>
      <c r="L17" s="52">
        <v>0.14942528735632182</v>
      </c>
      <c r="M17" s="52">
        <f t="shared" si="3"/>
        <v>0.05547791264</v>
      </c>
      <c r="N17" s="55">
        <v>4690.0</v>
      </c>
      <c r="O17" s="55">
        <f>1789.93+2380.45-356</f>
        <v>3814.38</v>
      </c>
      <c r="P17" s="56">
        <f t="shared" si="4"/>
        <v>-875.62</v>
      </c>
      <c r="S17" s="58" t="s">
        <v>59</v>
      </c>
      <c r="T17" s="58" t="s">
        <v>60</v>
      </c>
      <c r="U17" s="55">
        <f>14529.66-1078</f>
        <v>13451.66</v>
      </c>
      <c r="AG17" s="57" t="s">
        <v>10</v>
      </c>
      <c r="AH17" s="55"/>
      <c r="AJ17" s="57" t="s">
        <v>10</v>
      </c>
      <c r="AK17" s="55"/>
    </row>
    <row r="18" ht="15.75" customHeight="1">
      <c r="B18" s="44">
        <v>9.0</v>
      </c>
      <c r="C18" s="44" t="s">
        <v>47</v>
      </c>
      <c r="D18" s="52">
        <v>0.31715771230502593</v>
      </c>
      <c r="E18" s="52">
        <f t="shared" si="1"/>
        <v>0.07827343121</v>
      </c>
      <c r="F18" s="62">
        <v>4800.0</v>
      </c>
      <c r="G18" s="55">
        <f>5870.55</f>
        <v>5870.55</v>
      </c>
      <c r="H18" s="51">
        <f t="shared" si="2"/>
        <v>1070.55</v>
      </c>
      <c r="J18" s="44">
        <v>9.0</v>
      </c>
      <c r="K18" s="44" t="s">
        <v>47</v>
      </c>
      <c r="L18" s="52">
        <v>0.2512315270935961</v>
      </c>
      <c r="M18" s="52">
        <f t="shared" ref="M18:M37" si="5">O16/$P$5</f>
        <v>0.03873845846</v>
      </c>
      <c r="N18" s="55">
        <v>5280.0</v>
      </c>
      <c r="O18" s="55">
        <f>4712.07-362</f>
        <v>4350.07</v>
      </c>
      <c r="P18" s="56">
        <f t="shared" si="4"/>
        <v>-929.93</v>
      </c>
      <c r="S18" s="58" t="s">
        <v>61</v>
      </c>
      <c r="U18" s="61">
        <f>U16-U17</f>
        <v>2156</v>
      </c>
      <c r="AG18" s="57" t="s">
        <v>12</v>
      </c>
      <c r="AH18" s="63"/>
      <c r="AJ18" s="57" t="s">
        <v>12</v>
      </c>
      <c r="AK18" s="63"/>
    </row>
    <row r="19" ht="15.75" customHeight="1">
      <c r="B19" s="44">
        <v>10.0</v>
      </c>
      <c r="C19" s="44" t="s">
        <v>48</v>
      </c>
      <c r="D19" s="52">
        <v>0.27902946273830154</v>
      </c>
      <c r="E19" s="52">
        <f t="shared" si="1"/>
        <v>0.1962632405</v>
      </c>
      <c r="F19" s="62">
        <v>11000.0</v>
      </c>
      <c r="G19" s="55">
        <f>14839.85-120</f>
        <v>14719.85</v>
      </c>
      <c r="H19" s="51">
        <f t="shared" si="2"/>
        <v>3719.85</v>
      </c>
      <c r="J19" s="44">
        <v>10.0</v>
      </c>
      <c r="K19" s="44" t="s">
        <v>48</v>
      </c>
      <c r="L19" s="52">
        <v>0.3382594417077176</v>
      </c>
      <c r="M19" s="52">
        <f t="shared" si="5"/>
        <v>0.05547791264</v>
      </c>
      <c r="N19" s="55">
        <v>8900.0</v>
      </c>
      <c r="O19" s="55">
        <f>12380.9-1002</f>
        <v>11378.9</v>
      </c>
      <c r="P19" s="56">
        <f t="shared" si="4"/>
        <v>2478.9</v>
      </c>
      <c r="R19" s="1"/>
      <c r="S19" s="8"/>
      <c r="AG19" s="57" t="s">
        <v>12</v>
      </c>
      <c r="AH19" s="55"/>
      <c r="AJ19" s="57" t="s">
        <v>12</v>
      </c>
      <c r="AK19" s="55"/>
    </row>
    <row r="20" ht="15.75" customHeight="1">
      <c r="B20" s="44">
        <v>11.0</v>
      </c>
      <c r="C20" s="44" t="s">
        <v>41</v>
      </c>
      <c r="D20" s="52">
        <v>0.05545927209705372</v>
      </c>
      <c r="E20" s="52">
        <f t="shared" si="1"/>
        <v>0.208078488</v>
      </c>
      <c r="F20" s="62">
        <v>19700.0</v>
      </c>
      <c r="G20" s="55">
        <f>15606</f>
        <v>15606</v>
      </c>
      <c r="H20" s="51">
        <f t="shared" si="2"/>
        <v>-4094</v>
      </c>
      <c r="J20" s="44">
        <v>11.0</v>
      </c>
      <c r="K20" s="44" t="s">
        <v>41</v>
      </c>
      <c r="L20" s="52">
        <v>0.05582922824302135</v>
      </c>
      <c r="M20" s="52">
        <f t="shared" si="5"/>
        <v>0.06326920848</v>
      </c>
      <c r="N20" s="55">
        <v>12500.0</v>
      </c>
      <c r="O20" s="55">
        <f>14529.66-1078</f>
        <v>13451.66</v>
      </c>
      <c r="P20" s="56">
        <f t="shared" si="4"/>
        <v>951.66</v>
      </c>
      <c r="R20" s="1"/>
      <c r="S20" s="8"/>
      <c r="T20" s="8"/>
      <c r="AG20" s="57" t="s">
        <v>12</v>
      </c>
      <c r="AH20" s="55"/>
      <c r="AJ20" s="57" t="s">
        <v>12</v>
      </c>
      <c r="AK20" s="55"/>
    </row>
    <row r="21" ht="18.0" customHeight="1">
      <c r="B21" s="44">
        <v>12.0</v>
      </c>
      <c r="C21" s="44" t="s">
        <v>44</v>
      </c>
      <c r="D21" s="52">
        <v>0.06932409012131714</v>
      </c>
      <c r="E21" s="52">
        <f t="shared" si="1"/>
        <v>0.2212630588</v>
      </c>
      <c r="F21" s="62">
        <v>19400.0</v>
      </c>
      <c r="G21" s="55">
        <f>16594.85</f>
        <v>16594.85</v>
      </c>
      <c r="H21" s="51">
        <f t="shared" si="2"/>
        <v>-2805.15</v>
      </c>
      <c r="J21" s="44">
        <v>12.0</v>
      </c>
      <c r="K21" s="44" t="s">
        <v>44</v>
      </c>
      <c r="L21" s="52">
        <v>0.07060755336617405</v>
      </c>
      <c r="M21" s="52">
        <f t="shared" si="5"/>
        <v>0.1654994049</v>
      </c>
      <c r="N21" s="55">
        <v>21200.0</v>
      </c>
      <c r="O21" s="55">
        <f>19227.86-1550</f>
        <v>17677.86</v>
      </c>
      <c r="P21" s="56">
        <f t="shared" si="4"/>
        <v>-3522.14</v>
      </c>
      <c r="R21" s="1"/>
      <c r="S21" s="13"/>
      <c r="T21" s="13"/>
      <c r="W21" s="70"/>
      <c r="X21" s="71" t="s">
        <v>52</v>
      </c>
      <c r="Y21" s="72"/>
      <c r="Z21" s="73" t="s">
        <v>53</v>
      </c>
      <c r="AG21" s="57" t="s">
        <v>12</v>
      </c>
      <c r="AH21" s="55"/>
      <c r="AJ21" s="57" t="s">
        <v>12</v>
      </c>
      <c r="AK21" s="55"/>
    </row>
    <row r="22" ht="15.75" customHeight="1">
      <c r="B22" s="44">
        <v>13.0</v>
      </c>
      <c r="C22" s="44" t="s">
        <v>45</v>
      </c>
      <c r="D22" s="52">
        <v>0.09705372616984399</v>
      </c>
      <c r="E22" s="52">
        <f t="shared" si="1"/>
        <v>0.06826217063</v>
      </c>
      <c r="F22" s="62">
        <v>3800.0</v>
      </c>
      <c r="G22" s="55">
        <f>5119.7</f>
        <v>5119.7</v>
      </c>
      <c r="H22" s="51">
        <f t="shared" si="2"/>
        <v>1319.7</v>
      </c>
      <c r="J22" s="44">
        <v>13.0</v>
      </c>
      <c r="K22" s="44" t="s">
        <v>45</v>
      </c>
      <c r="L22" s="52">
        <v>0.05911330049261084</v>
      </c>
      <c r="M22" s="52">
        <f t="shared" si="5"/>
        <v>0.1956464795</v>
      </c>
      <c r="N22" s="55">
        <v>3000.0</v>
      </c>
      <c r="O22" s="55">
        <f>3359.46-304</f>
        <v>3055.46</v>
      </c>
      <c r="P22" s="56">
        <f t="shared" si="4"/>
        <v>55.46</v>
      </c>
      <c r="R22" s="1"/>
      <c r="S22" s="13"/>
      <c r="T22" s="13"/>
      <c r="W22" s="74"/>
      <c r="X22" s="75">
        <v>300000.0</v>
      </c>
      <c r="Y22" s="2"/>
      <c r="Z22" s="76">
        <v>275000.0</v>
      </c>
      <c r="AG22" s="57" t="s">
        <v>12</v>
      </c>
      <c r="AH22" s="60"/>
      <c r="AJ22" s="57" t="s">
        <v>12</v>
      </c>
      <c r="AK22" s="60"/>
    </row>
    <row r="23" ht="15.75" customHeight="1">
      <c r="B23" s="44">
        <v>14.0</v>
      </c>
      <c r="C23" s="44" t="s">
        <v>46</v>
      </c>
      <c r="D23" s="52">
        <v>0.05892547660311957</v>
      </c>
      <c r="E23" s="52">
        <f t="shared" si="1"/>
        <v>0.03961851211</v>
      </c>
      <c r="F23" s="62">
        <v>3700.0</v>
      </c>
      <c r="G23" s="55">
        <f>2971.41</f>
        <v>2971.41</v>
      </c>
      <c r="H23" s="51">
        <f t="shared" si="2"/>
        <v>-728.59</v>
      </c>
      <c r="J23" s="44">
        <v>14.0</v>
      </c>
      <c r="K23" s="44" t="s">
        <v>46</v>
      </c>
      <c r="L23" s="52">
        <v>0.08</v>
      </c>
      <c r="M23" s="52">
        <f t="shared" si="5"/>
        <v>0.2571140717</v>
      </c>
      <c r="N23" s="55">
        <v>5700.0</v>
      </c>
      <c r="O23" s="55">
        <f>3756.22-291</f>
        <v>3465.22</v>
      </c>
      <c r="P23" s="56">
        <f t="shared" si="4"/>
        <v>-2234.78</v>
      </c>
      <c r="R23" s="1"/>
      <c r="S23" s="13"/>
      <c r="T23" s="13"/>
      <c r="W23" s="74"/>
      <c r="X23" s="2"/>
      <c r="Y23" s="2"/>
      <c r="Z23" s="77"/>
      <c r="AG23" s="57" t="s">
        <v>15</v>
      </c>
      <c r="AH23" s="63"/>
      <c r="AJ23" s="57" t="s">
        <v>15</v>
      </c>
      <c r="AK23" s="63"/>
    </row>
    <row r="24" ht="15.75" customHeight="1">
      <c r="B24" s="44">
        <v>15.0</v>
      </c>
      <c r="C24" s="44" t="s">
        <v>40</v>
      </c>
      <c r="D24" s="52">
        <v>0.12305025996533793</v>
      </c>
      <c r="E24" s="52">
        <f t="shared" si="1"/>
        <v>0.0973212928</v>
      </c>
      <c r="F24" s="62">
        <v>4700.0</v>
      </c>
      <c r="G24" s="13">
        <f>7299.15</f>
        <v>7299.15</v>
      </c>
      <c r="H24" s="51">
        <f t="shared" si="2"/>
        <v>2599.15</v>
      </c>
      <c r="J24" s="44">
        <v>15.0</v>
      </c>
      <c r="K24" s="44" t="s">
        <v>40</v>
      </c>
      <c r="L24" s="52">
        <v>0.14942528735632182</v>
      </c>
      <c r="M24" s="52">
        <f t="shared" si="5"/>
        <v>0.0444398678</v>
      </c>
      <c r="N24" s="55">
        <v>4690.0</v>
      </c>
      <c r="O24" s="13">
        <f>4461.31-353</f>
        <v>4108.31</v>
      </c>
      <c r="P24" s="56">
        <f t="shared" si="4"/>
        <v>-581.69</v>
      </c>
      <c r="R24" s="1"/>
      <c r="S24" s="13"/>
      <c r="T24" s="13"/>
      <c r="W24" s="74" t="s">
        <v>58</v>
      </c>
      <c r="X24" s="75">
        <f>SUM(G10:G16)</f>
        <v>72028.35</v>
      </c>
      <c r="Y24" s="2"/>
      <c r="Z24" s="76">
        <f>SUM(O10:O16)</f>
        <v>63149.32</v>
      </c>
      <c r="AB24" s="61"/>
      <c r="AG24" s="57" t="s">
        <v>15</v>
      </c>
      <c r="AH24" s="55"/>
      <c r="AJ24" s="57" t="s">
        <v>15</v>
      </c>
      <c r="AK24" s="55"/>
    </row>
    <row r="25" ht="15.75" customHeight="1">
      <c r="B25" s="44">
        <v>16.0</v>
      </c>
      <c r="C25" s="44" t="s">
        <v>47</v>
      </c>
      <c r="D25" s="52">
        <v>0.31715771230502593</v>
      </c>
      <c r="E25" s="52">
        <f t="shared" si="1"/>
        <v>0.0871740332</v>
      </c>
      <c r="F25" s="62">
        <v>4800.0</v>
      </c>
      <c r="G25" s="55">
        <v>6538.1</v>
      </c>
      <c r="H25" s="51">
        <f t="shared" si="2"/>
        <v>1738.1</v>
      </c>
      <c r="J25" s="44">
        <v>16.0</v>
      </c>
      <c r="K25" s="44" t="s">
        <v>47</v>
      </c>
      <c r="L25" s="52">
        <v>0.2512315270935961</v>
      </c>
      <c r="M25" s="52">
        <f t="shared" si="5"/>
        <v>0.05039958589</v>
      </c>
      <c r="N25" s="55">
        <v>5280.0</v>
      </c>
      <c r="O25" s="55">
        <f>6621.87-521</f>
        <v>6100.87</v>
      </c>
      <c r="P25" s="56">
        <f t="shared" si="4"/>
        <v>820.87</v>
      </c>
      <c r="R25" s="1"/>
      <c r="S25" s="13"/>
      <c r="T25" s="13"/>
      <c r="W25" s="74"/>
      <c r="X25" s="79">
        <f>X24/X22</f>
        <v>0.2400945</v>
      </c>
      <c r="Y25" s="2"/>
      <c r="Z25" s="80">
        <f>Z24/Z22</f>
        <v>0.2296338909</v>
      </c>
      <c r="AG25" s="57" t="s">
        <v>24</v>
      </c>
      <c r="AH25" s="55"/>
      <c r="AJ25" s="57" t="s">
        <v>24</v>
      </c>
      <c r="AK25" s="55"/>
    </row>
    <row r="26" ht="15.75" customHeight="1">
      <c r="B26" s="44">
        <v>17.0</v>
      </c>
      <c r="C26" s="44" t="s">
        <v>48</v>
      </c>
      <c r="D26" s="52">
        <v>0.27902946273830154</v>
      </c>
      <c r="E26" s="52">
        <f t="shared" si="1"/>
        <v>0.1544402111</v>
      </c>
      <c r="F26" s="62">
        <v>11000.0</v>
      </c>
      <c r="G26" s="55">
        <f>12633.1-460-590</f>
        <v>11583.1</v>
      </c>
      <c r="H26" s="51">
        <f t="shared" si="2"/>
        <v>583.1</v>
      </c>
      <c r="J26" s="44">
        <v>17.0</v>
      </c>
      <c r="K26" s="44" t="s">
        <v>48</v>
      </c>
      <c r="L26" s="52">
        <v>0.3382594417077176</v>
      </c>
      <c r="M26" s="52">
        <f t="shared" si="5"/>
        <v>0.05975295153</v>
      </c>
      <c r="N26" s="55">
        <v>8900.0</v>
      </c>
      <c r="O26" s="55">
        <f>10189.49-755</f>
        <v>9434.49</v>
      </c>
      <c r="P26" s="56">
        <f t="shared" si="4"/>
        <v>534.49</v>
      </c>
      <c r="R26" s="1"/>
      <c r="S26" s="13"/>
      <c r="T26" s="13"/>
      <c r="W26" s="74"/>
      <c r="X26" s="81"/>
      <c r="Y26" s="2"/>
      <c r="Z26" s="77"/>
      <c r="AG26" s="57" t="s">
        <v>24</v>
      </c>
      <c r="AH26" s="55"/>
      <c r="AJ26" s="57" t="s">
        <v>24</v>
      </c>
      <c r="AK26" s="55"/>
    </row>
    <row r="27" ht="15.75" customHeight="1">
      <c r="B27" s="44">
        <v>18.0</v>
      </c>
      <c r="C27" s="44" t="s">
        <v>41</v>
      </c>
      <c r="D27" s="52">
        <v>0.05545927209705372</v>
      </c>
      <c r="E27" s="52">
        <f t="shared" si="1"/>
        <v>0.2855213919</v>
      </c>
      <c r="F27" s="62">
        <v>19700.0</v>
      </c>
      <c r="G27" s="55">
        <f>21414.26</f>
        <v>21414.26</v>
      </c>
      <c r="H27" s="51">
        <f t="shared" si="2"/>
        <v>1714.26</v>
      </c>
      <c r="J27" s="44">
        <v>18.0</v>
      </c>
      <c r="K27" s="44" t="s">
        <v>41</v>
      </c>
      <c r="L27" s="52">
        <v>0.05582922824302135</v>
      </c>
      <c r="M27" s="52">
        <f t="shared" si="5"/>
        <v>0.08873356427</v>
      </c>
      <c r="N27" s="55">
        <v>12500.0</v>
      </c>
      <c r="O27" s="55">
        <f>13582-1013</f>
        <v>12569</v>
      </c>
      <c r="P27" s="56">
        <f t="shared" si="4"/>
        <v>69</v>
      </c>
      <c r="R27" s="1"/>
      <c r="S27" s="13"/>
      <c r="T27" s="13"/>
      <c r="W27" s="74" t="s">
        <v>62</v>
      </c>
      <c r="X27" s="75">
        <f>SUM(G17:G23)</f>
        <v>65773.21</v>
      </c>
      <c r="Y27" s="2"/>
      <c r="Z27" s="76">
        <f>SUM(O17:O23)</f>
        <v>57193.55</v>
      </c>
      <c r="AG27" s="57" t="s">
        <v>24</v>
      </c>
      <c r="AH27" s="60"/>
      <c r="AI27" s="64"/>
      <c r="AJ27" s="57" t="s">
        <v>24</v>
      </c>
      <c r="AK27" s="60"/>
      <c r="AL27" s="66"/>
    </row>
    <row r="28" ht="15.75" customHeight="1">
      <c r="B28" s="44">
        <v>19.0</v>
      </c>
      <c r="C28" s="44" t="s">
        <v>44</v>
      </c>
      <c r="D28" s="52">
        <v>0.06932409012131714</v>
      </c>
      <c r="E28" s="52">
        <f t="shared" si="1"/>
        <v>0.1908566131</v>
      </c>
      <c r="F28" s="62">
        <v>19400.0</v>
      </c>
      <c r="G28" s="55">
        <v>14314.35</v>
      </c>
      <c r="H28" s="51">
        <f t="shared" si="2"/>
        <v>-5085.65</v>
      </c>
      <c r="J28" s="44">
        <v>19.0</v>
      </c>
      <c r="K28" s="44" t="s">
        <v>44</v>
      </c>
      <c r="L28" s="52">
        <v>0.07060755336617405</v>
      </c>
      <c r="M28" s="52">
        <f t="shared" si="5"/>
        <v>0.1372191056</v>
      </c>
      <c r="N28" s="55">
        <v>21200.0</v>
      </c>
      <c r="O28" s="55">
        <f>20269.7-1468</f>
        <v>18801.7</v>
      </c>
      <c r="P28" s="56">
        <f t="shared" si="4"/>
        <v>-2398.3</v>
      </c>
      <c r="W28" s="74"/>
      <c r="X28" s="79">
        <f>X27/X22</f>
        <v>0.2192440333</v>
      </c>
      <c r="Y28" s="2"/>
      <c r="Z28" s="80">
        <f>Z27/Z22</f>
        <v>0.2079765455</v>
      </c>
      <c r="AG28" s="57" t="s">
        <v>17</v>
      </c>
      <c r="AH28" s="55"/>
      <c r="AJ28" s="57" t="s">
        <v>17</v>
      </c>
      <c r="AK28" s="55"/>
    </row>
    <row r="29" ht="15.75" customHeight="1">
      <c r="B29" s="44">
        <v>20.0</v>
      </c>
      <c r="C29" s="44" t="s">
        <v>45</v>
      </c>
      <c r="D29" s="52">
        <v>0.097053726169844</v>
      </c>
      <c r="E29" s="52">
        <f t="shared" si="1"/>
        <v>0.03893638373</v>
      </c>
      <c r="F29" s="62">
        <v>3800.0</v>
      </c>
      <c r="G29" s="55">
        <f>2920.25</f>
        <v>2920.25</v>
      </c>
      <c r="H29" s="51">
        <f t="shared" si="2"/>
        <v>-879.75</v>
      </c>
      <c r="J29" s="44">
        <v>20.0</v>
      </c>
      <c r="K29" s="44" t="s">
        <v>45</v>
      </c>
      <c r="L29" s="52">
        <v>0.05911330049261084</v>
      </c>
      <c r="M29" s="52">
        <f t="shared" si="5"/>
        <v>0.1828087091</v>
      </c>
      <c r="N29" s="55">
        <v>3000.0</v>
      </c>
      <c r="O29" s="55">
        <f>3195.79-252</f>
        <v>2943.79</v>
      </c>
      <c r="P29" s="56">
        <f t="shared" si="4"/>
        <v>-56.21</v>
      </c>
      <c r="W29" s="74"/>
      <c r="X29" s="81"/>
      <c r="Y29" s="2"/>
      <c r="Z29" s="77"/>
      <c r="AG29" s="57" t="s">
        <v>17</v>
      </c>
      <c r="AH29" s="55"/>
      <c r="AJ29" s="57" t="s">
        <v>17</v>
      </c>
      <c r="AK29" s="55"/>
    </row>
    <row r="30" ht="15.75" customHeight="1">
      <c r="B30" s="44">
        <v>21.0</v>
      </c>
      <c r="C30" s="44" t="s">
        <v>46</v>
      </c>
      <c r="D30" s="52">
        <v>0.05892547660311957</v>
      </c>
      <c r="E30" s="52">
        <f t="shared" si="1"/>
        <v>0.06262954489</v>
      </c>
      <c r="F30" s="62">
        <v>3700.0</v>
      </c>
      <c r="G30" s="55">
        <f>4697.25</f>
        <v>4697.25</v>
      </c>
      <c r="H30" s="51">
        <f t="shared" si="2"/>
        <v>997.25</v>
      </c>
      <c r="J30" s="44">
        <v>21.0</v>
      </c>
      <c r="K30" s="44" t="s">
        <v>46</v>
      </c>
      <c r="L30" s="52">
        <v>0.08</v>
      </c>
      <c r="M30" s="52">
        <f t="shared" si="5"/>
        <v>0.2734596632</v>
      </c>
      <c r="N30" s="55">
        <v>5700.0</v>
      </c>
      <c r="O30" s="55">
        <f>4726.58-279</f>
        <v>4447.58</v>
      </c>
      <c r="P30" s="56">
        <f t="shared" si="4"/>
        <v>-1252.42</v>
      </c>
      <c r="W30" s="74" t="s">
        <v>63</v>
      </c>
      <c r="X30" s="75">
        <f>SUM(G24:G30)</f>
        <v>68766.46</v>
      </c>
      <c r="Y30" s="2"/>
      <c r="Z30" s="76">
        <f>SUM(O24:O30)</f>
        <v>58405.74</v>
      </c>
      <c r="AG30" s="57" t="s">
        <v>26</v>
      </c>
      <c r="AH30" s="55"/>
      <c r="AJ30" s="57" t="s">
        <v>26</v>
      </c>
      <c r="AK30" s="55"/>
    </row>
    <row r="31" ht="15.75" customHeight="1">
      <c r="B31" s="44">
        <v>22.0</v>
      </c>
      <c r="C31" s="44" t="s">
        <v>40</v>
      </c>
      <c r="D31" s="52">
        <v>0.12305025996533793</v>
      </c>
      <c r="E31" s="52">
        <f t="shared" si="1"/>
        <v>0.1390883226</v>
      </c>
      <c r="F31" s="62">
        <v>4700.0</v>
      </c>
      <c r="G31" s="55">
        <f>10266.2+165.5</f>
        <v>10431.7</v>
      </c>
      <c r="H31" s="51">
        <f t="shared" si="2"/>
        <v>5731.7</v>
      </c>
      <c r="J31" s="44">
        <v>22.0</v>
      </c>
      <c r="K31" s="44" t="s">
        <v>40</v>
      </c>
      <c r="L31" s="52">
        <v>0.14942528735632182</v>
      </c>
      <c r="M31" s="52">
        <f t="shared" si="5"/>
        <v>0.04281569336</v>
      </c>
      <c r="N31" s="55">
        <v>4690.0</v>
      </c>
      <c r="O31" s="55">
        <f>3031.83+106.3+2466.19-428</f>
        <v>5176.32</v>
      </c>
      <c r="P31" s="56">
        <f t="shared" si="4"/>
        <v>486.32</v>
      </c>
      <c r="W31" s="74"/>
      <c r="X31" s="79">
        <f>X30/X22</f>
        <v>0.2292215333</v>
      </c>
      <c r="Y31" s="2"/>
      <c r="Z31" s="80">
        <f>Z30/Z22</f>
        <v>0.2123845091</v>
      </c>
      <c r="AG31" s="57" t="s">
        <v>26</v>
      </c>
      <c r="AH31" s="55"/>
      <c r="AJ31" s="57" t="s">
        <v>26</v>
      </c>
      <c r="AK31" s="55"/>
    </row>
    <row r="32" ht="15.75" customHeight="1">
      <c r="B32" s="44">
        <v>23.0</v>
      </c>
      <c r="C32" s="44" t="s">
        <v>47</v>
      </c>
      <c r="D32" s="52">
        <v>0.31715771230502593</v>
      </c>
      <c r="E32" s="52">
        <f t="shared" si="1"/>
        <v>0.07397012915</v>
      </c>
      <c r="F32" s="62">
        <v>4800.0</v>
      </c>
      <c r="G32" s="55">
        <f>5547.8</f>
        <v>5547.8</v>
      </c>
      <c r="H32" s="51">
        <f t="shared" si="2"/>
        <v>747.8</v>
      </c>
      <c r="J32" s="44">
        <v>23.0</v>
      </c>
      <c r="K32" s="44" t="s">
        <v>47</v>
      </c>
      <c r="L32" s="52">
        <v>0.2512315270935961</v>
      </c>
      <c r="M32" s="52">
        <f t="shared" si="5"/>
        <v>0.06468743405</v>
      </c>
      <c r="N32" s="55">
        <v>5280.0</v>
      </c>
      <c r="O32" s="55">
        <f>2186.16+3570.23-402</f>
        <v>5354.39</v>
      </c>
      <c r="P32" s="56">
        <f t="shared" si="4"/>
        <v>74.39</v>
      </c>
      <c r="W32" s="74"/>
      <c r="Z32" s="82"/>
      <c r="AG32" s="57" t="s">
        <v>26</v>
      </c>
      <c r="AH32" s="55"/>
      <c r="AJ32" s="57" t="s">
        <v>26</v>
      </c>
      <c r="AK32" s="55"/>
    </row>
    <row r="33" ht="15.75" customHeight="1">
      <c r="B33" s="44">
        <v>24.0</v>
      </c>
      <c r="C33" s="44" t="s">
        <v>48</v>
      </c>
      <c r="D33" s="52">
        <v>0.27902946273830154</v>
      </c>
      <c r="E33" s="52">
        <f t="shared" si="1"/>
        <v>0.1974358986</v>
      </c>
      <c r="F33" s="62">
        <v>11000.0</v>
      </c>
      <c r="G33" s="55">
        <f>15107.8-300</f>
        <v>14807.8</v>
      </c>
      <c r="H33" s="51">
        <f t="shared" si="2"/>
        <v>3807.8</v>
      </c>
      <c r="J33" s="44">
        <v>24.0</v>
      </c>
      <c r="K33" s="44" t="s">
        <v>48</v>
      </c>
      <c r="L33" s="52">
        <v>0.3382594417077176</v>
      </c>
      <c r="M33" s="52">
        <f t="shared" si="5"/>
        <v>0.07528652854</v>
      </c>
      <c r="N33" s="55">
        <v>8900.0</v>
      </c>
      <c r="O33" s="55">
        <f>6009.45+6451.43-772-12</f>
        <v>11676.88</v>
      </c>
      <c r="P33" s="56">
        <f t="shared" si="4"/>
        <v>2776.88</v>
      </c>
      <c r="T33" s="61"/>
      <c r="W33" s="74" t="s">
        <v>64</v>
      </c>
      <c r="X33" s="61">
        <f>SUM(G31:G37)</f>
        <v>69651.2</v>
      </c>
      <c r="Z33" s="83">
        <f>SUM(O31:O37)</f>
        <v>60914.64</v>
      </c>
      <c r="AB33" s="58">
        <v>12110.04</v>
      </c>
      <c r="AG33" s="57" t="s">
        <v>27</v>
      </c>
      <c r="AH33" s="55"/>
      <c r="AJ33" s="57" t="s">
        <v>27</v>
      </c>
      <c r="AK33" s="55"/>
    </row>
    <row r="34" ht="15.75" customHeight="1">
      <c r="B34" s="44">
        <v>25.0</v>
      </c>
      <c r="C34" s="44" t="s">
        <v>41</v>
      </c>
      <c r="D34" s="52">
        <v>0.05545927209705372</v>
      </c>
      <c r="E34" s="52">
        <f t="shared" si="1"/>
        <v>0.1867339764</v>
      </c>
      <c r="F34" s="62">
        <v>19700.0</v>
      </c>
      <c r="G34" s="55">
        <f>14005.15</f>
        <v>14005.15</v>
      </c>
      <c r="H34" s="51">
        <f t="shared" si="2"/>
        <v>-5694.85</v>
      </c>
      <c r="J34" s="44">
        <v>25.0</v>
      </c>
      <c r="K34" s="44" t="s">
        <v>41</v>
      </c>
      <c r="L34" s="52">
        <v>0.05582922824302135</v>
      </c>
      <c r="M34" s="52">
        <f t="shared" si="5"/>
        <v>0.07787645191</v>
      </c>
      <c r="N34" s="55">
        <v>12500.0</v>
      </c>
      <c r="O34" s="55">
        <f>14609.8-989</f>
        <v>13620.8</v>
      </c>
      <c r="P34" s="56">
        <f t="shared" si="4"/>
        <v>1120.8</v>
      </c>
      <c r="W34" s="74"/>
      <c r="X34" s="79">
        <f>X33/X22</f>
        <v>0.2321706667</v>
      </c>
      <c r="Y34" s="2"/>
      <c r="Z34" s="80">
        <f>Z33/Z22</f>
        <v>0.2215077818</v>
      </c>
      <c r="AG34" s="57" t="s">
        <v>27</v>
      </c>
      <c r="AH34" s="55"/>
      <c r="AJ34" s="57" t="s">
        <v>27</v>
      </c>
      <c r="AK34" s="55"/>
    </row>
    <row r="35" ht="15.75" customHeight="1">
      <c r="B35" s="44">
        <v>26.0</v>
      </c>
      <c r="C35" s="44" t="s">
        <v>44</v>
      </c>
      <c r="D35" s="52">
        <v>0.06932409012131714</v>
      </c>
      <c r="E35" s="52">
        <f t="shared" si="1"/>
        <v>0.2600081106</v>
      </c>
      <c r="F35" s="62">
        <v>19400.0</v>
      </c>
      <c r="G35" s="55">
        <f>19500.75</f>
        <v>19500.75</v>
      </c>
      <c r="H35" s="51">
        <f t="shared" si="2"/>
        <v>100.75</v>
      </c>
      <c r="J35" s="44">
        <v>26.0</v>
      </c>
      <c r="K35" s="44" t="s">
        <v>44</v>
      </c>
      <c r="L35" s="52">
        <v>0.07060755336617405</v>
      </c>
      <c r="M35" s="52">
        <f t="shared" si="5"/>
        <v>0.1698333487</v>
      </c>
      <c r="N35" s="55">
        <v>21200.0</v>
      </c>
      <c r="O35" s="55">
        <f>20137.43-1498</f>
        <v>18639.43</v>
      </c>
      <c r="P35" s="56">
        <f t="shared" si="4"/>
        <v>-2560.57</v>
      </c>
      <c r="W35" s="74"/>
      <c r="Z35" s="82"/>
      <c r="AB35" s="61">
        <f>Z41-AB33</f>
        <v>-8260.95</v>
      </c>
      <c r="AG35" s="57" t="s">
        <v>27</v>
      </c>
      <c r="AH35" s="55"/>
      <c r="AJ35" s="57" t="s">
        <v>27</v>
      </c>
      <c r="AK35" s="55"/>
    </row>
    <row r="36" ht="15.75" customHeight="1">
      <c r="B36" s="44">
        <v>27.0</v>
      </c>
      <c r="C36" s="44" t="s">
        <v>45</v>
      </c>
      <c r="D36" s="52">
        <v>0.09705372616984399</v>
      </c>
      <c r="E36" s="52">
        <f t="shared" si="1"/>
        <v>0.02923312091</v>
      </c>
      <c r="F36" s="62">
        <v>3800.0</v>
      </c>
      <c r="G36" s="55">
        <f>2192.5</f>
        <v>2192.5</v>
      </c>
      <c r="H36" s="51">
        <f t="shared" si="2"/>
        <v>-1607.5</v>
      </c>
      <c r="J36" s="44">
        <v>27.0</v>
      </c>
      <c r="K36" s="44" t="s">
        <v>45</v>
      </c>
      <c r="L36" s="52">
        <v>0.05911330049261084</v>
      </c>
      <c r="M36" s="52">
        <f t="shared" si="5"/>
        <v>0.1981065212</v>
      </c>
      <c r="N36" s="55">
        <v>3000.0</v>
      </c>
      <c r="O36" s="55">
        <f>2069.17-124</f>
        <v>1945.17</v>
      </c>
      <c r="P36" s="56">
        <f t="shared" si="4"/>
        <v>-1054.83</v>
      </c>
      <c r="W36" s="74" t="s">
        <v>65</v>
      </c>
      <c r="X36" s="61">
        <f>SUM(G38:G40)</f>
        <v>42440.05</v>
      </c>
      <c r="Z36" s="83">
        <f>SUM(O38:O40)</f>
        <v>31487.66</v>
      </c>
      <c r="AG36" s="57" t="s">
        <v>27</v>
      </c>
      <c r="AH36" s="55"/>
      <c r="AJ36" s="57" t="s">
        <v>27</v>
      </c>
      <c r="AK36" s="55"/>
    </row>
    <row r="37" ht="15.75" customHeight="1">
      <c r="B37" s="44">
        <v>28.0</v>
      </c>
      <c r="C37" s="44" t="s">
        <v>46</v>
      </c>
      <c r="D37" s="52">
        <v>0.05892547660311957</v>
      </c>
      <c r="E37" s="52">
        <f t="shared" si="1"/>
        <v>0.04220635997</v>
      </c>
      <c r="F37" s="62">
        <v>3700.0</v>
      </c>
      <c r="G37" s="55">
        <f>3165.5</f>
        <v>3165.5</v>
      </c>
      <c r="H37" s="51">
        <f t="shared" si="2"/>
        <v>-534.5</v>
      </c>
      <c r="J37" s="44">
        <v>28.0</v>
      </c>
      <c r="K37" s="44" t="s">
        <v>46</v>
      </c>
      <c r="L37" s="52">
        <v>0.08</v>
      </c>
      <c r="M37" s="52">
        <f t="shared" si="5"/>
        <v>0.2710995415</v>
      </c>
      <c r="N37" s="55">
        <v>5700.0</v>
      </c>
      <c r="O37" s="55">
        <f>2716.54+1983.11-198</f>
        <v>4501.65</v>
      </c>
      <c r="P37" s="56">
        <f t="shared" si="4"/>
        <v>-1198.35</v>
      </c>
      <c r="W37" s="84" t="s">
        <v>82</v>
      </c>
      <c r="X37" s="85">
        <f>X36/X22</f>
        <v>0.1414668333</v>
      </c>
      <c r="Y37" s="135"/>
      <c r="Z37" s="87">
        <f>Z36/Z22</f>
        <v>0.1145005818</v>
      </c>
      <c r="AG37" s="57" t="s">
        <v>20</v>
      </c>
      <c r="AH37" s="55"/>
      <c r="AJ37" s="57" t="s">
        <v>20</v>
      </c>
      <c r="AK37" s="55"/>
    </row>
    <row r="38" ht="15.75" customHeight="1">
      <c r="B38" s="44">
        <v>29.0</v>
      </c>
      <c r="C38" s="47" t="s">
        <v>40</v>
      </c>
      <c r="D38" s="52">
        <v>0.12305025996533793</v>
      </c>
      <c r="E38" s="52">
        <f t="shared" si="1"/>
        <v>0.1357790133</v>
      </c>
      <c r="F38" s="62">
        <v>5982.26</v>
      </c>
      <c r="G38" s="55">
        <f>10183.5</f>
        <v>10183.5</v>
      </c>
      <c r="H38" s="51">
        <f t="shared" si="2"/>
        <v>4201.24</v>
      </c>
      <c r="J38" s="44">
        <v>29.0</v>
      </c>
      <c r="K38" s="47" t="s">
        <v>40</v>
      </c>
      <c r="L38" s="52">
        <v>0.14942528735632182</v>
      </c>
      <c r="M38" s="52">
        <f t="shared" ref="M38:M40" si="6">O38/$P$5</f>
        <v>0.1486959553</v>
      </c>
      <c r="N38" s="55">
        <v>5895.86</v>
      </c>
      <c r="O38" s="55">
        <f>4961.42+5803.16-541</f>
        <v>10223.58</v>
      </c>
      <c r="P38" s="56">
        <f t="shared" si="4"/>
        <v>4327.72</v>
      </c>
      <c r="AB38" s="61">
        <f>Z41-1078</f>
        <v>2771.09</v>
      </c>
      <c r="AG38" s="57" t="s">
        <v>20</v>
      </c>
      <c r="AH38" s="55"/>
      <c r="AJ38" s="57" t="s">
        <v>20</v>
      </c>
      <c r="AK38" s="55"/>
    </row>
    <row r="39" ht="15.75" customHeight="1">
      <c r="B39" s="44">
        <v>30.0</v>
      </c>
      <c r="C39" s="47" t="s">
        <v>47</v>
      </c>
      <c r="D39" s="52">
        <v>0.31715771230502593</v>
      </c>
      <c r="E39" s="52">
        <f t="shared" si="1"/>
        <v>0.2112271317</v>
      </c>
      <c r="F39" s="53">
        <v>7493.72</v>
      </c>
      <c r="G39" s="55">
        <f>15842.15</f>
        <v>15842.15</v>
      </c>
      <c r="H39" s="51">
        <f t="shared" si="2"/>
        <v>8348.43</v>
      </c>
      <c r="J39" s="44">
        <v>30.0</v>
      </c>
      <c r="K39" s="47" t="s">
        <v>47</v>
      </c>
      <c r="L39" s="52">
        <v>0.2512315270935961</v>
      </c>
      <c r="M39" s="52">
        <f t="shared" si="6"/>
        <v>0.1577651232</v>
      </c>
      <c r="N39" s="60">
        <v>8463.47</v>
      </c>
      <c r="O39" s="55">
        <f>6613.8+5051.33-818</f>
        <v>10847.13</v>
      </c>
      <c r="P39" s="56">
        <f t="shared" si="4"/>
        <v>2383.66</v>
      </c>
      <c r="W39" s="93" t="s">
        <v>73</v>
      </c>
      <c r="X39" s="94">
        <f>X24+X27+X30+X33+X36</f>
        <v>318659.27</v>
      </c>
      <c r="Y39" s="95" t="s">
        <v>74</v>
      </c>
      <c r="Z39" s="96">
        <f>Z24+Z27+Z30+Z33+Z36</f>
        <v>271150.91</v>
      </c>
      <c r="AC39" s="64"/>
      <c r="AG39" s="57" t="s">
        <v>20</v>
      </c>
      <c r="AH39" s="55"/>
      <c r="AJ39" s="57" t="s">
        <v>20</v>
      </c>
      <c r="AK39" s="55"/>
    </row>
    <row r="40" ht="15.75" customHeight="1">
      <c r="B40" s="44">
        <v>31.0</v>
      </c>
      <c r="C40" s="47" t="s">
        <v>48</v>
      </c>
      <c r="D40" s="52">
        <v>0.31715771230502593</v>
      </c>
      <c r="E40" s="52">
        <f t="shared" si="1"/>
        <v>0.2188570763</v>
      </c>
      <c r="F40" s="62">
        <v>11000.0</v>
      </c>
      <c r="G40" s="55">
        <f>16664.4-250</f>
        <v>16414.4</v>
      </c>
      <c r="H40" s="51"/>
      <c r="J40" s="44">
        <v>31.0</v>
      </c>
      <c r="K40" s="47" t="s">
        <v>48</v>
      </c>
      <c r="L40" s="52">
        <v>0.2512315270935961</v>
      </c>
      <c r="M40" s="52">
        <f t="shared" si="6"/>
        <v>0.1515084082</v>
      </c>
      <c r="N40" s="55">
        <v>8900.0</v>
      </c>
      <c r="O40" s="55">
        <f>11249.95-833</f>
        <v>10416.95</v>
      </c>
      <c r="P40" s="56">
        <f t="shared" si="4"/>
        <v>1516.95</v>
      </c>
      <c r="W40" s="98"/>
      <c r="X40" s="99">
        <f>X39/X22</f>
        <v>1.062197567</v>
      </c>
      <c r="Y40" s="64">
        <f>27/31</f>
        <v>0.8709677419</v>
      </c>
      <c r="Z40" s="100">
        <f>Z39/Z22</f>
        <v>0.9860033091</v>
      </c>
      <c r="AG40" s="57" t="s">
        <v>20</v>
      </c>
      <c r="AH40" s="55"/>
      <c r="AJ40" s="57" t="s">
        <v>20</v>
      </c>
      <c r="AK40" s="55"/>
    </row>
    <row r="41" ht="15.75" customHeight="1">
      <c r="B41" s="8"/>
      <c r="C41" s="8"/>
      <c r="D41" s="101" t="s">
        <v>75</v>
      </c>
      <c r="E41" s="18"/>
      <c r="F41" s="107">
        <f t="shared" ref="F41:H41" si="7">SUM(F10:F40)</f>
        <v>300002.18</v>
      </c>
      <c r="G41" s="103">
        <f t="shared" si="7"/>
        <v>318659.27</v>
      </c>
      <c r="H41" s="105">
        <f t="shared" si="7"/>
        <v>13242.69</v>
      </c>
      <c r="J41" s="8"/>
      <c r="K41" s="8"/>
      <c r="L41" s="101" t="s">
        <v>75</v>
      </c>
      <c r="M41" s="18"/>
      <c r="N41" s="107">
        <f t="shared" ref="N41:P41" si="8">SUM(N10:N40)</f>
        <v>275019.72</v>
      </c>
      <c r="O41" s="109">
        <f t="shared" si="8"/>
        <v>271150.91</v>
      </c>
      <c r="P41" s="105">
        <f t="shared" si="8"/>
        <v>-3868.81</v>
      </c>
      <c r="Q41" s="61"/>
      <c r="W41" s="98" t="s">
        <v>76</v>
      </c>
      <c r="X41" s="104">
        <f>X22-X39</f>
        <v>-18659.27</v>
      </c>
      <c r="Y41" s="99"/>
      <c r="Z41" s="106">
        <f>Z22-Z39</f>
        <v>3849.09</v>
      </c>
      <c r="AH41" s="111">
        <f>SUM(AH10:AH40)</f>
        <v>0</v>
      </c>
      <c r="AK41" s="111">
        <f>SUM(AK10:AK40)</f>
        <v>0</v>
      </c>
    </row>
    <row r="42" ht="15.75" customHeight="1">
      <c r="B42" s="8"/>
      <c r="C42" s="13"/>
      <c r="D42" s="8"/>
      <c r="E42" s="8"/>
      <c r="F42" s="1"/>
      <c r="G42" s="114">
        <f>G41/C45</f>
        <v>1.062197567</v>
      </c>
      <c r="H42" s="1"/>
      <c r="L42" s="2"/>
      <c r="M42" s="2"/>
      <c r="O42" s="64">
        <f>O41/K45</f>
        <v>0.9860033091</v>
      </c>
      <c r="W42" s="110"/>
      <c r="X42" s="112">
        <f>X41/X22</f>
        <v>-0.06219756667</v>
      </c>
      <c r="Y42" s="112"/>
      <c r="Z42" s="113">
        <f>Z41/Z22</f>
        <v>0.01399669091</v>
      </c>
    </row>
    <row r="43" ht="15.75" customHeight="1">
      <c r="B43" s="2"/>
      <c r="C43" s="2"/>
      <c r="D43" s="2"/>
      <c r="E43" s="2"/>
      <c r="L43" s="2"/>
      <c r="M43" s="2"/>
    </row>
    <row r="44" ht="15.75" customHeight="1">
      <c r="B44" s="2"/>
      <c r="C44" s="2"/>
      <c r="D44" s="2"/>
      <c r="E44" s="2"/>
      <c r="F44" s="115" t="s">
        <v>77</v>
      </c>
      <c r="G44" s="118">
        <f>F41+H41</f>
        <v>313244.87</v>
      </c>
      <c r="L44" s="2"/>
      <c r="M44" s="2"/>
      <c r="N44" s="115" t="s">
        <v>77</v>
      </c>
      <c r="O44" s="118">
        <f>N41+P41</f>
        <v>271150.91</v>
      </c>
      <c r="T44" s="121"/>
      <c r="AG44" s="125" t="s">
        <v>29</v>
      </c>
      <c r="AH44" s="128" t="s">
        <v>79</v>
      </c>
      <c r="AI44" s="125"/>
      <c r="AJ44" s="125"/>
      <c r="AK44" s="128" t="s">
        <v>80</v>
      </c>
    </row>
    <row r="45" ht="15.75" customHeight="1">
      <c r="B45" s="122" t="s">
        <v>29</v>
      </c>
      <c r="C45" s="124">
        <v>300000.0</v>
      </c>
      <c r="D45" s="2"/>
      <c r="E45" s="2"/>
      <c r="J45" s="126" t="s">
        <v>29</v>
      </c>
      <c r="K45" s="124">
        <v>275000.0</v>
      </c>
      <c r="L45" s="2"/>
      <c r="M45" s="2"/>
    </row>
    <row r="46" ht="15.75" customHeight="1">
      <c r="B46" s="2"/>
      <c r="C46" s="2"/>
      <c r="D46" s="2"/>
      <c r="E46" s="2"/>
      <c r="L46" s="2"/>
      <c r="M46" s="2"/>
    </row>
    <row r="47" ht="15.75" customHeight="1">
      <c r="B47" s="2"/>
      <c r="C47" s="2"/>
      <c r="D47" s="2"/>
      <c r="E47" s="2"/>
      <c r="L47" s="2"/>
      <c r="M47" s="2"/>
    </row>
    <row r="48" ht="15.75" customHeight="1">
      <c r="B48" s="2"/>
      <c r="C48" s="2"/>
      <c r="D48" s="2"/>
      <c r="E48" s="2"/>
      <c r="L48" s="2"/>
      <c r="M48" s="2"/>
    </row>
    <row r="49" ht="15.75" customHeight="1">
      <c r="B49" s="2"/>
      <c r="C49" s="2"/>
      <c r="D49" s="2"/>
      <c r="E49" s="2"/>
      <c r="L49" s="2"/>
      <c r="M49" s="2"/>
    </row>
    <row r="50" ht="15.75" customHeight="1">
      <c r="B50" s="2"/>
      <c r="C50" s="2"/>
      <c r="D50" s="2"/>
      <c r="E50" s="2"/>
      <c r="L50" s="2"/>
      <c r="M50" s="2"/>
    </row>
    <row r="51" ht="15.75" customHeight="1">
      <c r="B51" s="2"/>
      <c r="C51" s="2"/>
      <c r="D51" s="2"/>
      <c r="E51" s="2"/>
      <c r="L51" s="2"/>
      <c r="M51" s="2"/>
    </row>
    <row r="52" ht="15.75" customHeight="1">
      <c r="B52" s="2"/>
      <c r="C52" s="2"/>
      <c r="D52" s="2"/>
      <c r="E52" s="2"/>
      <c r="L52" s="2"/>
      <c r="M52" s="2"/>
    </row>
    <row r="53" ht="15.75" customHeight="1">
      <c r="B53" s="2"/>
      <c r="C53" s="2"/>
      <c r="D53" s="2"/>
      <c r="E53" s="2"/>
      <c r="L53" s="2"/>
      <c r="M53" s="2"/>
    </row>
    <row r="54" ht="15.75" customHeight="1">
      <c r="B54" s="2"/>
      <c r="C54" s="2"/>
      <c r="D54" s="2"/>
      <c r="E54" s="2"/>
      <c r="L54" s="2"/>
      <c r="M54" s="2"/>
    </row>
    <row r="55" ht="15.75" customHeight="1">
      <c r="B55" s="2"/>
      <c r="C55" s="2"/>
      <c r="D55" s="2"/>
      <c r="E55" s="2"/>
      <c r="L55" s="2"/>
      <c r="M55" s="2"/>
    </row>
    <row r="56" ht="15.75" customHeight="1">
      <c r="B56" s="2"/>
      <c r="C56" s="2"/>
      <c r="D56" s="2"/>
      <c r="E56" s="2"/>
      <c r="L56" s="2"/>
      <c r="M56" s="2"/>
    </row>
    <row r="57" ht="15.75" customHeight="1">
      <c r="B57" s="2"/>
      <c r="C57" s="2"/>
      <c r="D57" s="2"/>
      <c r="E57" s="2"/>
      <c r="L57" s="2"/>
      <c r="M57" s="2"/>
    </row>
    <row r="58" ht="15.75" customHeight="1">
      <c r="B58" s="2"/>
      <c r="C58" s="2"/>
      <c r="D58" s="2"/>
      <c r="E58" s="2"/>
      <c r="L58" s="2"/>
      <c r="M58" s="2"/>
    </row>
    <row r="59" ht="15.75" customHeight="1">
      <c r="B59" s="2"/>
      <c r="C59" s="2"/>
      <c r="D59" s="2"/>
      <c r="E59" s="2"/>
      <c r="L59" s="2"/>
      <c r="M59" s="2"/>
    </row>
    <row r="60" ht="15.75" customHeight="1">
      <c r="B60" s="2"/>
      <c r="C60" s="2"/>
      <c r="D60" s="2"/>
      <c r="E60" s="2"/>
      <c r="L60" s="2"/>
      <c r="M60" s="2"/>
    </row>
    <row r="61" ht="15.75" customHeight="1">
      <c r="B61" s="2"/>
      <c r="C61" s="2"/>
      <c r="D61" s="2"/>
      <c r="E61" s="2"/>
      <c r="L61" s="2"/>
      <c r="M61" s="2"/>
    </row>
    <row r="62" ht="15.75" customHeight="1">
      <c r="B62" s="2"/>
      <c r="C62" s="2"/>
      <c r="D62" s="2"/>
      <c r="E62" s="2"/>
      <c r="L62" s="2"/>
      <c r="M62" s="2"/>
    </row>
    <row r="63" ht="15.75" customHeight="1">
      <c r="B63" s="2"/>
      <c r="C63" s="2"/>
      <c r="D63" s="2"/>
      <c r="E63" s="2"/>
      <c r="L63" s="2"/>
      <c r="M63" s="2"/>
    </row>
    <row r="64" ht="15.75" customHeight="1">
      <c r="B64" s="2"/>
      <c r="C64" s="2"/>
      <c r="D64" s="2"/>
      <c r="E64" s="2"/>
      <c r="L64" s="2"/>
      <c r="M64" s="2"/>
    </row>
    <row r="65" ht="15.75" customHeight="1">
      <c r="B65" s="2"/>
      <c r="C65" s="2"/>
      <c r="D65" s="2"/>
      <c r="E65" s="2"/>
      <c r="L65" s="2"/>
      <c r="M65" s="2"/>
    </row>
    <row r="66" ht="15.75" customHeight="1">
      <c r="B66" s="2"/>
      <c r="C66" s="2"/>
      <c r="D66" s="2"/>
      <c r="E66" s="2"/>
      <c r="L66" s="2"/>
      <c r="M66" s="2"/>
    </row>
    <row r="67" ht="15.75" customHeight="1">
      <c r="B67" s="2"/>
      <c r="C67" s="2"/>
      <c r="D67" s="2"/>
      <c r="E67" s="2"/>
      <c r="L67" s="2"/>
      <c r="M67" s="2"/>
    </row>
    <row r="68" ht="15.75" customHeight="1">
      <c r="B68" s="2"/>
      <c r="C68" s="2"/>
      <c r="D68" s="2"/>
      <c r="E68" s="2"/>
      <c r="L68" s="2"/>
      <c r="M68" s="2"/>
    </row>
    <row r="69" ht="15.75" customHeight="1">
      <c r="B69" s="2"/>
      <c r="C69" s="2"/>
      <c r="D69" s="2"/>
      <c r="E69" s="2"/>
      <c r="L69" s="2"/>
      <c r="M69" s="2"/>
    </row>
    <row r="70" ht="15.75" customHeight="1">
      <c r="B70" s="2"/>
      <c r="C70" s="2"/>
      <c r="D70" s="2"/>
      <c r="E70" s="2"/>
      <c r="L70" s="2"/>
      <c r="M70" s="2"/>
    </row>
    <row r="71" ht="15.75" customHeight="1">
      <c r="B71" s="2"/>
      <c r="C71" s="2"/>
      <c r="D71" s="2"/>
      <c r="E71" s="2"/>
      <c r="L71" s="2"/>
      <c r="M71" s="2"/>
    </row>
    <row r="72" ht="15.75" customHeight="1">
      <c r="B72" s="2"/>
      <c r="C72" s="2"/>
      <c r="D72" s="2"/>
      <c r="E72" s="2"/>
      <c r="L72" s="2"/>
      <c r="M72" s="2"/>
    </row>
    <row r="73" ht="15.75" customHeight="1">
      <c r="B73" s="2"/>
      <c r="C73" s="2"/>
      <c r="D73" s="2"/>
      <c r="E73" s="2"/>
      <c r="L73" s="2"/>
      <c r="M73" s="2"/>
    </row>
    <row r="74" ht="15.75" customHeight="1">
      <c r="B74" s="2"/>
      <c r="C74" s="2"/>
      <c r="D74" s="2"/>
      <c r="E74" s="2"/>
      <c r="L74" s="2"/>
      <c r="M74" s="2"/>
    </row>
    <row r="75" ht="15.75" customHeight="1">
      <c r="B75" s="2"/>
      <c r="C75" s="2"/>
      <c r="D75" s="2"/>
      <c r="E75" s="2"/>
      <c r="L75" s="2"/>
      <c r="M75" s="2"/>
    </row>
    <row r="76" ht="15.75" customHeight="1">
      <c r="B76" s="2"/>
      <c r="C76" s="2"/>
      <c r="D76" s="2"/>
      <c r="E76" s="2"/>
      <c r="L76" s="2"/>
      <c r="M76" s="2"/>
    </row>
    <row r="77" ht="15.75" customHeight="1">
      <c r="B77" s="2"/>
      <c r="C77" s="2"/>
      <c r="D77" s="2"/>
      <c r="E77" s="2"/>
      <c r="L77" s="2"/>
      <c r="M77" s="2"/>
    </row>
    <row r="78" ht="15.75" customHeight="1">
      <c r="B78" s="2"/>
      <c r="C78" s="2"/>
      <c r="D78" s="2"/>
      <c r="E78" s="2"/>
      <c r="L78" s="2"/>
      <c r="M78" s="2"/>
    </row>
    <row r="79" ht="15.75" customHeight="1">
      <c r="B79" s="2"/>
      <c r="C79" s="2"/>
      <c r="D79" s="2"/>
      <c r="E79" s="2"/>
      <c r="L79" s="2"/>
      <c r="M79" s="2"/>
    </row>
    <row r="80" ht="15.75" customHeight="1">
      <c r="B80" s="2"/>
      <c r="C80" s="2"/>
      <c r="D80" s="2"/>
      <c r="E80" s="2"/>
      <c r="L80" s="2"/>
      <c r="M80" s="2"/>
    </row>
    <row r="81" ht="15.75" customHeight="1">
      <c r="B81" s="2"/>
      <c r="C81" s="2"/>
      <c r="D81" s="2"/>
      <c r="E81" s="2"/>
      <c r="L81" s="2"/>
      <c r="M81" s="2"/>
    </row>
    <row r="82" ht="15.75" customHeight="1">
      <c r="B82" s="2"/>
      <c r="C82" s="2"/>
      <c r="D82" s="2"/>
      <c r="E82" s="2"/>
      <c r="L82" s="2"/>
      <c r="M82" s="2"/>
    </row>
    <row r="83" ht="15.75" customHeight="1">
      <c r="B83" s="2"/>
      <c r="C83" s="2"/>
      <c r="D83" s="2"/>
      <c r="E83" s="2"/>
      <c r="L83" s="2"/>
      <c r="M83" s="2"/>
    </row>
    <row r="84" ht="15.75" customHeight="1">
      <c r="B84" s="2"/>
      <c r="C84" s="2"/>
      <c r="D84" s="2"/>
      <c r="E84" s="2"/>
      <c r="L84" s="2"/>
      <c r="M84" s="2"/>
    </row>
    <row r="85" ht="15.75" customHeight="1">
      <c r="B85" s="2"/>
      <c r="C85" s="2"/>
      <c r="D85" s="2"/>
      <c r="E85" s="2"/>
      <c r="L85" s="2"/>
      <c r="M85" s="2"/>
    </row>
    <row r="86" ht="15.75" customHeight="1">
      <c r="B86" s="2"/>
      <c r="C86" s="2"/>
      <c r="D86" s="2"/>
      <c r="E86" s="2"/>
      <c r="L86" s="2"/>
      <c r="M86" s="2"/>
    </row>
    <row r="87" ht="15.75" customHeight="1">
      <c r="B87" s="2"/>
      <c r="C87" s="2"/>
      <c r="D87" s="2"/>
      <c r="E87" s="2"/>
      <c r="L87" s="2"/>
      <c r="M87" s="2"/>
    </row>
    <row r="88" ht="15.75" customHeight="1">
      <c r="B88" s="2"/>
      <c r="C88" s="2"/>
      <c r="D88" s="2"/>
      <c r="E88" s="2"/>
      <c r="L88" s="2"/>
      <c r="M88" s="2"/>
    </row>
    <row r="89" ht="15.75" customHeight="1">
      <c r="B89" s="2"/>
      <c r="C89" s="2"/>
      <c r="D89" s="2"/>
      <c r="E89" s="2"/>
      <c r="L89" s="2"/>
      <c r="M89" s="2"/>
    </row>
    <row r="90" ht="15.75" customHeight="1">
      <c r="B90" s="2"/>
      <c r="C90" s="2"/>
      <c r="D90" s="2"/>
      <c r="E90" s="2"/>
      <c r="L90" s="2"/>
      <c r="M90" s="2"/>
    </row>
    <row r="91" ht="15.75" customHeight="1">
      <c r="B91" s="2"/>
      <c r="C91" s="2"/>
      <c r="D91" s="2"/>
      <c r="E91" s="2"/>
      <c r="L91" s="2"/>
      <c r="M91" s="2"/>
    </row>
    <row r="92" ht="15.75" customHeight="1">
      <c r="B92" s="2"/>
      <c r="C92" s="2"/>
      <c r="D92" s="2"/>
      <c r="E92" s="2"/>
      <c r="L92" s="2"/>
      <c r="M92" s="2"/>
    </row>
    <row r="93" ht="15.75" customHeight="1">
      <c r="B93" s="2"/>
      <c r="C93" s="2"/>
      <c r="D93" s="2"/>
      <c r="E93" s="2"/>
      <c r="L93" s="2"/>
      <c r="M93" s="2"/>
    </row>
    <row r="94" ht="15.75" customHeight="1">
      <c r="B94" s="2"/>
      <c r="C94" s="2"/>
      <c r="D94" s="2"/>
      <c r="E94" s="2"/>
      <c r="L94" s="2"/>
      <c r="M94" s="2"/>
    </row>
    <row r="95" ht="15.75" customHeight="1">
      <c r="B95" s="2"/>
      <c r="C95" s="2"/>
      <c r="D95" s="2"/>
      <c r="E95" s="2"/>
      <c r="L95" s="2"/>
      <c r="M95" s="2"/>
    </row>
    <row r="96" ht="15.75" customHeight="1">
      <c r="B96" s="2"/>
      <c r="C96" s="2"/>
      <c r="D96" s="2"/>
      <c r="E96" s="2"/>
      <c r="L96" s="2"/>
      <c r="M96" s="2"/>
    </row>
    <row r="97" ht="15.75" customHeight="1">
      <c r="B97" s="2"/>
      <c r="C97" s="2"/>
      <c r="D97" s="2"/>
      <c r="E97" s="2"/>
      <c r="L97" s="2"/>
      <c r="M97" s="2"/>
    </row>
    <row r="98" ht="15.75" customHeight="1">
      <c r="B98" s="2"/>
      <c r="C98" s="2"/>
      <c r="D98" s="2"/>
      <c r="E98" s="2"/>
      <c r="L98" s="2"/>
      <c r="M98" s="2"/>
    </row>
    <row r="99" ht="15.75" customHeight="1">
      <c r="B99" s="2"/>
      <c r="C99" s="2"/>
      <c r="D99" s="2"/>
      <c r="E99" s="2"/>
      <c r="L99" s="2"/>
      <c r="M99" s="2"/>
    </row>
    <row r="100" ht="15.75" customHeight="1">
      <c r="B100" s="2"/>
      <c r="C100" s="2"/>
      <c r="D100" s="2"/>
      <c r="E100" s="2"/>
      <c r="L100" s="2"/>
      <c r="M100" s="2"/>
    </row>
    <row r="101" ht="15.75" customHeight="1">
      <c r="B101" s="2"/>
      <c r="C101" s="2"/>
      <c r="D101" s="2"/>
      <c r="E101" s="2"/>
      <c r="L101" s="2"/>
      <c r="M101" s="2"/>
    </row>
    <row r="102" ht="15.75" customHeight="1">
      <c r="B102" s="2"/>
      <c r="C102" s="2"/>
      <c r="D102" s="2"/>
      <c r="E102" s="2"/>
      <c r="L102" s="2"/>
      <c r="M102" s="2"/>
    </row>
    <row r="103" ht="15.75" customHeight="1">
      <c r="B103" s="2"/>
      <c r="C103" s="2"/>
      <c r="D103" s="2"/>
      <c r="E103" s="2"/>
      <c r="L103" s="2"/>
      <c r="M103" s="2"/>
    </row>
    <row r="104" ht="15.75" customHeight="1">
      <c r="B104" s="2"/>
      <c r="C104" s="2"/>
      <c r="D104" s="2"/>
      <c r="E104" s="2"/>
      <c r="L104" s="2"/>
      <c r="M104" s="2"/>
    </row>
    <row r="105" ht="15.75" customHeight="1">
      <c r="B105" s="2"/>
      <c r="C105" s="2"/>
      <c r="D105" s="2"/>
      <c r="E105" s="2"/>
      <c r="L105" s="2"/>
      <c r="M105" s="2"/>
    </row>
    <row r="106" ht="15.75" customHeight="1">
      <c r="B106" s="2"/>
      <c r="C106" s="2"/>
      <c r="D106" s="2"/>
      <c r="E106" s="2"/>
      <c r="L106" s="2"/>
      <c r="M106" s="2"/>
    </row>
    <row r="107" ht="15.75" customHeight="1">
      <c r="B107" s="2"/>
      <c r="C107" s="2"/>
      <c r="D107" s="2"/>
      <c r="E107" s="2"/>
      <c r="L107" s="2"/>
      <c r="M107" s="2"/>
    </row>
    <row r="108" ht="15.75" customHeight="1">
      <c r="B108" s="2"/>
      <c r="C108" s="2"/>
      <c r="D108" s="2"/>
      <c r="E108" s="2"/>
      <c r="L108" s="2"/>
      <c r="M108" s="2"/>
    </row>
    <row r="109" ht="15.75" customHeight="1">
      <c r="B109" s="2"/>
      <c r="C109" s="2"/>
      <c r="D109" s="2"/>
      <c r="E109" s="2"/>
      <c r="L109" s="2"/>
      <c r="M109" s="2"/>
    </row>
    <row r="110" ht="15.75" customHeight="1">
      <c r="B110" s="2"/>
      <c r="C110" s="2"/>
      <c r="D110" s="2"/>
      <c r="E110" s="2"/>
      <c r="L110" s="2"/>
      <c r="M110" s="2"/>
    </row>
    <row r="111" ht="15.75" customHeight="1">
      <c r="B111" s="2"/>
      <c r="C111" s="2"/>
      <c r="D111" s="2"/>
      <c r="E111" s="2"/>
      <c r="L111" s="2"/>
      <c r="M111" s="2"/>
    </row>
    <row r="112" ht="15.75" customHeight="1">
      <c r="B112" s="2"/>
      <c r="C112" s="2"/>
      <c r="D112" s="2"/>
      <c r="E112" s="2"/>
      <c r="L112" s="2"/>
      <c r="M112" s="2"/>
    </row>
    <row r="113" ht="15.75" customHeight="1">
      <c r="B113" s="2"/>
      <c r="C113" s="2"/>
      <c r="D113" s="2"/>
      <c r="E113" s="2"/>
      <c r="L113" s="2"/>
      <c r="M113" s="2"/>
    </row>
    <row r="114" ht="15.75" customHeight="1">
      <c r="B114" s="2"/>
      <c r="C114" s="2"/>
      <c r="D114" s="2"/>
      <c r="E114" s="2"/>
      <c r="L114" s="2"/>
      <c r="M114" s="2"/>
    </row>
    <row r="115" ht="15.75" customHeight="1">
      <c r="B115" s="2"/>
      <c r="C115" s="2"/>
      <c r="D115" s="2"/>
      <c r="E115" s="2"/>
      <c r="L115" s="2"/>
      <c r="M115" s="2"/>
    </row>
    <row r="116" ht="15.75" customHeight="1">
      <c r="B116" s="2"/>
      <c r="C116" s="2"/>
      <c r="D116" s="2"/>
      <c r="E116" s="2"/>
      <c r="L116" s="2"/>
      <c r="M116" s="2"/>
    </row>
    <row r="117" ht="15.75" customHeight="1">
      <c r="B117" s="2"/>
      <c r="C117" s="2"/>
      <c r="D117" s="2"/>
      <c r="E117" s="2"/>
      <c r="L117" s="2"/>
      <c r="M117" s="2"/>
    </row>
    <row r="118" ht="15.75" customHeight="1">
      <c r="B118" s="2"/>
      <c r="C118" s="2"/>
      <c r="D118" s="2"/>
      <c r="E118" s="2"/>
      <c r="L118" s="2"/>
      <c r="M118" s="2"/>
    </row>
    <row r="119" ht="15.75" customHeight="1">
      <c r="B119" s="2"/>
      <c r="C119" s="2"/>
      <c r="D119" s="2"/>
      <c r="E119" s="2"/>
      <c r="L119" s="2"/>
      <c r="M119" s="2"/>
    </row>
    <row r="120" ht="15.75" customHeight="1">
      <c r="B120" s="2"/>
      <c r="C120" s="2"/>
      <c r="D120" s="2"/>
      <c r="E120" s="2"/>
      <c r="L120" s="2"/>
      <c r="M120" s="2"/>
    </row>
    <row r="121" ht="15.75" customHeight="1">
      <c r="B121" s="2"/>
      <c r="C121" s="2"/>
      <c r="D121" s="2"/>
      <c r="E121" s="2"/>
      <c r="L121" s="2"/>
      <c r="M121" s="2"/>
    </row>
    <row r="122" ht="15.75" customHeight="1">
      <c r="B122" s="2"/>
      <c r="C122" s="2"/>
      <c r="D122" s="2"/>
      <c r="E122" s="2"/>
      <c r="L122" s="2"/>
      <c r="M122" s="2"/>
    </row>
    <row r="123" ht="15.75" customHeight="1">
      <c r="B123" s="2"/>
      <c r="C123" s="2"/>
      <c r="D123" s="2"/>
      <c r="E123" s="2"/>
      <c r="L123" s="2"/>
      <c r="M123" s="2"/>
    </row>
    <row r="124" ht="15.75" customHeight="1">
      <c r="B124" s="2"/>
      <c r="C124" s="2"/>
      <c r="D124" s="2"/>
      <c r="E124" s="2"/>
      <c r="L124" s="2"/>
      <c r="M124" s="2"/>
    </row>
    <row r="125" ht="15.75" customHeight="1">
      <c r="B125" s="2"/>
      <c r="C125" s="2"/>
      <c r="D125" s="2"/>
      <c r="E125" s="2"/>
      <c r="L125" s="2"/>
      <c r="M125" s="2"/>
    </row>
    <row r="126" ht="15.75" customHeight="1">
      <c r="B126" s="2"/>
      <c r="C126" s="2"/>
      <c r="D126" s="2"/>
      <c r="E126" s="2"/>
      <c r="L126" s="2"/>
      <c r="M126" s="2"/>
    </row>
    <row r="127" ht="15.75" customHeight="1">
      <c r="B127" s="2"/>
      <c r="C127" s="2"/>
      <c r="D127" s="2"/>
      <c r="E127" s="2"/>
      <c r="L127" s="2"/>
      <c r="M127" s="2"/>
    </row>
    <row r="128" ht="15.75" customHeight="1">
      <c r="B128" s="2"/>
      <c r="C128" s="2"/>
      <c r="D128" s="2"/>
      <c r="E128" s="2"/>
      <c r="L128" s="2"/>
      <c r="M128" s="2"/>
    </row>
    <row r="129" ht="15.75" customHeight="1">
      <c r="B129" s="2"/>
      <c r="C129" s="2"/>
      <c r="D129" s="2"/>
      <c r="E129" s="2"/>
      <c r="L129" s="2"/>
      <c r="M129" s="2"/>
    </row>
    <row r="130" ht="15.75" customHeight="1">
      <c r="B130" s="2"/>
      <c r="C130" s="2"/>
      <c r="D130" s="2"/>
      <c r="E130" s="2"/>
      <c r="L130" s="2"/>
      <c r="M130" s="2"/>
    </row>
    <row r="131" ht="15.75" customHeight="1">
      <c r="B131" s="2"/>
      <c r="C131" s="2"/>
      <c r="D131" s="2"/>
      <c r="E131" s="2"/>
      <c r="L131" s="2"/>
      <c r="M131" s="2"/>
    </row>
    <row r="132" ht="15.75" customHeight="1">
      <c r="B132" s="2"/>
      <c r="C132" s="2"/>
      <c r="D132" s="2"/>
      <c r="E132" s="2"/>
      <c r="L132" s="2"/>
      <c r="M132" s="2"/>
    </row>
    <row r="133" ht="15.75" customHeight="1">
      <c r="B133" s="2"/>
      <c r="C133" s="2"/>
      <c r="D133" s="2"/>
      <c r="E133" s="2"/>
      <c r="L133" s="2"/>
      <c r="M133" s="2"/>
    </row>
    <row r="134" ht="15.75" customHeight="1">
      <c r="B134" s="2"/>
      <c r="C134" s="2"/>
      <c r="D134" s="2"/>
      <c r="E134" s="2"/>
      <c r="L134" s="2"/>
      <c r="M134" s="2"/>
    </row>
    <row r="135" ht="15.75" customHeight="1">
      <c r="B135" s="2"/>
      <c r="C135" s="2"/>
      <c r="D135" s="2"/>
      <c r="E135" s="2"/>
      <c r="L135" s="2"/>
      <c r="M135" s="2"/>
    </row>
    <row r="136" ht="15.75" customHeight="1">
      <c r="B136" s="2"/>
      <c r="C136" s="2"/>
      <c r="D136" s="2"/>
      <c r="E136" s="2"/>
      <c r="L136" s="2"/>
      <c r="M136" s="2"/>
    </row>
    <row r="137" ht="15.75" customHeight="1">
      <c r="B137" s="2"/>
      <c r="C137" s="2"/>
      <c r="D137" s="2"/>
      <c r="E137" s="2"/>
      <c r="L137" s="2"/>
      <c r="M137" s="2"/>
    </row>
    <row r="138" ht="15.75" customHeight="1">
      <c r="B138" s="2"/>
      <c r="C138" s="2"/>
      <c r="D138" s="2"/>
      <c r="E138" s="2"/>
      <c r="L138" s="2"/>
      <c r="M138" s="2"/>
    </row>
    <row r="139" ht="15.75" customHeight="1">
      <c r="B139" s="2"/>
      <c r="C139" s="2"/>
      <c r="D139" s="2"/>
      <c r="E139" s="2"/>
      <c r="L139" s="2"/>
      <c r="M139" s="2"/>
    </row>
    <row r="140" ht="15.75" customHeight="1">
      <c r="B140" s="2"/>
      <c r="C140" s="2"/>
      <c r="D140" s="2"/>
      <c r="E140" s="2"/>
      <c r="L140" s="2"/>
      <c r="M140" s="2"/>
    </row>
    <row r="141" ht="15.75" customHeight="1">
      <c r="B141" s="2"/>
      <c r="C141" s="2"/>
      <c r="D141" s="2"/>
      <c r="E141" s="2"/>
      <c r="L141" s="2"/>
      <c r="M141" s="2"/>
    </row>
    <row r="142" ht="15.75" customHeight="1">
      <c r="B142" s="2"/>
      <c r="C142" s="2"/>
      <c r="D142" s="2"/>
      <c r="E142" s="2"/>
      <c r="L142" s="2"/>
      <c r="M142" s="2"/>
    </row>
    <row r="143" ht="15.75" customHeight="1">
      <c r="B143" s="2"/>
      <c r="C143" s="2"/>
      <c r="D143" s="2"/>
      <c r="E143" s="2"/>
      <c r="L143" s="2"/>
      <c r="M143" s="2"/>
    </row>
    <row r="144" ht="15.75" customHeight="1">
      <c r="B144" s="2"/>
      <c r="C144" s="2"/>
      <c r="D144" s="2"/>
      <c r="E144" s="2"/>
      <c r="L144" s="2"/>
      <c r="M144" s="2"/>
    </row>
    <row r="145" ht="15.75" customHeight="1">
      <c r="B145" s="2"/>
      <c r="C145" s="2"/>
      <c r="D145" s="2"/>
      <c r="E145" s="2"/>
      <c r="L145" s="2"/>
      <c r="M145" s="2"/>
    </row>
    <row r="146" ht="15.75" customHeight="1">
      <c r="B146" s="2"/>
      <c r="C146" s="2"/>
      <c r="D146" s="2"/>
      <c r="E146" s="2"/>
      <c r="L146" s="2"/>
      <c r="M146" s="2"/>
    </row>
    <row r="147" ht="15.75" customHeight="1">
      <c r="B147" s="2"/>
      <c r="C147" s="2"/>
      <c r="D147" s="2"/>
      <c r="E147" s="2"/>
      <c r="L147" s="2"/>
      <c r="M147" s="2"/>
    </row>
    <row r="148" ht="15.75" customHeight="1">
      <c r="B148" s="2"/>
      <c r="C148" s="2"/>
      <c r="D148" s="2"/>
      <c r="E148" s="2"/>
      <c r="L148" s="2"/>
      <c r="M148" s="2"/>
    </row>
    <row r="149" ht="15.75" customHeight="1">
      <c r="B149" s="2"/>
      <c r="C149" s="2"/>
      <c r="D149" s="2"/>
      <c r="E149" s="2"/>
      <c r="L149" s="2"/>
      <c r="M149" s="2"/>
    </row>
    <row r="150" ht="15.75" customHeight="1">
      <c r="B150" s="2"/>
      <c r="C150" s="2"/>
      <c r="D150" s="2"/>
      <c r="E150" s="2"/>
      <c r="L150" s="2"/>
      <c r="M150" s="2"/>
    </row>
    <row r="151" ht="15.75" customHeight="1">
      <c r="B151" s="2"/>
      <c r="C151" s="2"/>
      <c r="D151" s="2"/>
      <c r="E151" s="2"/>
      <c r="L151" s="2"/>
      <c r="M151" s="2"/>
    </row>
    <row r="152" ht="15.75" customHeight="1">
      <c r="B152" s="2"/>
      <c r="C152" s="2"/>
      <c r="D152" s="2"/>
      <c r="E152" s="2"/>
      <c r="L152" s="2"/>
      <c r="M152" s="2"/>
    </row>
    <row r="153" ht="15.75" customHeight="1">
      <c r="B153" s="2"/>
      <c r="C153" s="2"/>
      <c r="D153" s="2"/>
      <c r="E153" s="2"/>
      <c r="L153" s="2"/>
      <c r="M153" s="2"/>
    </row>
    <row r="154" ht="15.75" customHeight="1">
      <c r="B154" s="2"/>
      <c r="C154" s="2"/>
      <c r="D154" s="2"/>
      <c r="E154" s="2"/>
      <c r="L154" s="2"/>
      <c r="M154" s="2"/>
    </row>
    <row r="155" ht="15.75" customHeight="1">
      <c r="B155" s="2"/>
      <c r="C155" s="2"/>
      <c r="D155" s="2"/>
      <c r="E155" s="2"/>
      <c r="L155" s="2"/>
      <c r="M155" s="2"/>
    </row>
    <row r="156" ht="15.75" customHeight="1">
      <c r="B156" s="2"/>
      <c r="C156" s="2"/>
      <c r="D156" s="2"/>
      <c r="E156" s="2"/>
      <c r="L156" s="2"/>
      <c r="M156" s="2"/>
    </row>
    <row r="157" ht="15.75" customHeight="1">
      <c r="B157" s="2"/>
      <c r="C157" s="2"/>
      <c r="D157" s="2"/>
      <c r="E157" s="2"/>
      <c r="L157" s="2"/>
      <c r="M157" s="2"/>
    </row>
    <row r="158" ht="15.75" customHeight="1">
      <c r="B158" s="2"/>
      <c r="C158" s="2"/>
      <c r="D158" s="2"/>
      <c r="E158" s="2"/>
      <c r="L158" s="2"/>
      <c r="M158" s="2"/>
    </row>
    <row r="159" ht="15.75" customHeight="1">
      <c r="B159" s="2"/>
      <c r="C159" s="2"/>
      <c r="D159" s="2"/>
      <c r="E159" s="2"/>
      <c r="L159" s="2"/>
      <c r="M159" s="2"/>
    </row>
    <row r="160" ht="15.75" customHeight="1">
      <c r="B160" s="2"/>
      <c r="C160" s="2"/>
      <c r="D160" s="2"/>
      <c r="E160" s="2"/>
      <c r="L160" s="2"/>
      <c r="M160" s="2"/>
    </row>
    <row r="161" ht="15.75" customHeight="1">
      <c r="B161" s="2"/>
      <c r="C161" s="2"/>
      <c r="D161" s="2"/>
      <c r="E161" s="2"/>
      <c r="L161" s="2"/>
      <c r="M161" s="2"/>
    </row>
    <row r="162" ht="15.75" customHeight="1">
      <c r="B162" s="2"/>
      <c r="C162" s="2"/>
      <c r="D162" s="2"/>
      <c r="E162" s="2"/>
      <c r="L162" s="2"/>
      <c r="M162" s="2"/>
    </row>
    <row r="163" ht="15.75" customHeight="1">
      <c r="B163" s="2"/>
      <c r="C163" s="2"/>
      <c r="D163" s="2"/>
      <c r="E163" s="2"/>
      <c r="L163" s="2"/>
      <c r="M163" s="2"/>
    </row>
    <row r="164" ht="15.75" customHeight="1">
      <c r="B164" s="2"/>
      <c r="C164" s="2"/>
      <c r="D164" s="2"/>
      <c r="E164" s="2"/>
      <c r="L164" s="2"/>
      <c r="M164" s="2"/>
    </row>
    <row r="165" ht="15.75" customHeight="1">
      <c r="B165" s="2"/>
      <c r="C165" s="2"/>
      <c r="D165" s="2"/>
      <c r="E165" s="2"/>
      <c r="L165" s="2"/>
      <c r="M165" s="2"/>
    </row>
    <row r="166" ht="15.75" customHeight="1">
      <c r="B166" s="2"/>
      <c r="C166" s="2"/>
      <c r="D166" s="2"/>
      <c r="E166" s="2"/>
      <c r="L166" s="2"/>
      <c r="M166" s="2"/>
    </row>
    <row r="167" ht="15.75" customHeight="1">
      <c r="B167" s="2"/>
      <c r="C167" s="2"/>
      <c r="D167" s="2"/>
      <c r="E167" s="2"/>
      <c r="L167" s="2"/>
      <c r="M167" s="2"/>
    </row>
    <row r="168" ht="15.75" customHeight="1">
      <c r="B168" s="2"/>
      <c r="C168" s="2"/>
      <c r="D168" s="2"/>
      <c r="E168" s="2"/>
      <c r="L168" s="2"/>
      <c r="M168" s="2"/>
    </row>
    <row r="169" ht="15.75" customHeight="1">
      <c r="B169" s="2"/>
      <c r="C169" s="2"/>
      <c r="D169" s="2"/>
      <c r="E169" s="2"/>
      <c r="L169" s="2"/>
      <c r="M169" s="2"/>
    </row>
    <row r="170" ht="15.75" customHeight="1">
      <c r="B170" s="2"/>
      <c r="C170" s="2"/>
      <c r="D170" s="2"/>
      <c r="E170" s="2"/>
      <c r="L170" s="2"/>
      <c r="M170" s="2"/>
    </row>
    <row r="171" ht="15.75" customHeight="1">
      <c r="B171" s="2"/>
      <c r="C171" s="2"/>
      <c r="D171" s="2"/>
      <c r="E171" s="2"/>
      <c r="L171" s="2"/>
      <c r="M171" s="2"/>
    </row>
    <row r="172" ht="15.75" customHeight="1">
      <c r="B172" s="2"/>
      <c r="C172" s="2"/>
      <c r="D172" s="2"/>
      <c r="E172" s="2"/>
      <c r="L172" s="2"/>
      <c r="M172" s="2"/>
    </row>
    <row r="173" ht="15.75" customHeight="1">
      <c r="B173" s="2"/>
      <c r="C173" s="2"/>
      <c r="D173" s="2"/>
      <c r="E173" s="2"/>
      <c r="L173" s="2"/>
      <c r="M173" s="2"/>
    </row>
    <row r="174" ht="15.75" customHeight="1">
      <c r="B174" s="2"/>
      <c r="C174" s="2"/>
      <c r="D174" s="2"/>
      <c r="E174" s="2"/>
      <c r="L174" s="2"/>
      <c r="M174" s="2"/>
    </row>
    <row r="175" ht="15.75" customHeight="1">
      <c r="B175" s="2"/>
      <c r="C175" s="2"/>
      <c r="D175" s="2"/>
      <c r="E175" s="2"/>
      <c r="L175" s="2"/>
      <c r="M175" s="2"/>
    </row>
    <row r="176" ht="15.75" customHeight="1">
      <c r="B176" s="2"/>
      <c r="C176" s="2"/>
      <c r="D176" s="2"/>
      <c r="E176" s="2"/>
      <c r="L176" s="2"/>
      <c r="M176" s="2"/>
    </row>
    <row r="177" ht="15.75" customHeight="1">
      <c r="B177" s="2"/>
      <c r="C177" s="2"/>
      <c r="D177" s="2"/>
      <c r="E177" s="2"/>
      <c r="L177" s="2"/>
      <c r="M177" s="2"/>
    </row>
    <row r="178" ht="15.75" customHeight="1">
      <c r="B178" s="2"/>
      <c r="C178" s="2"/>
      <c r="D178" s="2"/>
      <c r="E178" s="2"/>
      <c r="L178" s="2"/>
      <c r="M178" s="2"/>
    </row>
    <row r="179" ht="15.75" customHeight="1">
      <c r="B179" s="2"/>
      <c r="C179" s="2"/>
      <c r="D179" s="2"/>
      <c r="E179" s="2"/>
      <c r="L179" s="2"/>
      <c r="M179" s="2"/>
    </row>
    <row r="180" ht="15.75" customHeight="1">
      <c r="B180" s="2"/>
      <c r="C180" s="2"/>
      <c r="D180" s="2"/>
      <c r="E180" s="2"/>
      <c r="L180" s="2"/>
      <c r="M180" s="2"/>
    </row>
    <row r="181" ht="15.75" customHeight="1">
      <c r="B181" s="2"/>
      <c r="C181" s="2"/>
      <c r="D181" s="2"/>
      <c r="E181" s="2"/>
      <c r="L181" s="2"/>
      <c r="M181" s="2"/>
    </row>
    <row r="182" ht="15.75" customHeight="1">
      <c r="B182" s="2"/>
      <c r="C182" s="2"/>
      <c r="D182" s="2"/>
      <c r="E182" s="2"/>
      <c r="L182" s="2"/>
      <c r="M182" s="2"/>
    </row>
    <row r="183" ht="15.75" customHeight="1">
      <c r="B183" s="2"/>
      <c r="C183" s="2"/>
      <c r="D183" s="2"/>
      <c r="E183" s="2"/>
      <c r="L183" s="2"/>
      <c r="M183" s="2"/>
    </row>
    <row r="184" ht="15.75" customHeight="1">
      <c r="B184" s="2"/>
      <c r="C184" s="2"/>
      <c r="D184" s="2"/>
      <c r="E184" s="2"/>
      <c r="L184" s="2"/>
      <c r="M184" s="2"/>
    </row>
    <row r="185" ht="15.75" customHeight="1">
      <c r="B185" s="2"/>
      <c r="C185" s="2"/>
      <c r="D185" s="2"/>
      <c r="E185" s="2"/>
      <c r="L185" s="2"/>
      <c r="M185" s="2"/>
    </row>
    <row r="186" ht="15.75" customHeight="1">
      <c r="B186" s="2"/>
      <c r="C186" s="2"/>
      <c r="D186" s="2"/>
      <c r="E186" s="2"/>
      <c r="L186" s="2"/>
      <c r="M186" s="2"/>
    </row>
    <row r="187" ht="15.75" customHeight="1">
      <c r="B187" s="2"/>
      <c r="C187" s="2"/>
      <c r="D187" s="2"/>
      <c r="E187" s="2"/>
      <c r="L187" s="2"/>
      <c r="M187" s="2"/>
    </row>
    <row r="188" ht="15.75" customHeight="1">
      <c r="B188" s="2"/>
      <c r="C188" s="2"/>
      <c r="D188" s="2"/>
      <c r="E188" s="2"/>
      <c r="L188" s="2"/>
      <c r="M188" s="2"/>
    </row>
    <row r="189" ht="15.75" customHeight="1">
      <c r="B189" s="2"/>
      <c r="C189" s="2"/>
      <c r="D189" s="2"/>
      <c r="E189" s="2"/>
      <c r="L189" s="2"/>
      <c r="M189" s="2"/>
    </row>
    <row r="190" ht="15.75" customHeight="1">
      <c r="B190" s="2"/>
      <c r="C190" s="2"/>
      <c r="D190" s="2"/>
      <c r="E190" s="2"/>
      <c r="L190" s="2"/>
      <c r="M190" s="2"/>
    </row>
    <row r="191" ht="15.75" customHeight="1">
      <c r="B191" s="2"/>
      <c r="C191" s="2"/>
      <c r="D191" s="2"/>
      <c r="E191" s="2"/>
      <c r="L191" s="2"/>
      <c r="M191" s="2"/>
    </row>
    <row r="192" ht="15.75" customHeight="1">
      <c r="B192" s="2"/>
      <c r="C192" s="2"/>
      <c r="D192" s="2"/>
      <c r="E192" s="2"/>
      <c r="L192" s="2"/>
      <c r="M192" s="2"/>
    </row>
    <row r="193" ht="15.75" customHeight="1">
      <c r="B193" s="2"/>
      <c r="C193" s="2"/>
      <c r="D193" s="2"/>
      <c r="E193" s="2"/>
      <c r="L193" s="2"/>
      <c r="M193" s="2"/>
    </row>
    <row r="194" ht="15.75" customHeight="1">
      <c r="B194" s="2"/>
      <c r="C194" s="2"/>
      <c r="D194" s="2"/>
      <c r="E194" s="2"/>
      <c r="L194" s="2"/>
      <c r="M194" s="2"/>
    </row>
    <row r="195" ht="15.75" customHeight="1">
      <c r="B195" s="2"/>
      <c r="C195" s="2"/>
      <c r="D195" s="2"/>
      <c r="E195" s="2"/>
      <c r="L195" s="2"/>
      <c r="M195" s="2"/>
    </row>
    <row r="196" ht="15.75" customHeight="1">
      <c r="B196" s="2"/>
      <c r="C196" s="2"/>
      <c r="D196" s="2"/>
      <c r="E196" s="2"/>
      <c r="L196" s="2"/>
      <c r="M196" s="2"/>
    </row>
    <row r="197" ht="15.75" customHeight="1">
      <c r="B197" s="2"/>
      <c r="C197" s="2"/>
      <c r="D197" s="2"/>
      <c r="E197" s="2"/>
      <c r="L197" s="2"/>
      <c r="M197" s="2"/>
    </row>
    <row r="198" ht="15.75" customHeight="1">
      <c r="B198" s="2"/>
      <c r="C198" s="2"/>
      <c r="D198" s="2"/>
      <c r="E198" s="2"/>
      <c r="L198" s="2"/>
      <c r="M198" s="2"/>
    </row>
    <row r="199" ht="15.75" customHeight="1">
      <c r="B199" s="2"/>
      <c r="C199" s="2"/>
      <c r="D199" s="2"/>
      <c r="E199" s="2"/>
      <c r="L199" s="2"/>
      <c r="M199" s="2"/>
    </row>
    <row r="200" ht="15.75" customHeight="1">
      <c r="B200" s="2"/>
      <c r="C200" s="2"/>
      <c r="D200" s="2"/>
      <c r="E200" s="2"/>
      <c r="L200" s="2"/>
      <c r="M200" s="2"/>
    </row>
    <row r="201" ht="15.75" customHeight="1">
      <c r="B201" s="2"/>
      <c r="C201" s="2"/>
      <c r="D201" s="2"/>
      <c r="E201" s="2"/>
      <c r="L201" s="2"/>
      <c r="M201" s="2"/>
    </row>
    <row r="202" ht="15.75" customHeight="1">
      <c r="B202" s="2"/>
      <c r="C202" s="2"/>
      <c r="D202" s="2"/>
      <c r="E202" s="2"/>
      <c r="L202" s="2"/>
      <c r="M202" s="2"/>
    </row>
    <row r="203" ht="15.75" customHeight="1">
      <c r="B203" s="2"/>
      <c r="C203" s="2"/>
      <c r="D203" s="2"/>
      <c r="E203" s="2"/>
      <c r="L203" s="2"/>
      <c r="M203" s="2"/>
    </row>
    <row r="204" ht="15.75" customHeight="1">
      <c r="B204" s="2"/>
      <c r="C204" s="2"/>
      <c r="D204" s="2"/>
      <c r="E204" s="2"/>
      <c r="L204" s="2"/>
      <c r="M204" s="2"/>
    </row>
    <row r="205" ht="15.75" customHeight="1">
      <c r="B205" s="2"/>
      <c r="C205" s="2"/>
      <c r="D205" s="2"/>
      <c r="E205" s="2"/>
      <c r="L205" s="2"/>
      <c r="M205" s="2"/>
    </row>
    <row r="206" ht="15.75" customHeight="1">
      <c r="B206" s="2"/>
      <c r="C206" s="2"/>
      <c r="D206" s="2"/>
      <c r="E206" s="2"/>
      <c r="L206" s="2"/>
      <c r="M206" s="2"/>
    </row>
    <row r="207" ht="15.75" customHeight="1">
      <c r="B207" s="2"/>
      <c r="C207" s="2"/>
      <c r="D207" s="2"/>
      <c r="E207" s="2"/>
      <c r="L207" s="2"/>
      <c r="M207" s="2"/>
    </row>
    <row r="208" ht="15.75" customHeight="1">
      <c r="B208" s="2"/>
      <c r="C208" s="2"/>
      <c r="D208" s="2"/>
      <c r="E208" s="2"/>
      <c r="L208" s="2"/>
      <c r="M208" s="2"/>
    </row>
    <row r="209" ht="15.75" customHeight="1">
      <c r="B209" s="2"/>
      <c r="C209" s="2"/>
      <c r="D209" s="2"/>
      <c r="E209" s="2"/>
      <c r="L209" s="2"/>
      <c r="M209" s="2"/>
    </row>
    <row r="210" ht="15.75" customHeight="1">
      <c r="B210" s="2"/>
      <c r="C210" s="2"/>
      <c r="D210" s="2"/>
      <c r="E210" s="2"/>
      <c r="L210" s="2"/>
      <c r="M210" s="2"/>
    </row>
    <row r="211" ht="15.75" customHeight="1">
      <c r="B211" s="2"/>
      <c r="C211" s="2"/>
      <c r="D211" s="2"/>
      <c r="E211" s="2"/>
      <c r="L211" s="2"/>
      <c r="M211" s="2"/>
    </row>
    <row r="212" ht="15.75" customHeight="1">
      <c r="B212" s="2"/>
      <c r="C212" s="2"/>
      <c r="D212" s="2"/>
      <c r="E212" s="2"/>
      <c r="L212" s="2"/>
      <c r="M212" s="2"/>
    </row>
    <row r="213" ht="15.75" customHeight="1">
      <c r="B213" s="2"/>
      <c r="C213" s="2"/>
      <c r="D213" s="2"/>
      <c r="E213" s="2"/>
      <c r="L213" s="2"/>
      <c r="M213" s="2"/>
    </row>
    <row r="214" ht="15.75" customHeight="1">
      <c r="B214" s="2"/>
      <c r="C214" s="2"/>
      <c r="D214" s="2"/>
      <c r="E214" s="2"/>
      <c r="L214" s="2"/>
      <c r="M214" s="2"/>
    </row>
    <row r="215" ht="15.75" customHeight="1">
      <c r="B215" s="2"/>
      <c r="C215" s="2"/>
      <c r="D215" s="2"/>
      <c r="E215" s="2"/>
      <c r="L215" s="2"/>
      <c r="M215" s="2"/>
    </row>
    <row r="216" ht="15.75" customHeight="1">
      <c r="B216" s="2"/>
      <c r="C216" s="2"/>
      <c r="D216" s="2"/>
      <c r="E216" s="2"/>
      <c r="L216" s="2"/>
      <c r="M216" s="2"/>
    </row>
    <row r="217" ht="15.75" customHeight="1">
      <c r="B217" s="2"/>
      <c r="C217" s="2"/>
      <c r="D217" s="2"/>
      <c r="E217" s="2"/>
      <c r="L217" s="2"/>
      <c r="M217" s="2"/>
    </row>
    <row r="218" ht="15.75" customHeight="1">
      <c r="B218" s="2"/>
      <c r="C218" s="2"/>
      <c r="D218" s="2"/>
      <c r="E218" s="2"/>
      <c r="L218" s="2"/>
      <c r="M218" s="2"/>
    </row>
    <row r="219" ht="15.75" customHeight="1">
      <c r="B219" s="2"/>
      <c r="C219" s="2"/>
      <c r="D219" s="2"/>
      <c r="E219" s="2"/>
      <c r="L219" s="2"/>
      <c r="M219" s="2"/>
    </row>
    <row r="220" ht="15.75" customHeight="1">
      <c r="B220" s="2"/>
      <c r="C220" s="2"/>
      <c r="D220" s="2"/>
      <c r="E220" s="2"/>
      <c r="L220" s="2"/>
      <c r="M220" s="2"/>
    </row>
    <row r="221" ht="15.75" customHeight="1">
      <c r="B221" s="2"/>
      <c r="C221" s="2"/>
      <c r="D221" s="2"/>
      <c r="E221" s="2"/>
      <c r="L221" s="2"/>
      <c r="M221" s="2"/>
    </row>
    <row r="222" ht="15.75" customHeight="1">
      <c r="B222" s="2"/>
      <c r="C222" s="2"/>
      <c r="D222" s="2"/>
      <c r="E222" s="2"/>
      <c r="L222" s="2"/>
      <c r="M222" s="2"/>
    </row>
    <row r="223" ht="15.75" customHeight="1">
      <c r="B223" s="2"/>
      <c r="C223" s="2"/>
      <c r="D223" s="2"/>
      <c r="E223" s="2"/>
      <c r="L223" s="2"/>
      <c r="M223" s="2"/>
    </row>
    <row r="224" ht="15.75" customHeight="1">
      <c r="B224" s="2"/>
      <c r="C224" s="2"/>
      <c r="D224" s="2"/>
      <c r="E224" s="2"/>
      <c r="L224" s="2"/>
      <c r="M224" s="2"/>
    </row>
    <row r="225" ht="15.75" customHeight="1">
      <c r="B225" s="2"/>
      <c r="C225" s="2"/>
      <c r="D225" s="2"/>
      <c r="E225" s="2"/>
      <c r="L225" s="2"/>
      <c r="M225" s="2"/>
    </row>
    <row r="226" ht="15.75" customHeight="1">
      <c r="B226" s="2"/>
      <c r="C226" s="2"/>
      <c r="D226" s="2"/>
      <c r="E226" s="2"/>
      <c r="L226" s="2"/>
      <c r="M226" s="2"/>
    </row>
    <row r="227" ht="15.75" customHeight="1">
      <c r="B227" s="2"/>
      <c r="C227" s="2"/>
      <c r="D227" s="2"/>
      <c r="E227" s="2"/>
      <c r="L227" s="2"/>
      <c r="M227" s="2"/>
    </row>
    <row r="228" ht="15.75" customHeight="1">
      <c r="B228" s="2"/>
      <c r="C228" s="2"/>
      <c r="D228" s="2"/>
      <c r="E228" s="2"/>
      <c r="L228" s="2"/>
      <c r="M228" s="2"/>
    </row>
    <row r="229" ht="15.75" customHeight="1">
      <c r="B229" s="2"/>
      <c r="C229" s="2"/>
      <c r="D229" s="2"/>
      <c r="E229" s="2"/>
      <c r="L229" s="2"/>
      <c r="M229" s="2"/>
    </row>
    <row r="230" ht="15.75" customHeight="1">
      <c r="B230" s="2"/>
      <c r="C230" s="2"/>
      <c r="D230" s="2"/>
      <c r="E230" s="2"/>
      <c r="L230" s="2"/>
      <c r="M230" s="2"/>
    </row>
    <row r="231" ht="15.75" customHeight="1">
      <c r="B231" s="2"/>
      <c r="C231" s="2"/>
      <c r="D231" s="2"/>
      <c r="E231" s="2"/>
      <c r="L231" s="2"/>
      <c r="M231" s="2"/>
    </row>
    <row r="232" ht="15.75" customHeight="1">
      <c r="B232" s="2"/>
      <c r="C232" s="2"/>
      <c r="D232" s="2"/>
      <c r="E232" s="2"/>
      <c r="L232" s="2"/>
      <c r="M232" s="2"/>
    </row>
    <row r="233" ht="15.75" customHeight="1">
      <c r="B233" s="2"/>
      <c r="C233" s="2"/>
      <c r="D233" s="2"/>
      <c r="E233" s="2"/>
      <c r="L233" s="2"/>
      <c r="M233" s="2"/>
    </row>
    <row r="234" ht="15.75" customHeight="1">
      <c r="B234" s="2"/>
      <c r="C234" s="2"/>
      <c r="D234" s="2"/>
      <c r="E234" s="2"/>
      <c r="L234" s="2"/>
      <c r="M234" s="2"/>
    </row>
    <row r="235" ht="15.75" customHeight="1">
      <c r="B235" s="2"/>
      <c r="C235" s="2"/>
      <c r="D235" s="2"/>
      <c r="E235" s="2"/>
      <c r="L235" s="2"/>
      <c r="M235" s="2"/>
    </row>
    <row r="236" ht="15.75" customHeight="1">
      <c r="B236" s="2"/>
      <c r="C236" s="2"/>
      <c r="D236" s="2"/>
      <c r="E236" s="2"/>
      <c r="L236" s="2"/>
      <c r="M236" s="2"/>
    </row>
    <row r="237" ht="15.75" customHeight="1">
      <c r="B237" s="2"/>
      <c r="C237" s="2"/>
      <c r="D237" s="2"/>
      <c r="E237" s="2"/>
      <c r="L237" s="2"/>
      <c r="M237" s="2"/>
    </row>
    <row r="238" ht="15.75" customHeight="1">
      <c r="B238" s="2"/>
      <c r="C238" s="2"/>
      <c r="D238" s="2"/>
      <c r="E238" s="2"/>
      <c r="L238" s="2"/>
      <c r="M238" s="2"/>
    </row>
    <row r="239" ht="15.75" customHeight="1">
      <c r="B239" s="2"/>
      <c r="C239" s="2"/>
      <c r="D239" s="2"/>
      <c r="E239" s="2"/>
      <c r="L239" s="2"/>
      <c r="M239" s="2"/>
    </row>
    <row r="240" ht="15.75" customHeight="1">
      <c r="B240" s="2"/>
      <c r="C240" s="2"/>
      <c r="D240" s="2"/>
      <c r="E240" s="2"/>
      <c r="L240" s="2"/>
      <c r="M240" s="2"/>
    </row>
    <row r="241" ht="15.75" customHeight="1">
      <c r="B241" s="2"/>
      <c r="C241" s="2"/>
      <c r="D241" s="2"/>
      <c r="E241" s="2"/>
      <c r="L241" s="2"/>
      <c r="M241" s="2"/>
    </row>
    <row r="242" ht="15.75" customHeight="1">
      <c r="B242" s="2"/>
      <c r="C242" s="2"/>
      <c r="D242" s="2"/>
      <c r="E242" s="2"/>
      <c r="L242" s="2"/>
      <c r="M242" s="2"/>
    </row>
    <row r="243" ht="15.75" customHeight="1">
      <c r="B243" s="2"/>
      <c r="C243" s="2"/>
      <c r="D243" s="2"/>
      <c r="E243" s="2"/>
      <c r="L243" s="2"/>
      <c r="M243" s="2"/>
    </row>
    <row r="244" ht="15.75" customHeight="1">
      <c r="B244" s="2"/>
      <c r="C244" s="2"/>
      <c r="D244" s="2"/>
      <c r="E244" s="2"/>
      <c r="L244" s="2"/>
      <c r="M244" s="2"/>
    </row>
    <row r="245" ht="15.75" customHeight="1">
      <c r="B245" s="2"/>
      <c r="C245" s="2"/>
      <c r="D245" s="2"/>
      <c r="E245" s="2"/>
      <c r="L245" s="2"/>
      <c r="M245" s="2"/>
    </row>
    <row r="246" ht="15.75" customHeight="1">
      <c r="B246" s="2"/>
      <c r="C246" s="2"/>
      <c r="D246" s="2"/>
      <c r="E246" s="2"/>
      <c r="L246" s="2"/>
      <c r="M246" s="2"/>
    </row>
    <row r="247" ht="15.75" customHeight="1">
      <c r="B247" s="2"/>
      <c r="C247" s="2"/>
      <c r="D247" s="2"/>
      <c r="E247" s="2"/>
      <c r="L247" s="2"/>
      <c r="M247" s="2"/>
    </row>
    <row r="248" ht="15.75" customHeight="1">
      <c r="B248" s="2"/>
      <c r="C248" s="2"/>
      <c r="D248" s="2"/>
      <c r="E248" s="2"/>
      <c r="L248" s="2"/>
      <c r="M248" s="2"/>
    </row>
    <row r="249" ht="15.75" customHeight="1">
      <c r="B249" s="2"/>
      <c r="C249" s="2"/>
      <c r="D249" s="2"/>
      <c r="E249" s="2"/>
      <c r="L249" s="2"/>
      <c r="M249" s="2"/>
    </row>
    <row r="250" ht="15.75" customHeight="1">
      <c r="B250" s="2"/>
      <c r="C250" s="2"/>
      <c r="D250" s="2"/>
      <c r="E250" s="2"/>
      <c r="L250" s="2"/>
      <c r="M250" s="2"/>
    </row>
    <row r="251" ht="15.75" customHeight="1">
      <c r="B251" s="2"/>
      <c r="C251" s="2"/>
      <c r="D251" s="2"/>
      <c r="E251" s="2"/>
      <c r="L251" s="2"/>
      <c r="M251" s="2"/>
    </row>
    <row r="252" ht="15.75" customHeight="1">
      <c r="B252" s="2"/>
      <c r="C252" s="2"/>
      <c r="D252" s="2"/>
      <c r="E252" s="2"/>
      <c r="L252" s="2"/>
      <c r="M252" s="2"/>
    </row>
    <row r="253" ht="15.75" customHeight="1">
      <c r="B253" s="2"/>
      <c r="C253" s="2"/>
      <c r="D253" s="2"/>
      <c r="E253" s="2"/>
      <c r="L253" s="2"/>
      <c r="M253" s="2"/>
    </row>
    <row r="254" ht="15.75" customHeight="1">
      <c r="B254" s="2"/>
      <c r="C254" s="2"/>
      <c r="D254" s="2"/>
      <c r="E254" s="2"/>
      <c r="L254" s="2"/>
      <c r="M254" s="2"/>
    </row>
    <row r="255" ht="15.75" customHeight="1">
      <c r="B255" s="2"/>
      <c r="C255" s="2"/>
      <c r="D255" s="2"/>
      <c r="E255" s="2"/>
      <c r="L255" s="2"/>
      <c r="M255" s="2"/>
    </row>
    <row r="256" ht="15.75" customHeight="1">
      <c r="B256" s="2"/>
      <c r="C256" s="2"/>
      <c r="D256" s="2"/>
      <c r="E256" s="2"/>
      <c r="L256" s="2"/>
      <c r="M256" s="2"/>
    </row>
    <row r="257" ht="15.75" customHeight="1">
      <c r="B257" s="2"/>
      <c r="C257" s="2"/>
      <c r="D257" s="2"/>
      <c r="E257" s="2"/>
      <c r="L257" s="2"/>
      <c r="M257" s="2"/>
    </row>
    <row r="258" ht="15.75" customHeight="1">
      <c r="B258" s="2"/>
      <c r="C258" s="2"/>
      <c r="D258" s="2"/>
      <c r="E258" s="2"/>
      <c r="L258" s="2"/>
      <c r="M258" s="2"/>
    </row>
    <row r="259" ht="15.75" customHeight="1">
      <c r="B259" s="2"/>
      <c r="C259" s="2"/>
      <c r="D259" s="2"/>
      <c r="E259" s="2"/>
      <c r="L259" s="2"/>
      <c r="M259" s="2"/>
    </row>
    <row r="260" ht="15.75" customHeight="1">
      <c r="B260" s="2"/>
      <c r="C260" s="2"/>
      <c r="D260" s="2"/>
      <c r="E260" s="2"/>
      <c r="L260" s="2"/>
      <c r="M260" s="2"/>
    </row>
    <row r="261" ht="15.75" customHeight="1">
      <c r="B261" s="2"/>
      <c r="C261" s="2"/>
      <c r="D261" s="2"/>
      <c r="E261" s="2"/>
      <c r="L261" s="2"/>
      <c r="M261" s="2"/>
    </row>
    <row r="262" ht="15.75" customHeight="1">
      <c r="B262" s="2"/>
      <c r="C262" s="2"/>
      <c r="D262" s="2"/>
      <c r="E262" s="2"/>
      <c r="L262" s="2"/>
      <c r="M262" s="2"/>
    </row>
    <row r="263" ht="15.75" customHeight="1">
      <c r="B263" s="2"/>
      <c r="C263" s="2"/>
      <c r="D263" s="2"/>
      <c r="E263" s="2"/>
      <c r="L263" s="2"/>
      <c r="M263" s="2"/>
    </row>
    <row r="264" ht="15.75" customHeight="1">
      <c r="B264" s="2"/>
      <c r="C264" s="2"/>
      <c r="D264" s="2"/>
      <c r="E264" s="2"/>
      <c r="L264" s="2"/>
      <c r="M264" s="2"/>
    </row>
    <row r="265" ht="15.75" customHeight="1">
      <c r="B265" s="2"/>
      <c r="C265" s="2"/>
      <c r="D265" s="2"/>
      <c r="E265" s="2"/>
      <c r="L265" s="2"/>
      <c r="M265" s="2"/>
    </row>
    <row r="266" ht="15.75" customHeight="1">
      <c r="B266" s="2"/>
      <c r="C266" s="2"/>
      <c r="D266" s="2"/>
      <c r="E266" s="2"/>
      <c r="L266" s="2"/>
      <c r="M266" s="2"/>
    </row>
    <row r="267" ht="15.75" customHeight="1">
      <c r="B267" s="2"/>
      <c r="C267" s="2"/>
      <c r="D267" s="2"/>
      <c r="E267" s="2"/>
      <c r="L267" s="2"/>
      <c r="M267" s="2"/>
    </row>
    <row r="268" ht="15.75" customHeight="1">
      <c r="B268" s="2"/>
      <c r="C268" s="2"/>
      <c r="D268" s="2"/>
      <c r="E268" s="2"/>
      <c r="L268" s="2"/>
      <c r="M268" s="2"/>
    </row>
    <row r="269" ht="15.75" customHeight="1">
      <c r="B269" s="2"/>
      <c r="C269" s="2"/>
      <c r="D269" s="2"/>
      <c r="E269" s="2"/>
      <c r="L269" s="2"/>
      <c r="M269" s="2"/>
    </row>
    <row r="270" ht="15.75" customHeight="1">
      <c r="B270" s="2"/>
      <c r="C270" s="2"/>
      <c r="D270" s="2"/>
      <c r="E270" s="2"/>
      <c r="L270" s="2"/>
      <c r="M270" s="2"/>
    </row>
    <row r="271" ht="15.75" customHeight="1">
      <c r="B271" s="2"/>
      <c r="C271" s="2"/>
      <c r="D271" s="2"/>
      <c r="E271" s="2"/>
      <c r="L271" s="2"/>
      <c r="M271" s="2"/>
    </row>
    <row r="272" ht="15.75" customHeight="1">
      <c r="B272" s="2"/>
      <c r="C272" s="2"/>
      <c r="D272" s="2"/>
      <c r="E272" s="2"/>
      <c r="L272" s="2"/>
      <c r="M272" s="2"/>
    </row>
    <row r="273" ht="15.75" customHeight="1">
      <c r="B273" s="2"/>
      <c r="C273" s="2"/>
      <c r="D273" s="2"/>
      <c r="E273" s="2"/>
      <c r="L273" s="2"/>
      <c r="M273" s="2"/>
    </row>
    <row r="274" ht="15.75" customHeight="1">
      <c r="B274" s="2"/>
      <c r="C274" s="2"/>
      <c r="D274" s="2"/>
      <c r="E274" s="2"/>
      <c r="L274" s="2"/>
      <c r="M274" s="2"/>
    </row>
    <row r="275" ht="15.75" customHeight="1">
      <c r="B275" s="2"/>
      <c r="C275" s="2"/>
      <c r="D275" s="2"/>
      <c r="E275" s="2"/>
      <c r="L275" s="2"/>
      <c r="M275" s="2"/>
    </row>
    <row r="276" ht="15.75" customHeight="1">
      <c r="B276" s="2"/>
      <c r="C276" s="2"/>
      <c r="D276" s="2"/>
      <c r="E276" s="2"/>
      <c r="L276" s="2"/>
      <c r="M276" s="2"/>
    </row>
    <row r="277" ht="15.75" customHeight="1">
      <c r="B277" s="2"/>
      <c r="C277" s="2"/>
      <c r="D277" s="2"/>
      <c r="E277" s="2"/>
      <c r="L277" s="2"/>
      <c r="M277" s="2"/>
    </row>
    <row r="278" ht="15.75" customHeight="1">
      <c r="B278" s="2"/>
      <c r="C278" s="2"/>
      <c r="D278" s="2"/>
      <c r="E278" s="2"/>
      <c r="L278" s="2"/>
      <c r="M278" s="2"/>
    </row>
    <row r="279" ht="15.75" customHeight="1">
      <c r="B279" s="2"/>
      <c r="C279" s="2"/>
      <c r="D279" s="2"/>
      <c r="E279" s="2"/>
      <c r="L279" s="2"/>
      <c r="M279" s="2"/>
    </row>
    <row r="280" ht="15.75" customHeight="1">
      <c r="B280" s="2"/>
      <c r="C280" s="2"/>
      <c r="D280" s="2"/>
      <c r="E280" s="2"/>
      <c r="L280" s="2"/>
      <c r="M280" s="2"/>
    </row>
    <row r="281" ht="15.75" customHeight="1">
      <c r="B281" s="2"/>
      <c r="C281" s="2"/>
      <c r="D281" s="2"/>
      <c r="E281" s="2"/>
      <c r="L281" s="2"/>
      <c r="M281" s="2"/>
    </row>
    <row r="282" ht="15.75" customHeight="1">
      <c r="B282" s="2"/>
      <c r="C282" s="2"/>
      <c r="D282" s="2"/>
      <c r="E282" s="2"/>
      <c r="L282" s="2"/>
      <c r="M282" s="2"/>
    </row>
    <row r="283" ht="15.75" customHeight="1">
      <c r="B283" s="2"/>
      <c r="C283" s="2"/>
      <c r="D283" s="2"/>
      <c r="E283" s="2"/>
      <c r="L283" s="2"/>
      <c r="M283" s="2"/>
    </row>
    <row r="284" ht="15.75" customHeight="1">
      <c r="B284" s="2"/>
      <c r="C284" s="2"/>
      <c r="D284" s="2"/>
      <c r="E284" s="2"/>
      <c r="L284" s="2"/>
      <c r="M284" s="2"/>
    </row>
    <row r="285" ht="15.75" customHeight="1">
      <c r="B285" s="2"/>
      <c r="C285" s="2"/>
      <c r="D285" s="2"/>
      <c r="E285" s="2"/>
      <c r="L285" s="2"/>
      <c r="M285" s="2"/>
    </row>
    <row r="286" ht="15.75" customHeight="1">
      <c r="B286" s="2"/>
      <c r="C286" s="2"/>
      <c r="D286" s="2"/>
      <c r="E286" s="2"/>
      <c r="L286" s="2"/>
      <c r="M286" s="2"/>
    </row>
    <row r="287" ht="15.75" customHeight="1">
      <c r="B287" s="2"/>
      <c r="C287" s="2"/>
      <c r="D287" s="2"/>
      <c r="E287" s="2"/>
      <c r="L287" s="2"/>
      <c r="M287" s="2"/>
    </row>
    <row r="288" ht="15.75" customHeight="1">
      <c r="B288" s="2"/>
      <c r="C288" s="2"/>
      <c r="D288" s="2"/>
      <c r="E288" s="2"/>
      <c r="L288" s="2"/>
      <c r="M288" s="2"/>
    </row>
    <row r="289" ht="15.75" customHeight="1">
      <c r="B289" s="2"/>
      <c r="C289" s="2"/>
      <c r="D289" s="2"/>
      <c r="E289" s="2"/>
      <c r="L289" s="2"/>
      <c r="M289" s="2"/>
    </row>
    <row r="290" ht="15.75" customHeight="1">
      <c r="B290" s="2"/>
      <c r="C290" s="2"/>
      <c r="D290" s="2"/>
      <c r="E290" s="2"/>
      <c r="L290" s="2"/>
      <c r="M290" s="2"/>
    </row>
    <row r="291" ht="15.75" customHeight="1">
      <c r="B291" s="2"/>
      <c r="C291" s="2"/>
      <c r="D291" s="2"/>
      <c r="E291" s="2"/>
      <c r="L291" s="2"/>
      <c r="M291" s="2"/>
    </row>
    <row r="292" ht="15.75" customHeight="1">
      <c r="B292" s="2"/>
      <c r="C292" s="2"/>
      <c r="D292" s="2"/>
      <c r="E292" s="2"/>
      <c r="L292" s="2"/>
      <c r="M292" s="2"/>
    </row>
    <row r="293" ht="15.75" customHeight="1">
      <c r="B293" s="2"/>
      <c r="C293" s="2"/>
      <c r="D293" s="2"/>
      <c r="E293" s="2"/>
      <c r="L293" s="2"/>
      <c r="M293" s="2"/>
    </row>
    <row r="294" ht="15.75" customHeight="1">
      <c r="B294" s="2"/>
      <c r="C294" s="2"/>
      <c r="D294" s="2"/>
      <c r="E294" s="2"/>
      <c r="L294" s="2"/>
      <c r="M294" s="2"/>
    </row>
    <row r="295" ht="15.75" customHeight="1">
      <c r="B295" s="2"/>
      <c r="C295" s="2"/>
      <c r="D295" s="2"/>
      <c r="E295" s="2"/>
      <c r="L295" s="2"/>
      <c r="M295" s="2"/>
    </row>
    <row r="296" ht="15.75" customHeight="1">
      <c r="B296" s="2"/>
      <c r="C296" s="2"/>
      <c r="D296" s="2"/>
      <c r="E296" s="2"/>
      <c r="L296" s="2"/>
      <c r="M296" s="2"/>
    </row>
    <row r="297" ht="15.75" customHeight="1">
      <c r="B297" s="2"/>
      <c r="C297" s="2"/>
      <c r="D297" s="2"/>
      <c r="E297" s="2"/>
      <c r="L297" s="2"/>
      <c r="M297" s="2"/>
    </row>
    <row r="298" ht="15.75" customHeight="1">
      <c r="B298" s="2"/>
      <c r="C298" s="2"/>
      <c r="D298" s="2"/>
      <c r="E298" s="2"/>
      <c r="L298" s="2"/>
      <c r="M298" s="2"/>
    </row>
    <row r="299" ht="15.75" customHeight="1">
      <c r="B299" s="2"/>
      <c r="C299" s="2"/>
      <c r="D299" s="2"/>
      <c r="E299" s="2"/>
      <c r="L299" s="2"/>
      <c r="M299" s="2"/>
    </row>
    <row r="300" ht="15.75" customHeight="1">
      <c r="B300" s="2"/>
      <c r="C300" s="2"/>
      <c r="D300" s="2"/>
      <c r="E300" s="2"/>
      <c r="L300" s="2"/>
      <c r="M300" s="2"/>
    </row>
    <row r="301" ht="15.75" customHeight="1">
      <c r="B301" s="2"/>
      <c r="C301" s="2"/>
      <c r="D301" s="2"/>
      <c r="E301" s="2"/>
      <c r="L301" s="2"/>
      <c r="M301" s="2"/>
    </row>
    <row r="302" ht="15.75" customHeight="1">
      <c r="B302" s="2"/>
      <c r="C302" s="2"/>
      <c r="D302" s="2"/>
      <c r="E302" s="2"/>
      <c r="L302" s="2"/>
      <c r="M302" s="2"/>
    </row>
    <row r="303" ht="15.75" customHeight="1">
      <c r="B303" s="2"/>
      <c r="C303" s="2"/>
      <c r="D303" s="2"/>
      <c r="E303" s="2"/>
      <c r="L303" s="2"/>
      <c r="M303" s="2"/>
    </row>
    <row r="304" ht="15.75" customHeight="1">
      <c r="B304" s="2"/>
      <c r="C304" s="2"/>
      <c r="D304" s="2"/>
      <c r="E304" s="2"/>
      <c r="L304" s="2"/>
      <c r="M304" s="2"/>
    </row>
    <row r="305" ht="15.75" customHeight="1">
      <c r="B305" s="2"/>
      <c r="C305" s="2"/>
      <c r="D305" s="2"/>
      <c r="E305" s="2"/>
      <c r="L305" s="2"/>
      <c r="M305" s="2"/>
    </row>
    <row r="306" ht="15.75" customHeight="1">
      <c r="B306" s="2"/>
      <c r="C306" s="2"/>
      <c r="D306" s="2"/>
      <c r="E306" s="2"/>
      <c r="L306" s="2"/>
      <c r="M306" s="2"/>
    </row>
    <row r="307" ht="15.75" customHeight="1">
      <c r="B307" s="2"/>
      <c r="C307" s="2"/>
      <c r="D307" s="2"/>
      <c r="E307" s="2"/>
      <c r="L307" s="2"/>
      <c r="M307" s="2"/>
    </row>
    <row r="308" ht="15.75" customHeight="1">
      <c r="B308" s="2"/>
      <c r="C308" s="2"/>
      <c r="D308" s="2"/>
      <c r="E308" s="2"/>
      <c r="L308" s="2"/>
      <c r="M308" s="2"/>
    </row>
    <row r="309" ht="15.75" customHeight="1">
      <c r="B309" s="2"/>
      <c r="C309" s="2"/>
      <c r="D309" s="2"/>
      <c r="E309" s="2"/>
      <c r="L309" s="2"/>
      <c r="M309" s="2"/>
    </row>
    <row r="310" ht="15.75" customHeight="1">
      <c r="B310" s="2"/>
      <c r="C310" s="2"/>
      <c r="D310" s="2"/>
      <c r="E310" s="2"/>
      <c r="L310" s="2"/>
      <c r="M310" s="2"/>
    </row>
    <row r="311" ht="15.75" customHeight="1">
      <c r="B311" s="2"/>
      <c r="C311" s="2"/>
      <c r="D311" s="2"/>
      <c r="E311" s="2"/>
      <c r="L311" s="2"/>
      <c r="M311" s="2"/>
    </row>
    <row r="312" ht="15.75" customHeight="1">
      <c r="B312" s="2"/>
      <c r="C312" s="2"/>
      <c r="D312" s="2"/>
      <c r="E312" s="2"/>
      <c r="L312" s="2"/>
      <c r="M312" s="2"/>
    </row>
    <row r="313" ht="15.75" customHeight="1">
      <c r="B313" s="2"/>
      <c r="C313" s="2"/>
      <c r="D313" s="2"/>
      <c r="E313" s="2"/>
      <c r="L313" s="2"/>
      <c r="M313" s="2"/>
    </row>
    <row r="314" ht="15.75" customHeight="1">
      <c r="B314" s="2"/>
      <c r="C314" s="2"/>
      <c r="D314" s="2"/>
      <c r="E314" s="2"/>
      <c r="L314" s="2"/>
      <c r="M314" s="2"/>
    </row>
    <row r="315" ht="15.75" customHeight="1">
      <c r="B315" s="2"/>
      <c r="C315" s="2"/>
      <c r="D315" s="2"/>
      <c r="E315" s="2"/>
      <c r="L315" s="2"/>
      <c r="M315" s="2"/>
    </row>
    <row r="316" ht="15.75" customHeight="1">
      <c r="B316" s="2"/>
      <c r="C316" s="2"/>
      <c r="D316" s="2"/>
      <c r="E316" s="2"/>
      <c r="L316" s="2"/>
      <c r="M316" s="2"/>
    </row>
    <row r="317" ht="15.75" customHeight="1">
      <c r="B317" s="2"/>
      <c r="C317" s="2"/>
      <c r="D317" s="2"/>
      <c r="E317" s="2"/>
      <c r="L317" s="2"/>
      <c r="M317" s="2"/>
    </row>
    <row r="318" ht="15.75" customHeight="1">
      <c r="B318" s="2"/>
      <c r="C318" s="2"/>
      <c r="D318" s="2"/>
      <c r="E318" s="2"/>
      <c r="L318" s="2"/>
      <c r="M318" s="2"/>
    </row>
    <row r="319" ht="15.75" customHeight="1">
      <c r="B319" s="2"/>
      <c r="C319" s="2"/>
      <c r="D319" s="2"/>
      <c r="E319" s="2"/>
      <c r="L319" s="2"/>
      <c r="M319" s="2"/>
    </row>
    <row r="320" ht="15.75" customHeight="1">
      <c r="B320" s="2"/>
      <c r="C320" s="2"/>
      <c r="D320" s="2"/>
      <c r="E320" s="2"/>
      <c r="L320" s="2"/>
      <c r="M320" s="2"/>
    </row>
    <row r="321" ht="15.75" customHeight="1">
      <c r="B321" s="2"/>
      <c r="C321" s="2"/>
      <c r="D321" s="2"/>
      <c r="E321" s="2"/>
      <c r="L321" s="2"/>
      <c r="M321" s="2"/>
    </row>
    <row r="322" ht="15.75" customHeight="1">
      <c r="B322" s="2"/>
      <c r="C322" s="2"/>
      <c r="D322" s="2"/>
      <c r="E322" s="2"/>
      <c r="L322" s="2"/>
      <c r="M322" s="2"/>
    </row>
    <row r="323" ht="15.75" customHeight="1">
      <c r="B323" s="2"/>
      <c r="C323" s="2"/>
      <c r="D323" s="2"/>
      <c r="E323" s="2"/>
      <c r="L323" s="2"/>
      <c r="M323" s="2"/>
    </row>
    <row r="324" ht="15.75" customHeight="1">
      <c r="B324" s="2"/>
      <c r="C324" s="2"/>
      <c r="D324" s="2"/>
      <c r="E324" s="2"/>
      <c r="L324" s="2"/>
      <c r="M324" s="2"/>
    </row>
    <row r="325" ht="15.75" customHeight="1">
      <c r="B325" s="2"/>
      <c r="C325" s="2"/>
      <c r="D325" s="2"/>
      <c r="E325" s="2"/>
      <c r="L325" s="2"/>
      <c r="M325" s="2"/>
    </row>
    <row r="326" ht="15.75" customHeight="1">
      <c r="B326" s="2"/>
      <c r="C326" s="2"/>
      <c r="D326" s="2"/>
      <c r="E326" s="2"/>
      <c r="L326" s="2"/>
      <c r="M326" s="2"/>
    </row>
    <row r="327" ht="15.75" customHeight="1">
      <c r="B327" s="2"/>
      <c r="C327" s="2"/>
      <c r="D327" s="2"/>
      <c r="E327" s="2"/>
      <c r="L327" s="2"/>
      <c r="M327" s="2"/>
    </row>
    <row r="328" ht="15.75" customHeight="1">
      <c r="B328" s="2"/>
      <c r="C328" s="2"/>
      <c r="D328" s="2"/>
      <c r="E328" s="2"/>
      <c r="L328" s="2"/>
      <c r="M328" s="2"/>
    </row>
    <row r="329" ht="15.75" customHeight="1">
      <c r="B329" s="2"/>
      <c r="C329" s="2"/>
      <c r="D329" s="2"/>
      <c r="E329" s="2"/>
      <c r="L329" s="2"/>
      <c r="M329" s="2"/>
    </row>
    <row r="330" ht="15.75" customHeight="1">
      <c r="B330" s="2"/>
      <c r="C330" s="2"/>
      <c r="D330" s="2"/>
      <c r="E330" s="2"/>
      <c r="L330" s="2"/>
      <c r="M330" s="2"/>
    </row>
    <row r="331" ht="15.75" customHeight="1">
      <c r="B331" s="2"/>
      <c r="C331" s="2"/>
      <c r="D331" s="2"/>
      <c r="E331" s="2"/>
      <c r="L331" s="2"/>
      <c r="M331" s="2"/>
    </row>
    <row r="332" ht="15.75" customHeight="1">
      <c r="B332" s="2"/>
      <c r="C332" s="2"/>
      <c r="D332" s="2"/>
      <c r="E332" s="2"/>
      <c r="L332" s="2"/>
      <c r="M332" s="2"/>
    </row>
    <row r="333" ht="15.75" customHeight="1">
      <c r="B333" s="2"/>
      <c r="C333" s="2"/>
      <c r="D333" s="2"/>
      <c r="E333" s="2"/>
      <c r="L333" s="2"/>
      <c r="M333" s="2"/>
    </row>
    <row r="334" ht="15.75" customHeight="1">
      <c r="B334" s="2"/>
      <c r="C334" s="2"/>
      <c r="D334" s="2"/>
      <c r="E334" s="2"/>
      <c r="L334" s="2"/>
      <c r="M334" s="2"/>
    </row>
    <row r="335" ht="15.75" customHeight="1">
      <c r="B335" s="2"/>
      <c r="C335" s="2"/>
      <c r="D335" s="2"/>
      <c r="E335" s="2"/>
      <c r="L335" s="2"/>
      <c r="M335" s="2"/>
    </row>
    <row r="336" ht="15.75" customHeight="1">
      <c r="B336" s="2"/>
      <c r="C336" s="2"/>
      <c r="D336" s="2"/>
      <c r="E336" s="2"/>
      <c r="L336" s="2"/>
      <c r="M336" s="2"/>
    </row>
    <row r="337" ht="15.75" customHeight="1">
      <c r="B337" s="2"/>
      <c r="C337" s="2"/>
      <c r="D337" s="2"/>
      <c r="E337" s="2"/>
      <c r="L337" s="2"/>
      <c r="M337" s="2"/>
    </row>
    <row r="338" ht="15.75" customHeight="1">
      <c r="B338" s="2"/>
      <c r="C338" s="2"/>
      <c r="D338" s="2"/>
      <c r="E338" s="2"/>
      <c r="L338" s="2"/>
      <c r="M338" s="2"/>
    </row>
    <row r="339" ht="15.75" customHeight="1">
      <c r="B339" s="2"/>
      <c r="C339" s="2"/>
      <c r="D339" s="2"/>
      <c r="E339" s="2"/>
      <c r="L339" s="2"/>
      <c r="M339" s="2"/>
    </row>
    <row r="340" ht="15.75" customHeight="1">
      <c r="B340" s="2"/>
      <c r="C340" s="2"/>
      <c r="D340" s="2"/>
      <c r="E340" s="2"/>
      <c r="L340" s="2"/>
      <c r="M340" s="2"/>
    </row>
    <row r="341" ht="15.75" customHeight="1">
      <c r="B341" s="2"/>
      <c r="C341" s="2"/>
      <c r="D341" s="2"/>
      <c r="E341" s="2"/>
      <c r="L341" s="2"/>
      <c r="M341" s="2"/>
    </row>
    <row r="342" ht="15.75" customHeight="1">
      <c r="B342" s="2"/>
      <c r="C342" s="2"/>
      <c r="D342" s="2"/>
      <c r="E342" s="2"/>
      <c r="L342" s="2"/>
      <c r="M342" s="2"/>
    </row>
    <row r="343" ht="15.75" customHeight="1">
      <c r="B343" s="2"/>
      <c r="C343" s="2"/>
      <c r="D343" s="2"/>
      <c r="E343" s="2"/>
      <c r="L343" s="2"/>
      <c r="M343" s="2"/>
    </row>
    <row r="344" ht="15.75" customHeight="1">
      <c r="B344" s="2"/>
      <c r="C344" s="2"/>
      <c r="D344" s="2"/>
      <c r="E344" s="2"/>
      <c r="L344" s="2"/>
      <c r="M344" s="2"/>
    </row>
    <row r="345" ht="15.75" customHeight="1">
      <c r="B345" s="2"/>
      <c r="C345" s="2"/>
      <c r="D345" s="2"/>
      <c r="E345" s="2"/>
      <c r="L345" s="2"/>
      <c r="M345" s="2"/>
    </row>
    <row r="346" ht="15.75" customHeight="1">
      <c r="B346" s="2"/>
      <c r="C346" s="2"/>
      <c r="D346" s="2"/>
      <c r="E346" s="2"/>
      <c r="L346" s="2"/>
      <c r="M346" s="2"/>
    </row>
    <row r="347" ht="15.75" customHeight="1">
      <c r="B347" s="2"/>
      <c r="C347" s="2"/>
      <c r="D347" s="2"/>
      <c r="E347" s="2"/>
      <c r="L347" s="2"/>
      <c r="M347" s="2"/>
    </row>
    <row r="348" ht="15.75" customHeight="1">
      <c r="B348" s="2"/>
      <c r="C348" s="2"/>
      <c r="D348" s="2"/>
      <c r="E348" s="2"/>
      <c r="L348" s="2"/>
      <c r="M348" s="2"/>
    </row>
    <row r="349" ht="15.75" customHeight="1">
      <c r="B349" s="2"/>
      <c r="C349" s="2"/>
      <c r="D349" s="2"/>
      <c r="E349" s="2"/>
      <c r="L349" s="2"/>
      <c r="M349" s="2"/>
    </row>
    <row r="350" ht="15.75" customHeight="1">
      <c r="B350" s="2"/>
      <c r="C350" s="2"/>
      <c r="D350" s="2"/>
      <c r="E350" s="2"/>
      <c r="L350" s="2"/>
      <c r="M350" s="2"/>
    </row>
    <row r="351" ht="15.75" customHeight="1">
      <c r="B351" s="2"/>
      <c r="C351" s="2"/>
      <c r="D351" s="2"/>
      <c r="E351" s="2"/>
      <c r="L351" s="2"/>
      <c r="M351" s="2"/>
    </row>
    <row r="352" ht="15.75" customHeight="1">
      <c r="B352" s="2"/>
      <c r="C352" s="2"/>
      <c r="D352" s="2"/>
      <c r="E352" s="2"/>
      <c r="L352" s="2"/>
      <c r="M352" s="2"/>
    </row>
    <row r="353" ht="15.75" customHeight="1">
      <c r="B353" s="2"/>
      <c r="C353" s="2"/>
      <c r="D353" s="2"/>
      <c r="E353" s="2"/>
      <c r="L353" s="2"/>
      <c r="M353" s="2"/>
    </row>
    <row r="354" ht="15.75" customHeight="1">
      <c r="B354" s="2"/>
      <c r="C354" s="2"/>
      <c r="D354" s="2"/>
      <c r="E354" s="2"/>
      <c r="L354" s="2"/>
      <c r="M354" s="2"/>
    </row>
    <row r="355" ht="15.75" customHeight="1">
      <c r="B355" s="2"/>
      <c r="C355" s="2"/>
      <c r="D355" s="2"/>
      <c r="E355" s="2"/>
      <c r="L355" s="2"/>
      <c r="M355" s="2"/>
    </row>
    <row r="356" ht="15.75" customHeight="1">
      <c r="B356" s="2"/>
      <c r="C356" s="2"/>
      <c r="D356" s="2"/>
      <c r="E356" s="2"/>
      <c r="L356" s="2"/>
      <c r="M356" s="2"/>
    </row>
    <row r="357" ht="15.75" customHeight="1">
      <c r="B357" s="2"/>
      <c r="C357" s="2"/>
      <c r="D357" s="2"/>
      <c r="E357" s="2"/>
      <c r="L357" s="2"/>
      <c r="M357" s="2"/>
    </row>
    <row r="358" ht="15.75" customHeight="1">
      <c r="B358" s="2"/>
      <c r="C358" s="2"/>
      <c r="D358" s="2"/>
      <c r="E358" s="2"/>
      <c r="L358" s="2"/>
      <c r="M358" s="2"/>
    </row>
    <row r="359" ht="15.75" customHeight="1">
      <c r="B359" s="2"/>
      <c r="C359" s="2"/>
      <c r="D359" s="2"/>
      <c r="E359" s="2"/>
      <c r="L359" s="2"/>
      <c r="M359" s="2"/>
    </row>
    <row r="360" ht="15.75" customHeight="1">
      <c r="B360" s="2"/>
      <c r="C360" s="2"/>
      <c r="D360" s="2"/>
      <c r="E360" s="2"/>
      <c r="L360" s="2"/>
      <c r="M360" s="2"/>
    </row>
    <row r="361" ht="15.75" customHeight="1">
      <c r="B361" s="2"/>
      <c r="C361" s="2"/>
      <c r="D361" s="2"/>
      <c r="E361" s="2"/>
      <c r="L361" s="2"/>
      <c r="M361" s="2"/>
    </row>
    <row r="362" ht="15.75" customHeight="1">
      <c r="B362" s="2"/>
      <c r="C362" s="2"/>
      <c r="D362" s="2"/>
      <c r="E362" s="2"/>
      <c r="L362" s="2"/>
      <c r="M362" s="2"/>
    </row>
    <row r="363" ht="15.75" customHeight="1">
      <c r="B363" s="2"/>
      <c r="C363" s="2"/>
      <c r="D363" s="2"/>
      <c r="E363" s="2"/>
      <c r="L363" s="2"/>
      <c r="M363" s="2"/>
    </row>
    <row r="364" ht="15.75" customHeight="1">
      <c r="B364" s="2"/>
      <c r="C364" s="2"/>
      <c r="D364" s="2"/>
      <c r="E364" s="2"/>
      <c r="L364" s="2"/>
      <c r="M364" s="2"/>
    </row>
    <row r="365" ht="15.75" customHeight="1">
      <c r="B365" s="2"/>
      <c r="C365" s="2"/>
      <c r="D365" s="2"/>
      <c r="E365" s="2"/>
      <c r="L365" s="2"/>
      <c r="M365" s="2"/>
    </row>
    <row r="366" ht="15.75" customHeight="1">
      <c r="B366" s="2"/>
      <c r="C366" s="2"/>
      <c r="D366" s="2"/>
      <c r="E366" s="2"/>
      <c r="L366" s="2"/>
      <c r="M366" s="2"/>
    </row>
    <row r="367" ht="15.75" customHeight="1">
      <c r="B367" s="2"/>
      <c r="C367" s="2"/>
      <c r="D367" s="2"/>
      <c r="E367" s="2"/>
      <c r="L367" s="2"/>
      <c r="M367" s="2"/>
    </row>
    <row r="368" ht="15.75" customHeight="1">
      <c r="B368" s="2"/>
      <c r="C368" s="2"/>
      <c r="D368" s="2"/>
      <c r="E368" s="2"/>
      <c r="L368" s="2"/>
      <c r="M368" s="2"/>
    </row>
    <row r="369" ht="15.75" customHeight="1">
      <c r="B369" s="2"/>
      <c r="C369" s="2"/>
      <c r="D369" s="2"/>
      <c r="E369" s="2"/>
      <c r="L369" s="2"/>
      <c r="M369" s="2"/>
    </row>
    <row r="370" ht="15.75" customHeight="1">
      <c r="B370" s="2"/>
      <c r="C370" s="2"/>
      <c r="D370" s="2"/>
      <c r="E370" s="2"/>
      <c r="L370" s="2"/>
      <c r="M370" s="2"/>
    </row>
    <row r="371" ht="15.75" customHeight="1">
      <c r="B371" s="2"/>
      <c r="C371" s="2"/>
      <c r="D371" s="2"/>
      <c r="E371" s="2"/>
      <c r="L371" s="2"/>
      <c r="M371" s="2"/>
    </row>
    <row r="372" ht="15.75" customHeight="1">
      <c r="B372" s="2"/>
      <c r="C372" s="2"/>
      <c r="D372" s="2"/>
      <c r="E372" s="2"/>
      <c r="L372" s="2"/>
      <c r="M372" s="2"/>
    </row>
    <row r="373" ht="15.75" customHeight="1">
      <c r="B373" s="2"/>
      <c r="C373" s="2"/>
      <c r="D373" s="2"/>
      <c r="E373" s="2"/>
      <c r="L373" s="2"/>
      <c r="M373" s="2"/>
    </row>
    <row r="374" ht="15.75" customHeight="1">
      <c r="B374" s="2"/>
      <c r="C374" s="2"/>
      <c r="D374" s="2"/>
      <c r="E374" s="2"/>
      <c r="L374" s="2"/>
      <c r="M374" s="2"/>
    </row>
    <row r="375" ht="15.75" customHeight="1">
      <c r="B375" s="2"/>
      <c r="C375" s="2"/>
      <c r="D375" s="2"/>
      <c r="E375" s="2"/>
      <c r="L375" s="2"/>
      <c r="M375" s="2"/>
    </row>
    <row r="376" ht="15.75" customHeight="1">
      <c r="B376" s="2"/>
      <c r="C376" s="2"/>
      <c r="D376" s="2"/>
      <c r="E376" s="2"/>
      <c r="L376" s="2"/>
      <c r="M376" s="2"/>
    </row>
    <row r="377" ht="15.75" customHeight="1">
      <c r="B377" s="2"/>
      <c r="C377" s="2"/>
      <c r="D377" s="2"/>
      <c r="E377" s="2"/>
      <c r="L377" s="2"/>
      <c r="M377" s="2"/>
    </row>
    <row r="378" ht="15.75" customHeight="1">
      <c r="B378" s="2"/>
      <c r="C378" s="2"/>
      <c r="D378" s="2"/>
      <c r="E378" s="2"/>
      <c r="L378" s="2"/>
      <c r="M378" s="2"/>
    </row>
    <row r="379" ht="15.75" customHeight="1">
      <c r="B379" s="2"/>
      <c r="C379" s="2"/>
      <c r="D379" s="2"/>
      <c r="E379" s="2"/>
      <c r="L379" s="2"/>
      <c r="M379" s="2"/>
    </row>
    <row r="380" ht="15.75" customHeight="1">
      <c r="B380" s="2"/>
      <c r="C380" s="2"/>
      <c r="D380" s="2"/>
      <c r="E380" s="2"/>
      <c r="L380" s="2"/>
      <c r="M380" s="2"/>
    </row>
    <row r="381" ht="15.75" customHeight="1">
      <c r="B381" s="2"/>
      <c r="C381" s="2"/>
      <c r="D381" s="2"/>
      <c r="E381" s="2"/>
      <c r="L381" s="2"/>
      <c r="M381" s="2"/>
    </row>
    <row r="382" ht="15.75" customHeight="1">
      <c r="B382" s="2"/>
      <c r="C382" s="2"/>
      <c r="D382" s="2"/>
      <c r="E382" s="2"/>
      <c r="L382" s="2"/>
      <c r="M382" s="2"/>
    </row>
    <row r="383" ht="15.75" customHeight="1">
      <c r="B383" s="2"/>
      <c r="C383" s="2"/>
      <c r="D383" s="2"/>
      <c r="E383" s="2"/>
      <c r="L383" s="2"/>
      <c r="M383" s="2"/>
    </row>
    <row r="384" ht="15.75" customHeight="1">
      <c r="B384" s="2"/>
      <c r="C384" s="2"/>
      <c r="D384" s="2"/>
      <c r="E384" s="2"/>
      <c r="L384" s="2"/>
      <c r="M384" s="2"/>
    </row>
    <row r="385" ht="15.75" customHeight="1">
      <c r="B385" s="2"/>
      <c r="C385" s="2"/>
      <c r="D385" s="2"/>
      <c r="E385" s="2"/>
      <c r="L385" s="2"/>
      <c r="M385" s="2"/>
    </row>
    <row r="386" ht="15.75" customHeight="1">
      <c r="B386" s="2"/>
      <c r="C386" s="2"/>
      <c r="D386" s="2"/>
      <c r="E386" s="2"/>
      <c r="L386" s="2"/>
      <c r="M386" s="2"/>
    </row>
    <row r="387" ht="15.75" customHeight="1">
      <c r="B387" s="2"/>
      <c r="C387" s="2"/>
      <c r="D387" s="2"/>
      <c r="E387" s="2"/>
      <c r="L387" s="2"/>
      <c r="M387" s="2"/>
    </row>
    <row r="388" ht="15.75" customHeight="1">
      <c r="B388" s="2"/>
      <c r="C388" s="2"/>
      <c r="D388" s="2"/>
      <c r="E388" s="2"/>
      <c r="L388" s="2"/>
      <c r="M388" s="2"/>
    </row>
    <row r="389" ht="15.75" customHeight="1">
      <c r="B389" s="2"/>
      <c r="C389" s="2"/>
      <c r="D389" s="2"/>
      <c r="E389" s="2"/>
      <c r="L389" s="2"/>
      <c r="M389" s="2"/>
    </row>
    <row r="390" ht="15.75" customHeight="1">
      <c r="B390" s="2"/>
      <c r="C390" s="2"/>
      <c r="D390" s="2"/>
      <c r="E390" s="2"/>
      <c r="L390" s="2"/>
      <c r="M390" s="2"/>
    </row>
    <row r="391" ht="15.75" customHeight="1">
      <c r="B391" s="2"/>
      <c r="C391" s="2"/>
      <c r="D391" s="2"/>
      <c r="E391" s="2"/>
      <c r="L391" s="2"/>
      <c r="M391" s="2"/>
    </row>
    <row r="392" ht="15.75" customHeight="1">
      <c r="B392" s="2"/>
      <c r="C392" s="2"/>
      <c r="D392" s="2"/>
      <c r="E392" s="2"/>
      <c r="L392" s="2"/>
      <c r="M392" s="2"/>
    </row>
    <row r="393" ht="15.75" customHeight="1">
      <c r="B393" s="2"/>
      <c r="C393" s="2"/>
      <c r="D393" s="2"/>
      <c r="E393" s="2"/>
      <c r="L393" s="2"/>
      <c r="M393" s="2"/>
    </row>
    <row r="394" ht="15.75" customHeight="1">
      <c r="B394" s="2"/>
      <c r="C394" s="2"/>
      <c r="D394" s="2"/>
      <c r="E394" s="2"/>
      <c r="L394" s="2"/>
      <c r="M394" s="2"/>
    </row>
    <row r="395" ht="15.75" customHeight="1">
      <c r="B395" s="2"/>
      <c r="C395" s="2"/>
      <c r="D395" s="2"/>
      <c r="E395" s="2"/>
      <c r="L395" s="2"/>
      <c r="M395" s="2"/>
    </row>
    <row r="396" ht="15.75" customHeight="1">
      <c r="B396" s="2"/>
      <c r="C396" s="2"/>
      <c r="D396" s="2"/>
      <c r="E396" s="2"/>
      <c r="L396" s="2"/>
      <c r="M396" s="2"/>
    </row>
    <row r="397" ht="15.75" customHeight="1">
      <c r="B397" s="2"/>
      <c r="C397" s="2"/>
      <c r="D397" s="2"/>
      <c r="E397" s="2"/>
      <c r="L397" s="2"/>
      <c r="M397" s="2"/>
    </row>
    <row r="398" ht="15.75" customHeight="1">
      <c r="B398" s="2"/>
      <c r="C398" s="2"/>
      <c r="D398" s="2"/>
      <c r="E398" s="2"/>
      <c r="L398" s="2"/>
      <c r="M398" s="2"/>
    </row>
    <row r="399" ht="15.75" customHeight="1">
      <c r="B399" s="2"/>
      <c r="C399" s="2"/>
      <c r="D399" s="2"/>
      <c r="E399" s="2"/>
      <c r="L399" s="2"/>
      <c r="M399" s="2"/>
    </row>
    <row r="400" ht="15.75" customHeight="1">
      <c r="B400" s="2"/>
      <c r="C400" s="2"/>
      <c r="D400" s="2"/>
      <c r="E400" s="2"/>
      <c r="L400" s="2"/>
      <c r="M400" s="2"/>
    </row>
    <row r="401" ht="15.75" customHeight="1">
      <c r="B401" s="2"/>
      <c r="C401" s="2"/>
      <c r="D401" s="2"/>
      <c r="E401" s="2"/>
      <c r="L401" s="2"/>
      <c r="M401" s="2"/>
    </row>
    <row r="402" ht="15.75" customHeight="1">
      <c r="B402" s="2"/>
      <c r="C402" s="2"/>
      <c r="D402" s="2"/>
      <c r="E402" s="2"/>
      <c r="L402" s="2"/>
      <c r="M402" s="2"/>
    </row>
    <row r="403" ht="15.75" customHeight="1">
      <c r="B403" s="2"/>
      <c r="C403" s="2"/>
      <c r="D403" s="2"/>
      <c r="E403" s="2"/>
      <c r="L403" s="2"/>
      <c r="M403" s="2"/>
    </row>
    <row r="404" ht="15.75" customHeight="1">
      <c r="B404" s="2"/>
      <c r="C404" s="2"/>
      <c r="D404" s="2"/>
      <c r="E404" s="2"/>
      <c r="L404" s="2"/>
      <c r="M404" s="2"/>
    </row>
    <row r="405" ht="15.75" customHeight="1">
      <c r="B405" s="2"/>
      <c r="C405" s="2"/>
      <c r="D405" s="2"/>
      <c r="E405" s="2"/>
      <c r="L405" s="2"/>
      <c r="M405" s="2"/>
    </row>
    <row r="406" ht="15.75" customHeight="1">
      <c r="B406" s="2"/>
      <c r="C406" s="2"/>
      <c r="D406" s="2"/>
      <c r="E406" s="2"/>
      <c r="L406" s="2"/>
      <c r="M406" s="2"/>
    </row>
    <row r="407" ht="15.75" customHeight="1">
      <c r="B407" s="2"/>
      <c r="C407" s="2"/>
      <c r="D407" s="2"/>
      <c r="E407" s="2"/>
      <c r="L407" s="2"/>
      <c r="M407" s="2"/>
    </row>
    <row r="408" ht="15.75" customHeight="1">
      <c r="B408" s="2"/>
      <c r="C408" s="2"/>
      <c r="D408" s="2"/>
      <c r="E408" s="2"/>
      <c r="L408" s="2"/>
      <c r="M408" s="2"/>
    </row>
    <row r="409" ht="15.75" customHeight="1">
      <c r="B409" s="2"/>
      <c r="C409" s="2"/>
      <c r="D409" s="2"/>
      <c r="E409" s="2"/>
      <c r="L409" s="2"/>
      <c r="M409" s="2"/>
    </row>
    <row r="410" ht="15.75" customHeight="1">
      <c r="B410" s="2"/>
      <c r="C410" s="2"/>
      <c r="D410" s="2"/>
      <c r="E410" s="2"/>
      <c r="L410" s="2"/>
      <c r="M410" s="2"/>
    </row>
    <row r="411" ht="15.75" customHeight="1">
      <c r="B411" s="2"/>
      <c r="C411" s="2"/>
      <c r="D411" s="2"/>
      <c r="E411" s="2"/>
      <c r="L411" s="2"/>
      <c r="M411" s="2"/>
    </row>
    <row r="412" ht="15.75" customHeight="1">
      <c r="B412" s="2"/>
      <c r="C412" s="2"/>
      <c r="D412" s="2"/>
      <c r="E412" s="2"/>
      <c r="L412" s="2"/>
      <c r="M412" s="2"/>
    </row>
    <row r="413" ht="15.75" customHeight="1">
      <c r="B413" s="2"/>
      <c r="C413" s="2"/>
      <c r="D413" s="2"/>
      <c r="E413" s="2"/>
      <c r="L413" s="2"/>
      <c r="M413" s="2"/>
    </row>
    <row r="414" ht="15.75" customHeight="1">
      <c r="B414" s="2"/>
      <c r="C414" s="2"/>
      <c r="D414" s="2"/>
      <c r="E414" s="2"/>
      <c r="L414" s="2"/>
      <c r="M414" s="2"/>
    </row>
    <row r="415" ht="15.75" customHeight="1">
      <c r="B415" s="2"/>
      <c r="C415" s="2"/>
      <c r="D415" s="2"/>
      <c r="E415" s="2"/>
      <c r="L415" s="2"/>
      <c r="M415" s="2"/>
    </row>
    <row r="416" ht="15.75" customHeight="1">
      <c r="B416" s="2"/>
      <c r="C416" s="2"/>
      <c r="D416" s="2"/>
      <c r="E416" s="2"/>
      <c r="L416" s="2"/>
      <c r="M416" s="2"/>
    </row>
    <row r="417" ht="15.75" customHeight="1">
      <c r="B417" s="2"/>
      <c r="C417" s="2"/>
      <c r="D417" s="2"/>
      <c r="E417" s="2"/>
      <c r="L417" s="2"/>
      <c r="M417" s="2"/>
    </row>
    <row r="418" ht="15.75" customHeight="1">
      <c r="B418" s="2"/>
      <c r="C418" s="2"/>
      <c r="D418" s="2"/>
      <c r="E418" s="2"/>
      <c r="L418" s="2"/>
      <c r="M418" s="2"/>
    </row>
    <row r="419" ht="15.75" customHeight="1">
      <c r="B419" s="2"/>
      <c r="C419" s="2"/>
      <c r="D419" s="2"/>
      <c r="E419" s="2"/>
      <c r="L419" s="2"/>
      <c r="M419" s="2"/>
    </row>
    <row r="420" ht="15.75" customHeight="1">
      <c r="B420" s="2"/>
      <c r="C420" s="2"/>
      <c r="D420" s="2"/>
      <c r="E420" s="2"/>
      <c r="L420" s="2"/>
      <c r="M420" s="2"/>
    </row>
    <row r="421" ht="15.75" customHeight="1">
      <c r="B421" s="2"/>
      <c r="C421" s="2"/>
      <c r="D421" s="2"/>
      <c r="E421" s="2"/>
      <c r="L421" s="2"/>
      <c r="M421" s="2"/>
    </row>
    <row r="422" ht="15.75" customHeight="1">
      <c r="B422" s="2"/>
      <c r="C422" s="2"/>
      <c r="D422" s="2"/>
      <c r="E422" s="2"/>
      <c r="L422" s="2"/>
      <c r="M422" s="2"/>
    </row>
    <row r="423" ht="15.75" customHeight="1">
      <c r="B423" s="2"/>
      <c r="C423" s="2"/>
      <c r="D423" s="2"/>
      <c r="E423" s="2"/>
      <c r="L423" s="2"/>
      <c r="M423" s="2"/>
    </row>
    <row r="424" ht="15.75" customHeight="1">
      <c r="B424" s="2"/>
      <c r="C424" s="2"/>
      <c r="D424" s="2"/>
      <c r="E424" s="2"/>
      <c r="L424" s="2"/>
      <c r="M424" s="2"/>
    </row>
    <row r="425" ht="15.75" customHeight="1">
      <c r="B425" s="2"/>
      <c r="C425" s="2"/>
      <c r="D425" s="2"/>
      <c r="E425" s="2"/>
      <c r="L425" s="2"/>
      <c r="M425" s="2"/>
    </row>
    <row r="426" ht="15.75" customHeight="1">
      <c r="B426" s="2"/>
      <c r="C426" s="2"/>
      <c r="D426" s="2"/>
      <c r="E426" s="2"/>
      <c r="L426" s="2"/>
      <c r="M426" s="2"/>
    </row>
    <row r="427" ht="15.75" customHeight="1">
      <c r="B427" s="2"/>
      <c r="C427" s="2"/>
      <c r="D427" s="2"/>
      <c r="E427" s="2"/>
      <c r="L427" s="2"/>
      <c r="M427" s="2"/>
    </row>
    <row r="428" ht="15.75" customHeight="1">
      <c r="B428" s="2"/>
      <c r="C428" s="2"/>
      <c r="D428" s="2"/>
      <c r="E428" s="2"/>
      <c r="L428" s="2"/>
      <c r="M428" s="2"/>
    </row>
    <row r="429" ht="15.75" customHeight="1">
      <c r="B429" s="2"/>
      <c r="C429" s="2"/>
      <c r="D429" s="2"/>
      <c r="E429" s="2"/>
      <c r="L429" s="2"/>
      <c r="M429" s="2"/>
    </row>
    <row r="430" ht="15.75" customHeight="1">
      <c r="B430" s="2"/>
      <c r="C430" s="2"/>
      <c r="D430" s="2"/>
      <c r="E430" s="2"/>
      <c r="L430" s="2"/>
      <c r="M430" s="2"/>
    </row>
    <row r="431" ht="15.75" customHeight="1">
      <c r="B431" s="2"/>
      <c r="C431" s="2"/>
      <c r="D431" s="2"/>
      <c r="E431" s="2"/>
      <c r="L431" s="2"/>
      <c r="M431" s="2"/>
    </row>
    <row r="432" ht="15.75" customHeight="1">
      <c r="B432" s="2"/>
      <c r="C432" s="2"/>
      <c r="D432" s="2"/>
      <c r="E432" s="2"/>
      <c r="L432" s="2"/>
      <c r="M432" s="2"/>
    </row>
    <row r="433" ht="15.75" customHeight="1">
      <c r="B433" s="2"/>
      <c r="C433" s="2"/>
      <c r="D433" s="2"/>
      <c r="E433" s="2"/>
      <c r="L433" s="2"/>
      <c r="M433" s="2"/>
    </row>
    <row r="434" ht="15.75" customHeight="1">
      <c r="B434" s="2"/>
      <c r="C434" s="2"/>
      <c r="D434" s="2"/>
      <c r="E434" s="2"/>
      <c r="L434" s="2"/>
      <c r="M434" s="2"/>
    </row>
    <row r="435" ht="15.75" customHeight="1">
      <c r="B435" s="2"/>
      <c r="C435" s="2"/>
      <c r="D435" s="2"/>
      <c r="E435" s="2"/>
      <c r="L435" s="2"/>
      <c r="M435" s="2"/>
    </row>
    <row r="436" ht="15.75" customHeight="1">
      <c r="B436" s="2"/>
      <c r="C436" s="2"/>
      <c r="D436" s="2"/>
      <c r="E436" s="2"/>
      <c r="L436" s="2"/>
      <c r="M436" s="2"/>
    </row>
    <row r="437" ht="15.75" customHeight="1">
      <c r="B437" s="2"/>
      <c r="C437" s="2"/>
      <c r="D437" s="2"/>
      <c r="E437" s="2"/>
      <c r="L437" s="2"/>
      <c r="M437" s="2"/>
    </row>
    <row r="438" ht="15.75" customHeight="1">
      <c r="B438" s="2"/>
      <c r="C438" s="2"/>
      <c r="D438" s="2"/>
      <c r="E438" s="2"/>
      <c r="L438" s="2"/>
      <c r="M438" s="2"/>
    </row>
    <row r="439" ht="15.75" customHeight="1">
      <c r="B439" s="2"/>
      <c r="C439" s="2"/>
      <c r="D439" s="2"/>
      <c r="E439" s="2"/>
      <c r="L439" s="2"/>
      <c r="M439" s="2"/>
    </row>
    <row r="440" ht="15.75" customHeight="1">
      <c r="B440" s="2"/>
      <c r="C440" s="2"/>
      <c r="D440" s="2"/>
      <c r="E440" s="2"/>
      <c r="L440" s="2"/>
      <c r="M440" s="2"/>
    </row>
    <row r="441" ht="15.75" customHeight="1">
      <c r="B441" s="2"/>
      <c r="C441" s="2"/>
      <c r="D441" s="2"/>
      <c r="E441" s="2"/>
      <c r="L441" s="2"/>
      <c r="M441" s="2"/>
    </row>
    <row r="442" ht="15.75" customHeight="1">
      <c r="B442" s="2"/>
      <c r="C442" s="2"/>
      <c r="D442" s="2"/>
      <c r="E442" s="2"/>
      <c r="L442" s="2"/>
      <c r="M442" s="2"/>
    </row>
    <row r="443" ht="15.75" customHeight="1">
      <c r="B443" s="2"/>
      <c r="C443" s="2"/>
      <c r="D443" s="2"/>
      <c r="E443" s="2"/>
      <c r="L443" s="2"/>
      <c r="M443" s="2"/>
    </row>
    <row r="444" ht="15.75" customHeight="1">
      <c r="B444" s="2"/>
      <c r="C444" s="2"/>
      <c r="D444" s="2"/>
      <c r="E444" s="2"/>
      <c r="L444" s="2"/>
      <c r="M444" s="2"/>
    </row>
    <row r="445" ht="15.75" customHeight="1">
      <c r="B445" s="2"/>
      <c r="C445" s="2"/>
      <c r="D445" s="2"/>
      <c r="E445" s="2"/>
      <c r="L445" s="2"/>
      <c r="M445" s="2"/>
    </row>
    <row r="446" ht="15.75" customHeight="1">
      <c r="B446" s="2"/>
      <c r="C446" s="2"/>
      <c r="D446" s="2"/>
      <c r="E446" s="2"/>
      <c r="L446" s="2"/>
      <c r="M446" s="2"/>
    </row>
    <row r="447" ht="15.75" customHeight="1">
      <c r="B447" s="2"/>
      <c r="C447" s="2"/>
      <c r="D447" s="2"/>
      <c r="E447" s="2"/>
      <c r="L447" s="2"/>
      <c r="M447" s="2"/>
    </row>
    <row r="448" ht="15.75" customHeight="1">
      <c r="B448" s="2"/>
      <c r="C448" s="2"/>
      <c r="D448" s="2"/>
      <c r="E448" s="2"/>
      <c r="L448" s="2"/>
      <c r="M448" s="2"/>
    </row>
    <row r="449" ht="15.75" customHeight="1">
      <c r="B449" s="2"/>
      <c r="C449" s="2"/>
      <c r="D449" s="2"/>
      <c r="E449" s="2"/>
      <c r="L449" s="2"/>
      <c r="M449" s="2"/>
    </row>
    <row r="450" ht="15.75" customHeight="1">
      <c r="B450" s="2"/>
      <c r="C450" s="2"/>
      <c r="D450" s="2"/>
      <c r="E450" s="2"/>
      <c r="L450" s="2"/>
      <c r="M450" s="2"/>
    </row>
    <row r="451" ht="15.75" customHeight="1">
      <c r="B451" s="2"/>
      <c r="C451" s="2"/>
      <c r="D451" s="2"/>
      <c r="E451" s="2"/>
      <c r="L451" s="2"/>
      <c r="M451" s="2"/>
    </row>
    <row r="452" ht="15.75" customHeight="1">
      <c r="B452" s="2"/>
      <c r="C452" s="2"/>
      <c r="D452" s="2"/>
      <c r="E452" s="2"/>
      <c r="L452" s="2"/>
      <c r="M452" s="2"/>
    </row>
    <row r="453" ht="15.75" customHeight="1">
      <c r="B453" s="2"/>
      <c r="C453" s="2"/>
      <c r="D453" s="2"/>
      <c r="E453" s="2"/>
      <c r="L453" s="2"/>
      <c r="M453" s="2"/>
    </row>
    <row r="454" ht="15.75" customHeight="1">
      <c r="B454" s="2"/>
      <c r="C454" s="2"/>
      <c r="D454" s="2"/>
      <c r="E454" s="2"/>
      <c r="L454" s="2"/>
      <c r="M454" s="2"/>
    </row>
    <row r="455" ht="15.75" customHeight="1">
      <c r="B455" s="2"/>
      <c r="C455" s="2"/>
      <c r="D455" s="2"/>
      <c r="E455" s="2"/>
      <c r="L455" s="2"/>
      <c r="M455" s="2"/>
    </row>
    <row r="456" ht="15.75" customHeight="1">
      <c r="B456" s="2"/>
      <c r="C456" s="2"/>
      <c r="D456" s="2"/>
      <c r="E456" s="2"/>
      <c r="L456" s="2"/>
      <c r="M456" s="2"/>
    </row>
    <row r="457" ht="15.75" customHeight="1">
      <c r="B457" s="2"/>
      <c r="C457" s="2"/>
      <c r="D457" s="2"/>
      <c r="E457" s="2"/>
      <c r="L457" s="2"/>
      <c r="M457" s="2"/>
    </row>
    <row r="458" ht="15.75" customHeight="1">
      <c r="B458" s="2"/>
      <c r="C458" s="2"/>
      <c r="D458" s="2"/>
      <c r="E458" s="2"/>
      <c r="L458" s="2"/>
      <c r="M458" s="2"/>
    </row>
    <row r="459" ht="15.75" customHeight="1">
      <c r="B459" s="2"/>
      <c r="C459" s="2"/>
      <c r="D459" s="2"/>
      <c r="E459" s="2"/>
      <c r="L459" s="2"/>
      <c r="M459" s="2"/>
    </row>
    <row r="460" ht="15.75" customHeight="1">
      <c r="B460" s="2"/>
      <c r="C460" s="2"/>
      <c r="D460" s="2"/>
      <c r="E460" s="2"/>
      <c r="L460" s="2"/>
      <c r="M460" s="2"/>
    </row>
    <row r="461" ht="15.75" customHeight="1">
      <c r="B461" s="2"/>
      <c r="C461" s="2"/>
      <c r="D461" s="2"/>
      <c r="E461" s="2"/>
      <c r="L461" s="2"/>
      <c r="M461" s="2"/>
    </row>
    <row r="462" ht="15.75" customHeight="1">
      <c r="B462" s="2"/>
      <c r="C462" s="2"/>
      <c r="D462" s="2"/>
      <c r="E462" s="2"/>
      <c r="L462" s="2"/>
      <c r="M462" s="2"/>
    </row>
    <row r="463" ht="15.75" customHeight="1">
      <c r="B463" s="2"/>
      <c r="C463" s="2"/>
      <c r="D463" s="2"/>
      <c r="E463" s="2"/>
      <c r="L463" s="2"/>
      <c r="M463" s="2"/>
    </row>
    <row r="464" ht="15.75" customHeight="1">
      <c r="B464" s="2"/>
      <c r="C464" s="2"/>
      <c r="D464" s="2"/>
      <c r="E464" s="2"/>
      <c r="L464" s="2"/>
      <c r="M464" s="2"/>
    </row>
    <row r="465" ht="15.75" customHeight="1">
      <c r="B465" s="2"/>
      <c r="C465" s="2"/>
      <c r="D465" s="2"/>
      <c r="E465" s="2"/>
      <c r="L465" s="2"/>
      <c r="M465" s="2"/>
    </row>
    <row r="466" ht="15.75" customHeight="1">
      <c r="B466" s="2"/>
      <c r="C466" s="2"/>
      <c r="D466" s="2"/>
      <c r="E466" s="2"/>
      <c r="L466" s="2"/>
      <c r="M466" s="2"/>
    </row>
    <row r="467" ht="15.75" customHeight="1">
      <c r="B467" s="2"/>
      <c r="C467" s="2"/>
      <c r="D467" s="2"/>
      <c r="E467" s="2"/>
      <c r="L467" s="2"/>
      <c r="M467" s="2"/>
    </row>
    <row r="468" ht="15.75" customHeight="1">
      <c r="B468" s="2"/>
      <c r="C468" s="2"/>
      <c r="D468" s="2"/>
      <c r="E468" s="2"/>
      <c r="L468" s="2"/>
      <c r="M468" s="2"/>
    </row>
    <row r="469" ht="15.75" customHeight="1">
      <c r="B469" s="2"/>
      <c r="C469" s="2"/>
      <c r="D469" s="2"/>
      <c r="E469" s="2"/>
      <c r="L469" s="2"/>
      <c r="M469" s="2"/>
    </row>
    <row r="470" ht="15.75" customHeight="1">
      <c r="B470" s="2"/>
      <c r="C470" s="2"/>
      <c r="D470" s="2"/>
      <c r="E470" s="2"/>
      <c r="L470" s="2"/>
      <c r="M470" s="2"/>
    </row>
    <row r="471" ht="15.75" customHeight="1">
      <c r="B471" s="2"/>
      <c r="C471" s="2"/>
      <c r="D471" s="2"/>
      <c r="E471" s="2"/>
      <c r="L471" s="2"/>
      <c r="M471" s="2"/>
    </row>
    <row r="472" ht="15.75" customHeight="1">
      <c r="B472" s="2"/>
      <c r="C472" s="2"/>
      <c r="D472" s="2"/>
      <c r="E472" s="2"/>
      <c r="L472" s="2"/>
      <c r="M472" s="2"/>
    </row>
    <row r="473" ht="15.75" customHeight="1">
      <c r="B473" s="2"/>
      <c r="C473" s="2"/>
      <c r="D473" s="2"/>
      <c r="E473" s="2"/>
      <c r="L473" s="2"/>
      <c r="M473" s="2"/>
    </row>
    <row r="474" ht="15.75" customHeight="1">
      <c r="B474" s="2"/>
      <c r="C474" s="2"/>
      <c r="D474" s="2"/>
      <c r="E474" s="2"/>
      <c r="L474" s="2"/>
      <c r="M474" s="2"/>
    </row>
    <row r="475" ht="15.75" customHeight="1">
      <c r="B475" s="2"/>
      <c r="C475" s="2"/>
      <c r="D475" s="2"/>
      <c r="E475" s="2"/>
      <c r="L475" s="2"/>
      <c r="M475" s="2"/>
    </row>
    <row r="476" ht="15.75" customHeight="1">
      <c r="B476" s="2"/>
      <c r="C476" s="2"/>
      <c r="D476" s="2"/>
      <c r="E476" s="2"/>
      <c r="L476" s="2"/>
      <c r="M476" s="2"/>
    </row>
    <row r="477" ht="15.75" customHeight="1">
      <c r="B477" s="2"/>
      <c r="C477" s="2"/>
      <c r="D477" s="2"/>
      <c r="E477" s="2"/>
      <c r="L477" s="2"/>
      <c r="M477" s="2"/>
    </row>
    <row r="478" ht="15.75" customHeight="1">
      <c r="B478" s="2"/>
      <c r="C478" s="2"/>
      <c r="D478" s="2"/>
      <c r="E478" s="2"/>
      <c r="L478" s="2"/>
      <c r="M478" s="2"/>
    </row>
    <row r="479" ht="15.75" customHeight="1">
      <c r="B479" s="2"/>
      <c r="C479" s="2"/>
      <c r="D479" s="2"/>
      <c r="E479" s="2"/>
      <c r="L479" s="2"/>
      <c r="M479" s="2"/>
    </row>
    <row r="480" ht="15.75" customHeight="1">
      <c r="B480" s="2"/>
      <c r="C480" s="2"/>
      <c r="D480" s="2"/>
      <c r="E480" s="2"/>
      <c r="L480" s="2"/>
      <c r="M480" s="2"/>
    </row>
    <row r="481" ht="15.75" customHeight="1">
      <c r="B481" s="2"/>
      <c r="C481" s="2"/>
      <c r="D481" s="2"/>
      <c r="E481" s="2"/>
      <c r="L481" s="2"/>
      <c r="M481" s="2"/>
    </row>
    <row r="482" ht="15.75" customHeight="1">
      <c r="B482" s="2"/>
      <c r="C482" s="2"/>
      <c r="D482" s="2"/>
      <c r="E482" s="2"/>
      <c r="L482" s="2"/>
      <c r="M482" s="2"/>
    </row>
    <row r="483" ht="15.75" customHeight="1">
      <c r="B483" s="2"/>
      <c r="C483" s="2"/>
      <c r="D483" s="2"/>
      <c r="E483" s="2"/>
      <c r="L483" s="2"/>
      <c r="M483" s="2"/>
    </row>
    <row r="484" ht="15.75" customHeight="1">
      <c r="B484" s="2"/>
      <c r="C484" s="2"/>
      <c r="D484" s="2"/>
      <c r="E484" s="2"/>
      <c r="L484" s="2"/>
      <c r="M484" s="2"/>
    </row>
    <row r="485" ht="15.75" customHeight="1">
      <c r="B485" s="2"/>
      <c r="C485" s="2"/>
      <c r="D485" s="2"/>
      <c r="E485" s="2"/>
      <c r="L485" s="2"/>
      <c r="M485" s="2"/>
    </row>
    <row r="486" ht="15.75" customHeight="1">
      <c r="B486" s="2"/>
      <c r="C486" s="2"/>
      <c r="D486" s="2"/>
      <c r="E486" s="2"/>
      <c r="L486" s="2"/>
      <c r="M486" s="2"/>
    </row>
    <row r="487" ht="15.75" customHeight="1">
      <c r="B487" s="2"/>
      <c r="C487" s="2"/>
      <c r="D487" s="2"/>
      <c r="E487" s="2"/>
      <c r="L487" s="2"/>
      <c r="M487" s="2"/>
    </row>
    <row r="488" ht="15.75" customHeight="1">
      <c r="B488" s="2"/>
      <c r="C488" s="2"/>
      <c r="D488" s="2"/>
      <c r="E488" s="2"/>
      <c r="L488" s="2"/>
      <c r="M488" s="2"/>
    </row>
    <row r="489" ht="15.75" customHeight="1">
      <c r="B489" s="2"/>
      <c r="C489" s="2"/>
      <c r="D489" s="2"/>
      <c r="E489" s="2"/>
      <c r="L489" s="2"/>
      <c r="M489" s="2"/>
    </row>
    <row r="490" ht="15.75" customHeight="1">
      <c r="B490" s="2"/>
      <c r="C490" s="2"/>
      <c r="D490" s="2"/>
      <c r="E490" s="2"/>
      <c r="L490" s="2"/>
      <c r="M490" s="2"/>
    </row>
    <row r="491" ht="15.75" customHeight="1">
      <c r="B491" s="2"/>
      <c r="C491" s="2"/>
      <c r="D491" s="2"/>
      <c r="E491" s="2"/>
      <c r="L491" s="2"/>
      <c r="M491" s="2"/>
    </row>
    <row r="492" ht="15.75" customHeight="1">
      <c r="B492" s="2"/>
      <c r="C492" s="2"/>
      <c r="D492" s="2"/>
      <c r="E492" s="2"/>
      <c r="L492" s="2"/>
      <c r="M492" s="2"/>
    </row>
    <row r="493" ht="15.75" customHeight="1">
      <c r="B493" s="2"/>
      <c r="C493" s="2"/>
      <c r="D493" s="2"/>
      <c r="E493" s="2"/>
      <c r="L493" s="2"/>
      <c r="M493" s="2"/>
    </row>
    <row r="494" ht="15.75" customHeight="1">
      <c r="B494" s="2"/>
      <c r="C494" s="2"/>
      <c r="D494" s="2"/>
      <c r="E494" s="2"/>
      <c r="L494" s="2"/>
      <c r="M494" s="2"/>
    </row>
    <row r="495" ht="15.75" customHeight="1">
      <c r="B495" s="2"/>
      <c r="C495" s="2"/>
      <c r="D495" s="2"/>
      <c r="E495" s="2"/>
      <c r="L495" s="2"/>
      <c r="M495" s="2"/>
    </row>
    <row r="496" ht="15.75" customHeight="1">
      <c r="B496" s="2"/>
      <c r="C496" s="2"/>
      <c r="D496" s="2"/>
      <c r="E496" s="2"/>
      <c r="L496" s="2"/>
      <c r="M496" s="2"/>
    </row>
    <row r="497" ht="15.75" customHeight="1">
      <c r="B497" s="2"/>
      <c r="C497" s="2"/>
      <c r="D497" s="2"/>
      <c r="E497" s="2"/>
      <c r="L497" s="2"/>
      <c r="M497" s="2"/>
    </row>
    <row r="498" ht="15.75" customHeight="1">
      <c r="B498" s="2"/>
      <c r="C498" s="2"/>
      <c r="D498" s="2"/>
      <c r="E498" s="2"/>
      <c r="L498" s="2"/>
      <c r="M498" s="2"/>
    </row>
    <row r="499" ht="15.75" customHeight="1">
      <c r="B499" s="2"/>
      <c r="C499" s="2"/>
      <c r="D499" s="2"/>
      <c r="E499" s="2"/>
      <c r="L499" s="2"/>
      <c r="M499" s="2"/>
    </row>
    <row r="500" ht="15.75" customHeight="1">
      <c r="B500" s="2"/>
      <c r="C500" s="2"/>
      <c r="D500" s="2"/>
      <c r="E500" s="2"/>
      <c r="L500" s="2"/>
      <c r="M500" s="2"/>
    </row>
    <row r="501" ht="15.75" customHeight="1">
      <c r="B501" s="2"/>
      <c r="C501" s="2"/>
      <c r="D501" s="2"/>
      <c r="E501" s="2"/>
      <c r="L501" s="2"/>
      <c r="M501" s="2"/>
    </row>
    <row r="502" ht="15.75" customHeight="1">
      <c r="B502" s="2"/>
      <c r="C502" s="2"/>
      <c r="D502" s="2"/>
      <c r="E502" s="2"/>
      <c r="L502" s="2"/>
      <c r="M502" s="2"/>
    </row>
    <row r="503" ht="15.75" customHeight="1">
      <c r="B503" s="2"/>
      <c r="C503" s="2"/>
      <c r="D503" s="2"/>
      <c r="E503" s="2"/>
      <c r="L503" s="2"/>
      <c r="M503" s="2"/>
    </row>
    <row r="504" ht="15.75" customHeight="1">
      <c r="B504" s="2"/>
      <c r="C504" s="2"/>
      <c r="D504" s="2"/>
      <c r="E504" s="2"/>
      <c r="L504" s="2"/>
      <c r="M504" s="2"/>
    </row>
    <row r="505" ht="15.75" customHeight="1">
      <c r="B505" s="2"/>
      <c r="C505" s="2"/>
      <c r="D505" s="2"/>
      <c r="E505" s="2"/>
      <c r="L505" s="2"/>
      <c r="M505" s="2"/>
    </row>
    <row r="506" ht="15.75" customHeight="1">
      <c r="B506" s="2"/>
      <c r="C506" s="2"/>
      <c r="D506" s="2"/>
      <c r="E506" s="2"/>
      <c r="L506" s="2"/>
      <c r="M506" s="2"/>
    </row>
    <row r="507" ht="15.75" customHeight="1">
      <c r="B507" s="2"/>
      <c r="C507" s="2"/>
      <c r="D507" s="2"/>
      <c r="E507" s="2"/>
      <c r="L507" s="2"/>
      <c r="M507" s="2"/>
    </row>
    <row r="508" ht="15.75" customHeight="1">
      <c r="B508" s="2"/>
      <c r="C508" s="2"/>
      <c r="D508" s="2"/>
      <c r="E508" s="2"/>
      <c r="L508" s="2"/>
      <c r="M508" s="2"/>
    </row>
    <row r="509" ht="15.75" customHeight="1">
      <c r="B509" s="2"/>
      <c r="C509" s="2"/>
      <c r="D509" s="2"/>
      <c r="E509" s="2"/>
      <c r="L509" s="2"/>
      <c r="M509" s="2"/>
    </row>
    <row r="510" ht="15.75" customHeight="1">
      <c r="B510" s="2"/>
      <c r="C510" s="2"/>
      <c r="D510" s="2"/>
      <c r="E510" s="2"/>
      <c r="L510" s="2"/>
      <c r="M510" s="2"/>
    </row>
    <row r="511" ht="15.75" customHeight="1">
      <c r="B511" s="2"/>
      <c r="C511" s="2"/>
      <c r="D511" s="2"/>
      <c r="E511" s="2"/>
      <c r="L511" s="2"/>
      <c r="M511" s="2"/>
    </row>
    <row r="512" ht="15.75" customHeight="1">
      <c r="B512" s="2"/>
      <c r="C512" s="2"/>
      <c r="D512" s="2"/>
      <c r="E512" s="2"/>
      <c r="L512" s="2"/>
      <c r="M512" s="2"/>
    </row>
    <row r="513" ht="15.75" customHeight="1">
      <c r="B513" s="2"/>
      <c r="C513" s="2"/>
      <c r="D513" s="2"/>
      <c r="E513" s="2"/>
      <c r="L513" s="2"/>
      <c r="M513" s="2"/>
    </row>
    <row r="514" ht="15.75" customHeight="1">
      <c r="B514" s="2"/>
      <c r="C514" s="2"/>
      <c r="D514" s="2"/>
      <c r="E514" s="2"/>
      <c r="L514" s="2"/>
      <c r="M514" s="2"/>
    </row>
    <row r="515" ht="15.75" customHeight="1">
      <c r="B515" s="2"/>
      <c r="C515" s="2"/>
      <c r="D515" s="2"/>
      <c r="E515" s="2"/>
      <c r="L515" s="2"/>
      <c r="M515" s="2"/>
    </row>
    <row r="516" ht="15.75" customHeight="1">
      <c r="B516" s="2"/>
      <c r="C516" s="2"/>
      <c r="D516" s="2"/>
      <c r="E516" s="2"/>
      <c r="L516" s="2"/>
      <c r="M516" s="2"/>
    </row>
    <row r="517" ht="15.75" customHeight="1">
      <c r="B517" s="2"/>
      <c r="C517" s="2"/>
      <c r="D517" s="2"/>
      <c r="E517" s="2"/>
      <c r="L517" s="2"/>
      <c r="M517" s="2"/>
    </row>
    <row r="518" ht="15.75" customHeight="1">
      <c r="B518" s="2"/>
      <c r="C518" s="2"/>
      <c r="D518" s="2"/>
      <c r="E518" s="2"/>
      <c r="L518" s="2"/>
      <c r="M518" s="2"/>
    </row>
    <row r="519" ht="15.75" customHeight="1">
      <c r="B519" s="2"/>
      <c r="C519" s="2"/>
      <c r="D519" s="2"/>
      <c r="E519" s="2"/>
      <c r="L519" s="2"/>
      <c r="M519" s="2"/>
    </row>
    <row r="520" ht="15.75" customHeight="1">
      <c r="B520" s="2"/>
      <c r="C520" s="2"/>
      <c r="D520" s="2"/>
      <c r="E520" s="2"/>
      <c r="L520" s="2"/>
      <c r="M520" s="2"/>
    </row>
    <row r="521" ht="15.75" customHeight="1">
      <c r="B521" s="2"/>
      <c r="C521" s="2"/>
      <c r="D521" s="2"/>
      <c r="E521" s="2"/>
      <c r="L521" s="2"/>
      <c r="M521" s="2"/>
    </row>
    <row r="522" ht="15.75" customHeight="1">
      <c r="B522" s="2"/>
      <c r="C522" s="2"/>
      <c r="D522" s="2"/>
      <c r="E522" s="2"/>
      <c r="L522" s="2"/>
      <c r="M522" s="2"/>
    </row>
    <row r="523" ht="15.75" customHeight="1">
      <c r="B523" s="2"/>
      <c r="C523" s="2"/>
      <c r="D523" s="2"/>
      <c r="E523" s="2"/>
      <c r="L523" s="2"/>
      <c r="M523" s="2"/>
    </row>
    <row r="524" ht="15.75" customHeight="1">
      <c r="B524" s="2"/>
      <c r="C524" s="2"/>
      <c r="D524" s="2"/>
      <c r="E524" s="2"/>
      <c r="L524" s="2"/>
      <c r="M524" s="2"/>
    </row>
    <row r="525" ht="15.75" customHeight="1">
      <c r="B525" s="2"/>
      <c r="C525" s="2"/>
      <c r="D525" s="2"/>
      <c r="E525" s="2"/>
      <c r="L525" s="2"/>
      <c r="M525" s="2"/>
    </row>
    <row r="526" ht="15.75" customHeight="1">
      <c r="B526" s="2"/>
      <c r="C526" s="2"/>
      <c r="D526" s="2"/>
      <c r="E526" s="2"/>
      <c r="L526" s="2"/>
      <c r="M526" s="2"/>
    </row>
    <row r="527" ht="15.75" customHeight="1">
      <c r="B527" s="2"/>
      <c r="C527" s="2"/>
      <c r="D527" s="2"/>
      <c r="E527" s="2"/>
      <c r="L527" s="2"/>
      <c r="M527" s="2"/>
    </row>
    <row r="528" ht="15.75" customHeight="1">
      <c r="B528" s="2"/>
      <c r="C528" s="2"/>
      <c r="D528" s="2"/>
      <c r="E528" s="2"/>
      <c r="L528" s="2"/>
      <c r="M528" s="2"/>
    </row>
    <row r="529" ht="15.75" customHeight="1">
      <c r="B529" s="2"/>
      <c r="C529" s="2"/>
      <c r="D529" s="2"/>
      <c r="E529" s="2"/>
      <c r="L529" s="2"/>
      <c r="M529" s="2"/>
    </row>
    <row r="530" ht="15.75" customHeight="1">
      <c r="B530" s="2"/>
      <c r="C530" s="2"/>
      <c r="D530" s="2"/>
      <c r="E530" s="2"/>
      <c r="L530" s="2"/>
      <c r="M530" s="2"/>
    </row>
    <row r="531" ht="15.75" customHeight="1">
      <c r="B531" s="2"/>
      <c r="C531" s="2"/>
      <c r="D531" s="2"/>
      <c r="E531" s="2"/>
      <c r="L531" s="2"/>
      <c r="M531" s="2"/>
    </row>
    <row r="532" ht="15.75" customHeight="1">
      <c r="B532" s="2"/>
      <c r="C532" s="2"/>
      <c r="D532" s="2"/>
      <c r="E532" s="2"/>
      <c r="L532" s="2"/>
      <c r="M532" s="2"/>
    </row>
    <row r="533" ht="15.75" customHeight="1">
      <c r="B533" s="2"/>
      <c r="C533" s="2"/>
      <c r="D533" s="2"/>
      <c r="E533" s="2"/>
      <c r="L533" s="2"/>
      <c r="M533" s="2"/>
    </row>
    <row r="534" ht="15.75" customHeight="1">
      <c r="B534" s="2"/>
      <c r="C534" s="2"/>
      <c r="D534" s="2"/>
      <c r="E534" s="2"/>
      <c r="L534" s="2"/>
      <c r="M534" s="2"/>
    </row>
    <row r="535" ht="15.75" customHeight="1">
      <c r="B535" s="2"/>
      <c r="C535" s="2"/>
      <c r="D535" s="2"/>
      <c r="E535" s="2"/>
      <c r="L535" s="2"/>
      <c r="M535" s="2"/>
    </row>
    <row r="536" ht="15.75" customHeight="1">
      <c r="B536" s="2"/>
      <c r="C536" s="2"/>
      <c r="D536" s="2"/>
      <c r="E536" s="2"/>
      <c r="L536" s="2"/>
      <c r="M536" s="2"/>
    </row>
    <row r="537" ht="15.75" customHeight="1">
      <c r="B537" s="2"/>
      <c r="C537" s="2"/>
      <c r="D537" s="2"/>
      <c r="E537" s="2"/>
      <c r="L537" s="2"/>
      <c r="M537" s="2"/>
    </row>
    <row r="538" ht="15.75" customHeight="1">
      <c r="B538" s="2"/>
      <c r="C538" s="2"/>
      <c r="D538" s="2"/>
      <c r="E538" s="2"/>
      <c r="L538" s="2"/>
      <c r="M538" s="2"/>
    </row>
    <row r="539" ht="15.75" customHeight="1">
      <c r="B539" s="2"/>
      <c r="C539" s="2"/>
      <c r="D539" s="2"/>
      <c r="E539" s="2"/>
      <c r="L539" s="2"/>
      <c r="M539" s="2"/>
    </row>
    <row r="540" ht="15.75" customHeight="1">
      <c r="B540" s="2"/>
      <c r="C540" s="2"/>
      <c r="D540" s="2"/>
      <c r="E540" s="2"/>
      <c r="L540" s="2"/>
      <c r="M540" s="2"/>
    </row>
    <row r="541" ht="15.75" customHeight="1">
      <c r="B541" s="2"/>
      <c r="C541" s="2"/>
      <c r="D541" s="2"/>
      <c r="E541" s="2"/>
      <c r="L541" s="2"/>
      <c r="M541" s="2"/>
    </row>
    <row r="542" ht="15.75" customHeight="1">
      <c r="B542" s="2"/>
      <c r="C542" s="2"/>
      <c r="D542" s="2"/>
      <c r="E542" s="2"/>
      <c r="L542" s="2"/>
      <c r="M542" s="2"/>
    </row>
    <row r="543" ht="15.75" customHeight="1">
      <c r="B543" s="2"/>
      <c r="C543" s="2"/>
      <c r="D543" s="2"/>
      <c r="E543" s="2"/>
      <c r="L543" s="2"/>
      <c r="M543" s="2"/>
    </row>
    <row r="544" ht="15.75" customHeight="1">
      <c r="B544" s="2"/>
      <c r="C544" s="2"/>
      <c r="D544" s="2"/>
      <c r="E544" s="2"/>
      <c r="L544" s="2"/>
      <c r="M544" s="2"/>
    </row>
    <row r="545" ht="15.75" customHeight="1">
      <c r="B545" s="2"/>
      <c r="C545" s="2"/>
      <c r="D545" s="2"/>
      <c r="E545" s="2"/>
      <c r="L545" s="2"/>
      <c r="M545" s="2"/>
    </row>
    <row r="546" ht="15.75" customHeight="1">
      <c r="B546" s="2"/>
      <c r="C546" s="2"/>
      <c r="D546" s="2"/>
      <c r="E546" s="2"/>
      <c r="L546" s="2"/>
      <c r="M546" s="2"/>
    </row>
    <row r="547" ht="15.75" customHeight="1">
      <c r="B547" s="2"/>
      <c r="C547" s="2"/>
      <c r="D547" s="2"/>
      <c r="E547" s="2"/>
      <c r="L547" s="2"/>
      <c r="M547" s="2"/>
    </row>
    <row r="548" ht="15.75" customHeight="1">
      <c r="B548" s="2"/>
      <c r="C548" s="2"/>
      <c r="D548" s="2"/>
      <c r="E548" s="2"/>
      <c r="L548" s="2"/>
      <c r="M548" s="2"/>
    </row>
    <row r="549" ht="15.75" customHeight="1">
      <c r="B549" s="2"/>
      <c r="C549" s="2"/>
      <c r="D549" s="2"/>
      <c r="E549" s="2"/>
      <c r="L549" s="2"/>
      <c r="M549" s="2"/>
    </row>
    <row r="550" ht="15.75" customHeight="1">
      <c r="B550" s="2"/>
      <c r="C550" s="2"/>
      <c r="D550" s="2"/>
      <c r="E550" s="2"/>
      <c r="L550" s="2"/>
      <c r="M550" s="2"/>
    </row>
    <row r="551" ht="15.75" customHeight="1">
      <c r="B551" s="2"/>
      <c r="C551" s="2"/>
      <c r="D551" s="2"/>
      <c r="E551" s="2"/>
      <c r="L551" s="2"/>
      <c r="M551" s="2"/>
    </row>
    <row r="552" ht="15.75" customHeight="1">
      <c r="B552" s="2"/>
      <c r="C552" s="2"/>
      <c r="D552" s="2"/>
      <c r="E552" s="2"/>
      <c r="L552" s="2"/>
      <c r="M552" s="2"/>
    </row>
    <row r="553" ht="15.75" customHeight="1">
      <c r="B553" s="2"/>
      <c r="C553" s="2"/>
      <c r="D553" s="2"/>
      <c r="E553" s="2"/>
      <c r="L553" s="2"/>
      <c r="M553" s="2"/>
    </row>
    <row r="554" ht="15.75" customHeight="1">
      <c r="B554" s="2"/>
      <c r="C554" s="2"/>
      <c r="D554" s="2"/>
      <c r="E554" s="2"/>
      <c r="L554" s="2"/>
      <c r="M554" s="2"/>
    </row>
    <row r="555" ht="15.75" customHeight="1">
      <c r="B555" s="2"/>
      <c r="C555" s="2"/>
      <c r="D555" s="2"/>
      <c r="E555" s="2"/>
      <c r="L555" s="2"/>
      <c r="M555" s="2"/>
    </row>
    <row r="556" ht="15.75" customHeight="1">
      <c r="B556" s="2"/>
      <c r="C556" s="2"/>
      <c r="D556" s="2"/>
      <c r="E556" s="2"/>
      <c r="L556" s="2"/>
      <c r="M556" s="2"/>
    </row>
    <row r="557" ht="15.75" customHeight="1">
      <c r="B557" s="2"/>
      <c r="C557" s="2"/>
      <c r="D557" s="2"/>
      <c r="E557" s="2"/>
      <c r="L557" s="2"/>
      <c r="M557" s="2"/>
    </row>
    <row r="558" ht="15.75" customHeight="1">
      <c r="B558" s="2"/>
      <c r="C558" s="2"/>
      <c r="D558" s="2"/>
      <c r="E558" s="2"/>
      <c r="L558" s="2"/>
      <c r="M558" s="2"/>
    </row>
    <row r="559" ht="15.75" customHeight="1">
      <c r="B559" s="2"/>
      <c r="C559" s="2"/>
      <c r="D559" s="2"/>
      <c r="E559" s="2"/>
      <c r="L559" s="2"/>
      <c r="M559" s="2"/>
    </row>
    <row r="560" ht="15.75" customHeight="1">
      <c r="B560" s="2"/>
      <c r="C560" s="2"/>
      <c r="D560" s="2"/>
      <c r="E560" s="2"/>
      <c r="L560" s="2"/>
      <c r="M560" s="2"/>
    </row>
    <row r="561" ht="15.75" customHeight="1">
      <c r="B561" s="2"/>
      <c r="C561" s="2"/>
      <c r="D561" s="2"/>
      <c r="E561" s="2"/>
      <c r="L561" s="2"/>
      <c r="M561" s="2"/>
    </row>
    <row r="562" ht="15.75" customHeight="1">
      <c r="B562" s="2"/>
      <c r="C562" s="2"/>
      <c r="D562" s="2"/>
      <c r="E562" s="2"/>
      <c r="L562" s="2"/>
      <c r="M562" s="2"/>
    </row>
    <row r="563" ht="15.75" customHeight="1">
      <c r="B563" s="2"/>
      <c r="C563" s="2"/>
      <c r="D563" s="2"/>
      <c r="E563" s="2"/>
      <c r="L563" s="2"/>
      <c r="M563" s="2"/>
    </row>
    <row r="564" ht="15.75" customHeight="1">
      <c r="B564" s="2"/>
      <c r="C564" s="2"/>
      <c r="D564" s="2"/>
      <c r="E564" s="2"/>
      <c r="L564" s="2"/>
      <c r="M564" s="2"/>
    </row>
    <row r="565" ht="15.75" customHeight="1">
      <c r="B565" s="2"/>
      <c r="C565" s="2"/>
      <c r="D565" s="2"/>
      <c r="E565" s="2"/>
      <c r="L565" s="2"/>
      <c r="M565" s="2"/>
    </row>
    <row r="566" ht="15.75" customHeight="1">
      <c r="B566" s="2"/>
      <c r="C566" s="2"/>
      <c r="D566" s="2"/>
      <c r="E566" s="2"/>
      <c r="L566" s="2"/>
      <c r="M566" s="2"/>
    </row>
    <row r="567" ht="15.75" customHeight="1">
      <c r="B567" s="2"/>
      <c r="C567" s="2"/>
      <c r="D567" s="2"/>
      <c r="E567" s="2"/>
      <c r="L567" s="2"/>
      <c r="M567" s="2"/>
    </row>
    <row r="568" ht="15.75" customHeight="1">
      <c r="B568" s="2"/>
      <c r="C568" s="2"/>
      <c r="D568" s="2"/>
      <c r="E568" s="2"/>
      <c r="L568" s="2"/>
      <c r="M568" s="2"/>
    </row>
    <row r="569" ht="15.75" customHeight="1">
      <c r="B569" s="2"/>
      <c r="C569" s="2"/>
      <c r="D569" s="2"/>
      <c r="E569" s="2"/>
      <c r="L569" s="2"/>
      <c r="M569" s="2"/>
    </row>
    <row r="570" ht="15.75" customHeight="1">
      <c r="B570" s="2"/>
      <c r="C570" s="2"/>
      <c r="D570" s="2"/>
      <c r="E570" s="2"/>
      <c r="L570" s="2"/>
      <c r="M570" s="2"/>
    </row>
    <row r="571" ht="15.75" customHeight="1">
      <c r="B571" s="2"/>
      <c r="C571" s="2"/>
      <c r="D571" s="2"/>
      <c r="E571" s="2"/>
      <c r="L571" s="2"/>
      <c r="M571" s="2"/>
    </row>
    <row r="572" ht="15.75" customHeight="1">
      <c r="B572" s="2"/>
      <c r="C572" s="2"/>
      <c r="D572" s="2"/>
      <c r="E572" s="2"/>
      <c r="L572" s="2"/>
      <c r="M572" s="2"/>
    </row>
    <row r="573" ht="15.75" customHeight="1">
      <c r="B573" s="2"/>
      <c r="C573" s="2"/>
      <c r="D573" s="2"/>
      <c r="E573" s="2"/>
      <c r="L573" s="2"/>
      <c r="M573" s="2"/>
    </row>
    <row r="574" ht="15.75" customHeight="1">
      <c r="B574" s="2"/>
      <c r="C574" s="2"/>
      <c r="D574" s="2"/>
      <c r="E574" s="2"/>
      <c r="L574" s="2"/>
      <c r="M574" s="2"/>
    </row>
    <row r="575" ht="15.75" customHeight="1">
      <c r="B575" s="2"/>
      <c r="C575" s="2"/>
      <c r="D575" s="2"/>
      <c r="E575" s="2"/>
      <c r="L575" s="2"/>
      <c r="M575" s="2"/>
    </row>
    <row r="576" ht="15.75" customHeight="1">
      <c r="B576" s="2"/>
      <c r="C576" s="2"/>
      <c r="D576" s="2"/>
      <c r="E576" s="2"/>
      <c r="L576" s="2"/>
      <c r="M576" s="2"/>
    </row>
    <row r="577" ht="15.75" customHeight="1">
      <c r="B577" s="2"/>
      <c r="C577" s="2"/>
      <c r="D577" s="2"/>
      <c r="E577" s="2"/>
      <c r="L577" s="2"/>
      <c r="M577" s="2"/>
    </row>
    <row r="578" ht="15.75" customHeight="1">
      <c r="B578" s="2"/>
      <c r="C578" s="2"/>
      <c r="D578" s="2"/>
      <c r="E578" s="2"/>
      <c r="L578" s="2"/>
      <c r="M578" s="2"/>
    </row>
    <row r="579" ht="15.75" customHeight="1">
      <c r="B579" s="2"/>
      <c r="C579" s="2"/>
      <c r="D579" s="2"/>
      <c r="E579" s="2"/>
      <c r="L579" s="2"/>
      <c r="M579" s="2"/>
    </row>
    <row r="580" ht="15.75" customHeight="1">
      <c r="B580" s="2"/>
      <c r="C580" s="2"/>
      <c r="D580" s="2"/>
      <c r="E580" s="2"/>
      <c r="L580" s="2"/>
      <c r="M580" s="2"/>
    </row>
    <row r="581" ht="15.75" customHeight="1">
      <c r="B581" s="2"/>
      <c r="C581" s="2"/>
      <c r="D581" s="2"/>
      <c r="E581" s="2"/>
      <c r="L581" s="2"/>
      <c r="M581" s="2"/>
    </row>
    <row r="582" ht="15.75" customHeight="1">
      <c r="B582" s="2"/>
      <c r="C582" s="2"/>
      <c r="D582" s="2"/>
      <c r="E582" s="2"/>
      <c r="L582" s="2"/>
      <c r="M582" s="2"/>
    </row>
    <row r="583" ht="15.75" customHeight="1">
      <c r="B583" s="2"/>
      <c r="C583" s="2"/>
      <c r="D583" s="2"/>
      <c r="E583" s="2"/>
      <c r="L583" s="2"/>
      <c r="M583" s="2"/>
    </row>
    <row r="584" ht="15.75" customHeight="1">
      <c r="B584" s="2"/>
      <c r="C584" s="2"/>
      <c r="D584" s="2"/>
      <c r="E584" s="2"/>
      <c r="L584" s="2"/>
      <c r="M584" s="2"/>
    </row>
    <row r="585" ht="15.75" customHeight="1">
      <c r="B585" s="2"/>
      <c r="C585" s="2"/>
      <c r="D585" s="2"/>
      <c r="E585" s="2"/>
      <c r="L585" s="2"/>
      <c r="M585" s="2"/>
    </row>
    <row r="586" ht="15.75" customHeight="1">
      <c r="B586" s="2"/>
      <c r="C586" s="2"/>
      <c r="D586" s="2"/>
      <c r="E586" s="2"/>
      <c r="L586" s="2"/>
      <c r="M586" s="2"/>
    </row>
    <row r="587" ht="15.75" customHeight="1">
      <c r="B587" s="2"/>
      <c r="C587" s="2"/>
      <c r="D587" s="2"/>
      <c r="E587" s="2"/>
      <c r="L587" s="2"/>
      <c r="M587" s="2"/>
    </row>
    <row r="588" ht="15.75" customHeight="1">
      <c r="B588" s="2"/>
      <c r="C588" s="2"/>
      <c r="D588" s="2"/>
      <c r="E588" s="2"/>
      <c r="L588" s="2"/>
      <c r="M588" s="2"/>
    </row>
    <row r="589" ht="15.75" customHeight="1">
      <c r="B589" s="2"/>
      <c r="C589" s="2"/>
      <c r="D589" s="2"/>
      <c r="E589" s="2"/>
      <c r="L589" s="2"/>
      <c r="M589" s="2"/>
    </row>
    <row r="590" ht="15.75" customHeight="1">
      <c r="B590" s="2"/>
      <c r="C590" s="2"/>
      <c r="D590" s="2"/>
      <c r="E590" s="2"/>
      <c r="L590" s="2"/>
      <c r="M590" s="2"/>
    </row>
    <row r="591" ht="15.75" customHeight="1">
      <c r="B591" s="2"/>
      <c r="C591" s="2"/>
      <c r="D591" s="2"/>
      <c r="E591" s="2"/>
      <c r="L591" s="2"/>
      <c r="M591" s="2"/>
    </row>
    <row r="592" ht="15.75" customHeight="1">
      <c r="B592" s="2"/>
      <c r="C592" s="2"/>
      <c r="D592" s="2"/>
      <c r="E592" s="2"/>
      <c r="L592" s="2"/>
      <c r="M592" s="2"/>
    </row>
    <row r="593" ht="15.75" customHeight="1">
      <c r="B593" s="2"/>
      <c r="C593" s="2"/>
      <c r="D593" s="2"/>
      <c r="E593" s="2"/>
      <c r="L593" s="2"/>
      <c r="M593" s="2"/>
    </row>
    <row r="594" ht="15.75" customHeight="1">
      <c r="B594" s="2"/>
      <c r="C594" s="2"/>
      <c r="D594" s="2"/>
      <c r="E594" s="2"/>
      <c r="L594" s="2"/>
      <c r="M594" s="2"/>
    </row>
    <row r="595" ht="15.75" customHeight="1">
      <c r="B595" s="2"/>
      <c r="C595" s="2"/>
      <c r="D595" s="2"/>
      <c r="E595" s="2"/>
      <c r="L595" s="2"/>
      <c r="M595" s="2"/>
    </row>
    <row r="596" ht="15.75" customHeight="1">
      <c r="B596" s="2"/>
      <c r="C596" s="2"/>
      <c r="D596" s="2"/>
      <c r="E596" s="2"/>
      <c r="L596" s="2"/>
      <c r="M596" s="2"/>
    </row>
    <row r="597" ht="15.75" customHeight="1">
      <c r="B597" s="2"/>
      <c r="C597" s="2"/>
      <c r="D597" s="2"/>
      <c r="E597" s="2"/>
      <c r="L597" s="2"/>
      <c r="M597" s="2"/>
    </row>
    <row r="598" ht="15.75" customHeight="1">
      <c r="B598" s="2"/>
      <c r="C598" s="2"/>
      <c r="D598" s="2"/>
      <c r="E598" s="2"/>
      <c r="L598" s="2"/>
      <c r="M598" s="2"/>
    </row>
    <row r="599" ht="15.75" customHeight="1">
      <c r="B599" s="2"/>
      <c r="C599" s="2"/>
      <c r="D599" s="2"/>
      <c r="E599" s="2"/>
      <c r="L599" s="2"/>
      <c r="M599" s="2"/>
    </row>
    <row r="600" ht="15.75" customHeight="1">
      <c r="B600" s="2"/>
      <c r="C600" s="2"/>
      <c r="D600" s="2"/>
      <c r="E600" s="2"/>
      <c r="L600" s="2"/>
      <c r="M600" s="2"/>
    </row>
    <row r="601" ht="15.75" customHeight="1">
      <c r="B601" s="2"/>
      <c r="C601" s="2"/>
      <c r="D601" s="2"/>
      <c r="E601" s="2"/>
      <c r="L601" s="2"/>
      <c r="M601" s="2"/>
    </row>
    <row r="602" ht="15.75" customHeight="1">
      <c r="B602" s="2"/>
      <c r="C602" s="2"/>
      <c r="D602" s="2"/>
      <c r="E602" s="2"/>
      <c r="L602" s="2"/>
      <c r="M602" s="2"/>
    </row>
    <row r="603" ht="15.75" customHeight="1">
      <c r="B603" s="2"/>
      <c r="C603" s="2"/>
      <c r="D603" s="2"/>
      <c r="E603" s="2"/>
      <c r="L603" s="2"/>
      <c r="M603" s="2"/>
    </row>
    <row r="604" ht="15.75" customHeight="1">
      <c r="B604" s="2"/>
      <c r="C604" s="2"/>
      <c r="D604" s="2"/>
      <c r="E604" s="2"/>
      <c r="L604" s="2"/>
      <c r="M604" s="2"/>
    </row>
    <row r="605" ht="15.75" customHeight="1">
      <c r="B605" s="2"/>
      <c r="C605" s="2"/>
      <c r="D605" s="2"/>
      <c r="E605" s="2"/>
      <c r="L605" s="2"/>
      <c r="M605" s="2"/>
    </row>
    <row r="606" ht="15.75" customHeight="1">
      <c r="B606" s="2"/>
      <c r="C606" s="2"/>
      <c r="D606" s="2"/>
      <c r="E606" s="2"/>
      <c r="L606" s="2"/>
      <c r="M606" s="2"/>
    </row>
    <row r="607" ht="15.75" customHeight="1">
      <c r="B607" s="2"/>
      <c r="C607" s="2"/>
      <c r="D607" s="2"/>
      <c r="E607" s="2"/>
      <c r="L607" s="2"/>
      <c r="M607" s="2"/>
    </row>
    <row r="608" ht="15.75" customHeight="1">
      <c r="B608" s="2"/>
      <c r="C608" s="2"/>
      <c r="D608" s="2"/>
      <c r="E608" s="2"/>
      <c r="L608" s="2"/>
      <c r="M608" s="2"/>
    </row>
    <row r="609" ht="15.75" customHeight="1">
      <c r="B609" s="2"/>
      <c r="C609" s="2"/>
      <c r="D609" s="2"/>
      <c r="E609" s="2"/>
      <c r="L609" s="2"/>
      <c r="M609" s="2"/>
    </row>
    <row r="610" ht="15.75" customHeight="1">
      <c r="B610" s="2"/>
      <c r="C610" s="2"/>
      <c r="D610" s="2"/>
      <c r="E610" s="2"/>
      <c r="L610" s="2"/>
      <c r="M610" s="2"/>
    </row>
    <row r="611" ht="15.75" customHeight="1">
      <c r="B611" s="2"/>
      <c r="C611" s="2"/>
      <c r="D611" s="2"/>
      <c r="E611" s="2"/>
      <c r="L611" s="2"/>
      <c r="M611" s="2"/>
    </row>
    <row r="612" ht="15.75" customHeight="1">
      <c r="B612" s="2"/>
      <c r="C612" s="2"/>
      <c r="D612" s="2"/>
      <c r="E612" s="2"/>
      <c r="L612" s="2"/>
      <c r="M612" s="2"/>
    </row>
    <row r="613" ht="15.75" customHeight="1">
      <c r="B613" s="2"/>
      <c r="C613" s="2"/>
      <c r="D613" s="2"/>
      <c r="E613" s="2"/>
      <c r="L613" s="2"/>
      <c r="M613" s="2"/>
    </row>
    <row r="614" ht="15.75" customHeight="1">
      <c r="B614" s="2"/>
      <c r="C614" s="2"/>
      <c r="D614" s="2"/>
      <c r="E614" s="2"/>
      <c r="L614" s="2"/>
      <c r="M614" s="2"/>
    </row>
    <row r="615" ht="15.75" customHeight="1">
      <c r="B615" s="2"/>
      <c r="C615" s="2"/>
      <c r="D615" s="2"/>
      <c r="E615" s="2"/>
      <c r="L615" s="2"/>
      <c r="M615" s="2"/>
    </row>
    <row r="616" ht="15.75" customHeight="1">
      <c r="B616" s="2"/>
      <c r="C616" s="2"/>
      <c r="D616" s="2"/>
      <c r="E616" s="2"/>
      <c r="L616" s="2"/>
      <c r="M616" s="2"/>
    </row>
    <row r="617" ht="15.75" customHeight="1">
      <c r="B617" s="2"/>
      <c r="C617" s="2"/>
      <c r="D617" s="2"/>
      <c r="E617" s="2"/>
      <c r="L617" s="2"/>
      <c r="M617" s="2"/>
    </row>
    <row r="618" ht="15.75" customHeight="1">
      <c r="B618" s="2"/>
      <c r="C618" s="2"/>
      <c r="D618" s="2"/>
      <c r="E618" s="2"/>
      <c r="L618" s="2"/>
      <c r="M618" s="2"/>
    </row>
    <row r="619" ht="15.75" customHeight="1">
      <c r="B619" s="2"/>
      <c r="C619" s="2"/>
      <c r="D619" s="2"/>
      <c r="E619" s="2"/>
      <c r="L619" s="2"/>
      <c r="M619" s="2"/>
    </row>
    <row r="620" ht="15.75" customHeight="1">
      <c r="B620" s="2"/>
      <c r="C620" s="2"/>
      <c r="D620" s="2"/>
      <c r="E620" s="2"/>
      <c r="L620" s="2"/>
      <c r="M620" s="2"/>
    </row>
    <row r="621" ht="15.75" customHeight="1">
      <c r="B621" s="2"/>
      <c r="C621" s="2"/>
      <c r="D621" s="2"/>
      <c r="E621" s="2"/>
      <c r="L621" s="2"/>
      <c r="M621" s="2"/>
    </row>
    <row r="622" ht="15.75" customHeight="1">
      <c r="B622" s="2"/>
      <c r="C622" s="2"/>
      <c r="D622" s="2"/>
      <c r="E622" s="2"/>
      <c r="L622" s="2"/>
      <c r="M622" s="2"/>
    </row>
    <row r="623" ht="15.75" customHeight="1">
      <c r="B623" s="2"/>
      <c r="C623" s="2"/>
      <c r="D623" s="2"/>
      <c r="E623" s="2"/>
      <c r="L623" s="2"/>
      <c r="M623" s="2"/>
    </row>
    <row r="624" ht="15.75" customHeight="1">
      <c r="B624" s="2"/>
      <c r="C624" s="2"/>
      <c r="D624" s="2"/>
      <c r="E624" s="2"/>
      <c r="L624" s="2"/>
      <c r="M624" s="2"/>
    </row>
    <row r="625" ht="15.75" customHeight="1">
      <c r="B625" s="2"/>
      <c r="C625" s="2"/>
      <c r="D625" s="2"/>
      <c r="E625" s="2"/>
      <c r="L625" s="2"/>
      <c r="M625" s="2"/>
    </row>
    <row r="626" ht="15.75" customHeight="1">
      <c r="B626" s="2"/>
      <c r="C626" s="2"/>
      <c r="D626" s="2"/>
      <c r="E626" s="2"/>
      <c r="L626" s="2"/>
      <c r="M626" s="2"/>
    </row>
    <row r="627" ht="15.75" customHeight="1">
      <c r="B627" s="2"/>
      <c r="C627" s="2"/>
      <c r="D627" s="2"/>
      <c r="E627" s="2"/>
      <c r="L627" s="2"/>
      <c r="M627" s="2"/>
    </row>
    <row r="628" ht="15.75" customHeight="1">
      <c r="B628" s="2"/>
      <c r="C628" s="2"/>
      <c r="D628" s="2"/>
      <c r="E628" s="2"/>
      <c r="L628" s="2"/>
      <c r="M628" s="2"/>
    </row>
    <row r="629" ht="15.75" customHeight="1">
      <c r="B629" s="2"/>
      <c r="C629" s="2"/>
      <c r="D629" s="2"/>
      <c r="E629" s="2"/>
      <c r="L629" s="2"/>
      <c r="M629" s="2"/>
    </row>
    <row r="630" ht="15.75" customHeight="1">
      <c r="B630" s="2"/>
      <c r="C630" s="2"/>
      <c r="D630" s="2"/>
      <c r="E630" s="2"/>
      <c r="L630" s="2"/>
      <c r="M630" s="2"/>
    </row>
    <row r="631" ht="15.75" customHeight="1">
      <c r="B631" s="2"/>
      <c r="C631" s="2"/>
      <c r="D631" s="2"/>
      <c r="E631" s="2"/>
      <c r="L631" s="2"/>
      <c r="M631" s="2"/>
    </row>
    <row r="632" ht="15.75" customHeight="1">
      <c r="B632" s="2"/>
      <c r="C632" s="2"/>
      <c r="D632" s="2"/>
      <c r="E632" s="2"/>
      <c r="L632" s="2"/>
      <c r="M632" s="2"/>
    </row>
    <row r="633" ht="15.75" customHeight="1">
      <c r="B633" s="2"/>
      <c r="C633" s="2"/>
      <c r="D633" s="2"/>
      <c r="E633" s="2"/>
      <c r="L633" s="2"/>
      <c r="M633" s="2"/>
    </row>
    <row r="634" ht="15.75" customHeight="1">
      <c r="B634" s="2"/>
      <c r="C634" s="2"/>
      <c r="D634" s="2"/>
      <c r="E634" s="2"/>
      <c r="L634" s="2"/>
      <c r="M634" s="2"/>
    </row>
    <row r="635" ht="15.75" customHeight="1">
      <c r="B635" s="2"/>
      <c r="C635" s="2"/>
      <c r="D635" s="2"/>
      <c r="E635" s="2"/>
      <c r="L635" s="2"/>
      <c r="M635" s="2"/>
    </row>
    <row r="636" ht="15.75" customHeight="1">
      <c r="B636" s="2"/>
      <c r="C636" s="2"/>
      <c r="D636" s="2"/>
      <c r="E636" s="2"/>
      <c r="L636" s="2"/>
      <c r="M636" s="2"/>
    </row>
    <row r="637" ht="15.75" customHeight="1">
      <c r="B637" s="2"/>
      <c r="C637" s="2"/>
      <c r="D637" s="2"/>
      <c r="E637" s="2"/>
      <c r="L637" s="2"/>
      <c r="M637" s="2"/>
    </row>
    <row r="638" ht="15.75" customHeight="1">
      <c r="B638" s="2"/>
      <c r="C638" s="2"/>
      <c r="D638" s="2"/>
      <c r="E638" s="2"/>
      <c r="L638" s="2"/>
      <c r="M638" s="2"/>
    </row>
    <row r="639" ht="15.75" customHeight="1">
      <c r="B639" s="2"/>
      <c r="C639" s="2"/>
      <c r="D639" s="2"/>
      <c r="E639" s="2"/>
      <c r="L639" s="2"/>
      <c r="M639" s="2"/>
    </row>
    <row r="640" ht="15.75" customHeight="1">
      <c r="B640" s="2"/>
      <c r="C640" s="2"/>
      <c r="D640" s="2"/>
      <c r="E640" s="2"/>
      <c r="L640" s="2"/>
      <c r="M640" s="2"/>
    </row>
    <row r="641" ht="15.75" customHeight="1">
      <c r="B641" s="2"/>
      <c r="C641" s="2"/>
      <c r="D641" s="2"/>
      <c r="E641" s="2"/>
      <c r="L641" s="2"/>
      <c r="M641" s="2"/>
    </row>
    <row r="642" ht="15.75" customHeight="1">
      <c r="B642" s="2"/>
      <c r="C642" s="2"/>
      <c r="D642" s="2"/>
      <c r="E642" s="2"/>
      <c r="L642" s="2"/>
      <c r="M642" s="2"/>
    </row>
    <row r="643" ht="15.75" customHeight="1">
      <c r="B643" s="2"/>
      <c r="C643" s="2"/>
      <c r="D643" s="2"/>
      <c r="E643" s="2"/>
      <c r="L643" s="2"/>
      <c r="M643" s="2"/>
    </row>
    <row r="644" ht="15.75" customHeight="1">
      <c r="B644" s="2"/>
      <c r="C644" s="2"/>
      <c r="D644" s="2"/>
      <c r="E644" s="2"/>
      <c r="L644" s="2"/>
      <c r="M644" s="2"/>
    </row>
    <row r="645" ht="15.75" customHeight="1">
      <c r="B645" s="2"/>
      <c r="C645" s="2"/>
      <c r="D645" s="2"/>
      <c r="E645" s="2"/>
      <c r="L645" s="2"/>
      <c r="M645" s="2"/>
    </row>
    <row r="646" ht="15.75" customHeight="1">
      <c r="B646" s="2"/>
      <c r="C646" s="2"/>
      <c r="D646" s="2"/>
      <c r="E646" s="2"/>
      <c r="L646" s="2"/>
      <c r="M646" s="2"/>
    </row>
    <row r="647" ht="15.75" customHeight="1">
      <c r="B647" s="2"/>
      <c r="C647" s="2"/>
      <c r="D647" s="2"/>
      <c r="E647" s="2"/>
      <c r="L647" s="2"/>
      <c r="M647" s="2"/>
    </row>
    <row r="648" ht="15.75" customHeight="1">
      <c r="B648" s="2"/>
      <c r="C648" s="2"/>
      <c r="D648" s="2"/>
      <c r="E648" s="2"/>
      <c r="L648" s="2"/>
      <c r="M648" s="2"/>
    </row>
    <row r="649" ht="15.75" customHeight="1">
      <c r="B649" s="2"/>
      <c r="C649" s="2"/>
      <c r="D649" s="2"/>
      <c r="E649" s="2"/>
      <c r="L649" s="2"/>
      <c r="M649" s="2"/>
    </row>
    <row r="650" ht="15.75" customHeight="1">
      <c r="B650" s="2"/>
      <c r="C650" s="2"/>
      <c r="D650" s="2"/>
      <c r="E650" s="2"/>
      <c r="L650" s="2"/>
      <c r="M650" s="2"/>
    </row>
    <row r="651" ht="15.75" customHeight="1">
      <c r="B651" s="2"/>
      <c r="C651" s="2"/>
      <c r="D651" s="2"/>
      <c r="E651" s="2"/>
      <c r="L651" s="2"/>
      <c r="M651" s="2"/>
    </row>
    <row r="652" ht="15.75" customHeight="1">
      <c r="B652" s="2"/>
      <c r="C652" s="2"/>
      <c r="D652" s="2"/>
      <c r="E652" s="2"/>
      <c r="L652" s="2"/>
      <c r="M652" s="2"/>
    </row>
    <row r="653" ht="15.75" customHeight="1">
      <c r="B653" s="2"/>
      <c r="C653" s="2"/>
      <c r="D653" s="2"/>
      <c r="E653" s="2"/>
      <c r="L653" s="2"/>
      <c r="M653" s="2"/>
    </row>
    <row r="654" ht="15.75" customHeight="1">
      <c r="B654" s="2"/>
      <c r="C654" s="2"/>
      <c r="D654" s="2"/>
      <c r="E654" s="2"/>
      <c r="L654" s="2"/>
      <c r="M654" s="2"/>
    </row>
    <row r="655" ht="15.75" customHeight="1">
      <c r="B655" s="2"/>
      <c r="C655" s="2"/>
      <c r="D655" s="2"/>
      <c r="E655" s="2"/>
      <c r="L655" s="2"/>
      <c r="M655" s="2"/>
    </row>
    <row r="656" ht="15.75" customHeight="1">
      <c r="B656" s="2"/>
      <c r="C656" s="2"/>
      <c r="D656" s="2"/>
      <c r="E656" s="2"/>
      <c r="L656" s="2"/>
      <c r="M656" s="2"/>
    </row>
    <row r="657" ht="15.75" customHeight="1">
      <c r="B657" s="2"/>
      <c r="C657" s="2"/>
      <c r="D657" s="2"/>
      <c r="E657" s="2"/>
      <c r="L657" s="2"/>
      <c r="M657" s="2"/>
    </row>
    <row r="658" ht="15.75" customHeight="1">
      <c r="B658" s="2"/>
      <c r="C658" s="2"/>
      <c r="D658" s="2"/>
      <c r="E658" s="2"/>
      <c r="L658" s="2"/>
      <c r="M658" s="2"/>
    </row>
    <row r="659" ht="15.75" customHeight="1">
      <c r="B659" s="2"/>
      <c r="C659" s="2"/>
      <c r="D659" s="2"/>
      <c r="E659" s="2"/>
      <c r="L659" s="2"/>
      <c r="M659" s="2"/>
    </row>
    <row r="660" ht="15.75" customHeight="1">
      <c r="B660" s="2"/>
      <c r="C660" s="2"/>
      <c r="D660" s="2"/>
      <c r="E660" s="2"/>
      <c r="L660" s="2"/>
      <c r="M660" s="2"/>
    </row>
    <row r="661" ht="15.75" customHeight="1">
      <c r="B661" s="2"/>
      <c r="C661" s="2"/>
      <c r="D661" s="2"/>
      <c r="E661" s="2"/>
      <c r="L661" s="2"/>
      <c r="M661" s="2"/>
    </row>
    <row r="662" ht="15.75" customHeight="1">
      <c r="B662" s="2"/>
      <c r="C662" s="2"/>
      <c r="D662" s="2"/>
      <c r="E662" s="2"/>
      <c r="L662" s="2"/>
      <c r="M662" s="2"/>
    </row>
    <row r="663" ht="15.75" customHeight="1">
      <c r="B663" s="2"/>
      <c r="C663" s="2"/>
      <c r="D663" s="2"/>
      <c r="E663" s="2"/>
      <c r="L663" s="2"/>
      <c r="M663" s="2"/>
    </row>
    <row r="664" ht="15.75" customHeight="1">
      <c r="B664" s="2"/>
      <c r="C664" s="2"/>
      <c r="D664" s="2"/>
      <c r="E664" s="2"/>
      <c r="L664" s="2"/>
      <c r="M664" s="2"/>
    </row>
    <row r="665" ht="15.75" customHeight="1">
      <c r="B665" s="2"/>
      <c r="C665" s="2"/>
      <c r="D665" s="2"/>
      <c r="E665" s="2"/>
      <c r="L665" s="2"/>
      <c r="M665" s="2"/>
    </row>
    <row r="666" ht="15.75" customHeight="1">
      <c r="B666" s="2"/>
      <c r="C666" s="2"/>
      <c r="D666" s="2"/>
      <c r="E666" s="2"/>
      <c r="L666" s="2"/>
      <c r="M666" s="2"/>
    </row>
    <row r="667" ht="15.75" customHeight="1">
      <c r="B667" s="2"/>
      <c r="C667" s="2"/>
      <c r="D667" s="2"/>
      <c r="E667" s="2"/>
      <c r="L667" s="2"/>
      <c r="M667" s="2"/>
    </row>
    <row r="668" ht="15.75" customHeight="1">
      <c r="B668" s="2"/>
      <c r="C668" s="2"/>
      <c r="D668" s="2"/>
      <c r="E668" s="2"/>
      <c r="L668" s="2"/>
      <c r="M668" s="2"/>
    </row>
    <row r="669" ht="15.75" customHeight="1">
      <c r="B669" s="2"/>
      <c r="C669" s="2"/>
      <c r="D669" s="2"/>
      <c r="E669" s="2"/>
      <c r="L669" s="2"/>
      <c r="M669" s="2"/>
    </row>
    <row r="670" ht="15.75" customHeight="1">
      <c r="B670" s="2"/>
      <c r="C670" s="2"/>
      <c r="D670" s="2"/>
      <c r="E670" s="2"/>
      <c r="L670" s="2"/>
      <c r="M670" s="2"/>
    </row>
    <row r="671" ht="15.75" customHeight="1">
      <c r="B671" s="2"/>
      <c r="C671" s="2"/>
      <c r="D671" s="2"/>
      <c r="E671" s="2"/>
      <c r="L671" s="2"/>
      <c r="M671" s="2"/>
    </row>
    <row r="672" ht="15.75" customHeight="1">
      <c r="B672" s="2"/>
      <c r="C672" s="2"/>
      <c r="D672" s="2"/>
      <c r="E672" s="2"/>
      <c r="L672" s="2"/>
      <c r="M672" s="2"/>
    </row>
    <row r="673" ht="15.75" customHeight="1">
      <c r="B673" s="2"/>
      <c r="C673" s="2"/>
      <c r="D673" s="2"/>
      <c r="E673" s="2"/>
      <c r="L673" s="2"/>
      <c r="M673" s="2"/>
    </row>
    <row r="674" ht="15.75" customHeight="1">
      <c r="B674" s="2"/>
      <c r="C674" s="2"/>
      <c r="D674" s="2"/>
      <c r="E674" s="2"/>
      <c r="L674" s="2"/>
      <c r="M674" s="2"/>
    </row>
    <row r="675" ht="15.75" customHeight="1">
      <c r="B675" s="2"/>
      <c r="C675" s="2"/>
      <c r="D675" s="2"/>
      <c r="E675" s="2"/>
      <c r="L675" s="2"/>
      <c r="M675" s="2"/>
    </row>
    <row r="676" ht="15.75" customHeight="1">
      <c r="B676" s="2"/>
      <c r="C676" s="2"/>
      <c r="D676" s="2"/>
      <c r="E676" s="2"/>
      <c r="L676" s="2"/>
      <c r="M676" s="2"/>
    </row>
    <row r="677" ht="15.75" customHeight="1">
      <c r="B677" s="2"/>
      <c r="C677" s="2"/>
      <c r="D677" s="2"/>
      <c r="E677" s="2"/>
      <c r="L677" s="2"/>
      <c r="M677" s="2"/>
    </row>
    <row r="678" ht="15.75" customHeight="1">
      <c r="B678" s="2"/>
      <c r="C678" s="2"/>
      <c r="D678" s="2"/>
      <c r="E678" s="2"/>
      <c r="L678" s="2"/>
      <c r="M678" s="2"/>
    </row>
    <row r="679" ht="15.75" customHeight="1">
      <c r="B679" s="2"/>
      <c r="C679" s="2"/>
      <c r="D679" s="2"/>
      <c r="E679" s="2"/>
      <c r="L679" s="2"/>
      <c r="M679" s="2"/>
    </row>
    <row r="680" ht="15.75" customHeight="1">
      <c r="B680" s="2"/>
      <c r="C680" s="2"/>
      <c r="D680" s="2"/>
      <c r="E680" s="2"/>
      <c r="L680" s="2"/>
      <c r="M680" s="2"/>
    </row>
    <row r="681" ht="15.75" customHeight="1">
      <c r="B681" s="2"/>
      <c r="C681" s="2"/>
      <c r="D681" s="2"/>
      <c r="E681" s="2"/>
      <c r="L681" s="2"/>
      <c r="M681" s="2"/>
    </row>
    <row r="682" ht="15.75" customHeight="1">
      <c r="B682" s="2"/>
      <c r="C682" s="2"/>
      <c r="D682" s="2"/>
      <c r="E682" s="2"/>
      <c r="L682" s="2"/>
      <c r="M682" s="2"/>
    </row>
    <row r="683" ht="15.75" customHeight="1">
      <c r="B683" s="2"/>
      <c r="C683" s="2"/>
      <c r="D683" s="2"/>
      <c r="E683" s="2"/>
      <c r="L683" s="2"/>
      <c r="M683" s="2"/>
    </row>
    <row r="684" ht="15.75" customHeight="1">
      <c r="B684" s="2"/>
      <c r="C684" s="2"/>
      <c r="D684" s="2"/>
      <c r="E684" s="2"/>
      <c r="L684" s="2"/>
      <c r="M684" s="2"/>
    </row>
    <row r="685" ht="15.75" customHeight="1">
      <c r="B685" s="2"/>
      <c r="C685" s="2"/>
      <c r="D685" s="2"/>
      <c r="E685" s="2"/>
      <c r="L685" s="2"/>
      <c r="M685" s="2"/>
    </row>
    <row r="686" ht="15.75" customHeight="1">
      <c r="B686" s="2"/>
      <c r="C686" s="2"/>
      <c r="D686" s="2"/>
      <c r="E686" s="2"/>
      <c r="L686" s="2"/>
      <c r="M686" s="2"/>
    </row>
    <row r="687" ht="15.75" customHeight="1">
      <c r="B687" s="2"/>
      <c r="C687" s="2"/>
      <c r="D687" s="2"/>
      <c r="E687" s="2"/>
      <c r="L687" s="2"/>
      <c r="M687" s="2"/>
    </row>
    <row r="688" ht="15.75" customHeight="1">
      <c r="B688" s="2"/>
      <c r="C688" s="2"/>
      <c r="D688" s="2"/>
      <c r="E688" s="2"/>
      <c r="L688" s="2"/>
      <c r="M688" s="2"/>
    </row>
    <row r="689" ht="15.75" customHeight="1">
      <c r="B689" s="2"/>
      <c r="C689" s="2"/>
      <c r="D689" s="2"/>
      <c r="E689" s="2"/>
      <c r="L689" s="2"/>
      <c r="M689" s="2"/>
    </row>
    <row r="690" ht="15.75" customHeight="1">
      <c r="B690" s="2"/>
      <c r="C690" s="2"/>
      <c r="D690" s="2"/>
      <c r="E690" s="2"/>
      <c r="L690" s="2"/>
      <c r="M690" s="2"/>
    </row>
    <row r="691" ht="15.75" customHeight="1">
      <c r="B691" s="2"/>
      <c r="C691" s="2"/>
      <c r="D691" s="2"/>
      <c r="E691" s="2"/>
      <c r="L691" s="2"/>
      <c r="M691" s="2"/>
    </row>
    <row r="692" ht="15.75" customHeight="1">
      <c r="B692" s="2"/>
      <c r="C692" s="2"/>
      <c r="D692" s="2"/>
      <c r="E692" s="2"/>
      <c r="L692" s="2"/>
      <c r="M692" s="2"/>
    </row>
    <row r="693" ht="15.75" customHeight="1">
      <c r="B693" s="2"/>
      <c r="C693" s="2"/>
      <c r="D693" s="2"/>
      <c r="E693" s="2"/>
      <c r="L693" s="2"/>
      <c r="M693" s="2"/>
    </row>
    <row r="694" ht="15.75" customHeight="1">
      <c r="B694" s="2"/>
      <c r="C694" s="2"/>
      <c r="D694" s="2"/>
      <c r="E694" s="2"/>
      <c r="L694" s="2"/>
      <c r="M694" s="2"/>
    </row>
    <row r="695" ht="15.75" customHeight="1">
      <c r="B695" s="2"/>
      <c r="C695" s="2"/>
      <c r="D695" s="2"/>
      <c r="E695" s="2"/>
      <c r="L695" s="2"/>
      <c r="M695" s="2"/>
    </row>
    <row r="696" ht="15.75" customHeight="1">
      <c r="B696" s="2"/>
      <c r="C696" s="2"/>
      <c r="D696" s="2"/>
      <c r="E696" s="2"/>
      <c r="L696" s="2"/>
      <c r="M696" s="2"/>
    </row>
    <row r="697" ht="15.75" customHeight="1">
      <c r="B697" s="2"/>
      <c r="C697" s="2"/>
      <c r="D697" s="2"/>
      <c r="E697" s="2"/>
      <c r="L697" s="2"/>
      <c r="M697" s="2"/>
    </row>
    <row r="698" ht="15.75" customHeight="1">
      <c r="B698" s="2"/>
      <c r="C698" s="2"/>
      <c r="D698" s="2"/>
      <c r="E698" s="2"/>
      <c r="L698" s="2"/>
      <c r="M698" s="2"/>
    </row>
    <row r="699" ht="15.75" customHeight="1">
      <c r="B699" s="2"/>
      <c r="C699" s="2"/>
      <c r="D699" s="2"/>
      <c r="E699" s="2"/>
      <c r="L699" s="2"/>
      <c r="M699" s="2"/>
    </row>
    <row r="700" ht="15.75" customHeight="1">
      <c r="B700" s="2"/>
      <c r="C700" s="2"/>
      <c r="D700" s="2"/>
      <c r="E700" s="2"/>
      <c r="L700" s="2"/>
      <c r="M700" s="2"/>
    </row>
    <row r="701" ht="15.75" customHeight="1">
      <c r="B701" s="2"/>
      <c r="C701" s="2"/>
      <c r="D701" s="2"/>
      <c r="E701" s="2"/>
      <c r="L701" s="2"/>
      <c r="M701" s="2"/>
    </row>
    <row r="702" ht="15.75" customHeight="1">
      <c r="B702" s="2"/>
      <c r="C702" s="2"/>
      <c r="D702" s="2"/>
      <c r="E702" s="2"/>
      <c r="L702" s="2"/>
      <c r="M702" s="2"/>
    </row>
    <row r="703" ht="15.75" customHeight="1">
      <c r="B703" s="2"/>
      <c r="C703" s="2"/>
      <c r="D703" s="2"/>
      <c r="E703" s="2"/>
      <c r="L703" s="2"/>
      <c r="M703" s="2"/>
    </row>
    <row r="704" ht="15.75" customHeight="1">
      <c r="B704" s="2"/>
      <c r="C704" s="2"/>
      <c r="D704" s="2"/>
      <c r="E704" s="2"/>
      <c r="L704" s="2"/>
      <c r="M704" s="2"/>
    </row>
    <row r="705" ht="15.75" customHeight="1">
      <c r="B705" s="2"/>
      <c r="C705" s="2"/>
      <c r="D705" s="2"/>
      <c r="E705" s="2"/>
      <c r="L705" s="2"/>
      <c r="M705" s="2"/>
    </row>
    <row r="706" ht="15.75" customHeight="1">
      <c r="B706" s="2"/>
      <c r="C706" s="2"/>
      <c r="D706" s="2"/>
      <c r="E706" s="2"/>
      <c r="L706" s="2"/>
      <c r="M706" s="2"/>
    </row>
    <row r="707" ht="15.75" customHeight="1">
      <c r="B707" s="2"/>
      <c r="C707" s="2"/>
      <c r="D707" s="2"/>
      <c r="E707" s="2"/>
      <c r="L707" s="2"/>
      <c r="M707" s="2"/>
    </row>
    <row r="708" ht="15.75" customHeight="1">
      <c r="B708" s="2"/>
      <c r="C708" s="2"/>
      <c r="D708" s="2"/>
      <c r="E708" s="2"/>
      <c r="L708" s="2"/>
      <c r="M708" s="2"/>
    </row>
    <row r="709" ht="15.75" customHeight="1">
      <c r="B709" s="2"/>
      <c r="C709" s="2"/>
      <c r="D709" s="2"/>
      <c r="E709" s="2"/>
      <c r="L709" s="2"/>
      <c r="M709" s="2"/>
    </row>
    <row r="710" ht="15.75" customHeight="1">
      <c r="B710" s="2"/>
      <c r="C710" s="2"/>
      <c r="D710" s="2"/>
      <c r="E710" s="2"/>
      <c r="L710" s="2"/>
      <c r="M710" s="2"/>
    </row>
    <row r="711" ht="15.75" customHeight="1">
      <c r="B711" s="2"/>
      <c r="C711" s="2"/>
      <c r="D711" s="2"/>
      <c r="E711" s="2"/>
      <c r="L711" s="2"/>
      <c r="M711" s="2"/>
    </row>
    <row r="712" ht="15.75" customHeight="1">
      <c r="B712" s="2"/>
      <c r="C712" s="2"/>
      <c r="D712" s="2"/>
      <c r="E712" s="2"/>
      <c r="L712" s="2"/>
      <c r="M712" s="2"/>
    </row>
    <row r="713" ht="15.75" customHeight="1">
      <c r="B713" s="2"/>
      <c r="C713" s="2"/>
      <c r="D713" s="2"/>
      <c r="E713" s="2"/>
      <c r="L713" s="2"/>
      <c r="M713" s="2"/>
    </row>
    <row r="714" ht="15.75" customHeight="1">
      <c r="B714" s="2"/>
      <c r="C714" s="2"/>
      <c r="D714" s="2"/>
      <c r="E714" s="2"/>
      <c r="L714" s="2"/>
      <c r="M714" s="2"/>
    </row>
    <row r="715" ht="15.75" customHeight="1">
      <c r="B715" s="2"/>
      <c r="C715" s="2"/>
      <c r="D715" s="2"/>
      <c r="E715" s="2"/>
      <c r="L715" s="2"/>
      <c r="M715" s="2"/>
    </row>
    <row r="716" ht="15.75" customHeight="1">
      <c r="B716" s="2"/>
      <c r="C716" s="2"/>
      <c r="D716" s="2"/>
      <c r="E716" s="2"/>
      <c r="L716" s="2"/>
      <c r="M716" s="2"/>
    </row>
    <row r="717" ht="15.75" customHeight="1">
      <c r="B717" s="2"/>
      <c r="C717" s="2"/>
      <c r="D717" s="2"/>
      <c r="E717" s="2"/>
      <c r="L717" s="2"/>
      <c r="M717" s="2"/>
    </row>
    <row r="718" ht="15.75" customHeight="1">
      <c r="B718" s="2"/>
      <c r="C718" s="2"/>
      <c r="D718" s="2"/>
      <c r="E718" s="2"/>
      <c r="L718" s="2"/>
      <c r="M718" s="2"/>
    </row>
    <row r="719" ht="15.75" customHeight="1">
      <c r="B719" s="2"/>
      <c r="C719" s="2"/>
      <c r="D719" s="2"/>
      <c r="E719" s="2"/>
      <c r="L719" s="2"/>
      <c r="M719" s="2"/>
    </row>
    <row r="720" ht="15.75" customHeight="1">
      <c r="B720" s="2"/>
      <c r="C720" s="2"/>
      <c r="D720" s="2"/>
      <c r="E720" s="2"/>
      <c r="L720" s="2"/>
      <c r="M720" s="2"/>
    </row>
    <row r="721" ht="15.75" customHeight="1">
      <c r="B721" s="2"/>
      <c r="C721" s="2"/>
      <c r="D721" s="2"/>
      <c r="E721" s="2"/>
      <c r="L721" s="2"/>
      <c r="M721" s="2"/>
    </row>
    <row r="722" ht="15.75" customHeight="1">
      <c r="B722" s="2"/>
      <c r="C722" s="2"/>
      <c r="D722" s="2"/>
      <c r="E722" s="2"/>
      <c r="L722" s="2"/>
      <c r="M722" s="2"/>
    </row>
    <row r="723" ht="15.75" customHeight="1">
      <c r="B723" s="2"/>
      <c r="C723" s="2"/>
      <c r="D723" s="2"/>
      <c r="E723" s="2"/>
      <c r="L723" s="2"/>
      <c r="M723" s="2"/>
    </row>
    <row r="724" ht="15.75" customHeight="1">
      <c r="B724" s="2"/>
      <c r="C724" s="2"/>
      <c r="D724" s="2"/>
      <c r="E724" s="2"/>
      <c r="L724" s="2"/>
      <c r="M724" s="2"/>
    </row>
    <row r="725" ht="15.75" customHeight="1">
      <c r="B725" s="2"/>
      <c r="C725" s="2"/>
      <c r="D725" s="2"/>
      <c r="E725" s="2"/>
      <c r="L725" s="2"/>
      <c r="M725" s="2"/>
    </row>
    <row r="726" ht="15.75" customHeight="1">
      <c r="B726" s="2"/>
      <c r="C726" s="2"/>
      <c r="D726" s="2"/>
      <c r="E726" s="2"/>
      <c r="L726" s="2"/>
      <c r="M726" s="2"/>
    </row>
    <row r="727" ht="15.75" customHeight="1">
      <c r="B727" s="2"/>
      <c r="C727" s="2"/>
      <c r="D727" s="2"/>
      <c r="E727" s="2"/>
      <c r="L727" s="2"/>
      <c r="M727" s="2"/>
    </row>
    <row r="728" ht="15.75" customHeight="1">
      <c r="B728" s="2"/>
      <c r="C728" s="2"/>
      <c r="D728" s="2"/>
      <c r="E728" s="2"/>
      <c r="L728" s="2"/>
      <c r="M728" s="2"/>
    </row>
    <row r="729" ht="15.75" customHeight="1">
      <c r="B729" s="2"/>
      <c r="C729" s="2"/>
      <c r="D729" s="2"/>
      <c r="E729" s="2"/>
      <c r="L729" s="2"/>
      <c r="M729" s="2"/>
    </row>
    <row r="730" ht="15.75" customHeight="1">
      <c r="B730" s="2"/>
      <c r="C730" s="2"/>
      <c r="D730" s="2"/>
      <c r="E730" s="2"/>
      <c r="L730" s="2"/>
      <c r="M730" s="2"/>
    </row>
    <row r="731" ht="15.75" customHeight="1">
      <c r="B731" s="2"/>
      <c r="C731" s="2"/>
      <c r="D731" s="2"/>
      <c r="E731" s="2"/>
      <c r="L731" s="2"/>
      <c r="M731" s="2"/>
    </row>
    <row r="732" ht="15.75" customHeight="1">
      <c r="B732" s="2"/>
      <c r="C732" s="2"/>
      <c r="D732" s="2"/>
      <c r="E732" s="2"/>
      <c r="L732" s="2"/>
      <c r="M732" s="2"/>
    </row>
    <row r="733" ht="15.75" customHeight="1">
      <c r="B733" s="2"/>
      <c r="C733" s="2"/>
      <c r="D733" s="2"/>
      <c r="E733" s="2"/>
      <c r="L733" s="2"/>
      <c r="M733" s="2"/>
    </row>
    <row r="734" ht="15.75" customHeight="1">
      <c r="B734" s="2"/>
      <c r="C734" s="2"/>
      <c r="D734" s="2"/>
      <c r="E734" s="2"/>
      <c r="L734" s="2"/>
      <c r="M734" s="2"/>
    </row>
    <row r="735" ht="15.75" customHeight="1">
      <c r="B735" s="2"/>
      <c r="C735" s="2"/>
      <c r="D735" s="2"/>
      <c r="E735" s="2"/>
      <c r="L735" s="2"/>
      <c r="M735" s="2"/>
    </row>
    <row r="736" ht="15.75" customHeight="1">
      <c r="B736" s="2"/>
      <c r="C736" s="2"/>
      <c r="D736" s="2"/>
      <c r="E736" s="2"/>
      <c r="L736" s="2"/>
      <c r="M736" s="2"/>
    </row>
    <row r="737" ht="15.75" customHeight="1">
      <c r="B737" s="2"/>
      <c r="C737" s="2"/>
      <c r="D737" s="2"/>
      <c r="E737" s="2"/>
      <c r="L737" s="2"/>
      <c r="M737" s="2"/>
    </row>
    <row r="738" ht="15.75" customHeight="1">
      <c r="B738" s="2"/>
      <c r="C738" s="2"/>
      <c r="D738" s="2"/>
      <c r="E738" s="2"/>
      <c r="L738" s="2"/>
      <c r="M738" s="2"/>
    </row>
    <row r="739" ht="15.75" customHeight="1">
      <c r="B739" s="2"/>
      <c r="C739" s="2"/>
      <c r="D739" s="2"/>
      <c r="E739" s="2"/>
      <c r="L739" s="2"/>
      <c r="M739" s="2"/>
    </row>
    <row r="740" ht="15.75" customHeight="1">
      <c r="B740" s="2"/>
      <c r="C740" s="2"/>
      <c r="D740" s="2"/>
      <c r="E740" s="2"/>
      <c r="L740" s="2"/>
      <c r="M740" s="2"/>
    </row>
    <row r="741" ht="15.75" customHeight="1">
      <c r="B741" s="2"/>
      <c r="C741" s="2"/>
      <c r="D741" s="2"/>
      <c r="E741" s="2"/>
      <c r="L741" s="2"/>
      <c r="M741" s="2"/>
    </row>
    <row r="742" ht="15.75" customHeight="1">
      <c r="B742" s="2"/>
      <c r="C742" s="2"/>
      <c r="D742" s="2"/>
      <c r="E742" s="2"/>
      <c r="L742" s="2"/>
      <c r="M742" s="2"/>
    </row>
    <row r="743" ht="15.75" customHeight="1">
      <c r="B743" s="2"/>
      <c r="C743" s="2"/>
      <c r="D743" s="2"/>
      <c r="E743" s="2"/>
      <c r="L743" s="2"/>
      <c r="M743" s="2"/>
    </row>
    <row r="744" ht="15.75" customHeight="1">
      <c r="B744" s="2"/>
      <c r="C744" s="2"/>
      <c r="D744" s="2"/>
      <c r="E744" s="2"/>
      <c r="L744" s="2"/>
      <c r="M744" s="2"/>
    </row>
    <row r="745" ht="15.75" customHeight="1">
      <c r="B745" s="2"/>
      <c r="C745" s="2"/>
      <c r="D745" s="2"/>
      <c r="E745" s="2"/>
      <c r="L745" s="2"/>
      <c r="M745" s="2"/>
    </row>
    <row r="746" ht="15.75" customHeight="1">
      <c r="B746" s="2"/>
      <c r="C746" s="2"/>
      <c r="D746" s="2"/>
      <c r="E746" s="2"/>
      <c r="L746" s="2"/>
      <c r="M746" s="2"/>
    </row>
    <row r="747" ht="15.75" customHeight="1">
      <c r="B747" s="2"/>
      <c r="C747" s="2"/>
      <c r="D747" s="2"/>
      <c r="E747" s="2"/>
      <c r="L747" s="2"/>
      <c r="M747" s="2"/>
    </row>
    <row r="748" ht="15.75" customHeight="1">
      <c r="B748" s="2"/>
      <c r="C748" s="2"/>
      <c r="D748" s="2"/>
      <c r="E748" s="2"/>
      <c r="L748" s="2"/>
      <c r="M748" s="2"/>
    </row>
    <row r="749" ht="15.75" customHeight="1">
      <c r="B749" s="2"/>
      <c r="C749" s="2"/>
      <c r="D749" s="2"/>
      <c r="E749" s="2"/>
      <c r="L749" s="2"/>
      <c r="M749" s="2"/>
    </row>
    <row r="750" ht="15.75" customHeight="1">
      <c r="B750" s="2"/>
      <c r="C750" s="2"/>
      <c r="D750" s="2"/>
      <c r="E750" s="2"/>
      <c r="L750" s="2"/>
      <c r="M750" s="2"/>
    </row>
    <row r="751" ht="15.75" customHeight="1">
      <c r="B751" s="2"/>
      <c r="C751" s="2"/>
      <c r="D751" s="2"/>
      <c r="E751" s="2"/>
      <c r="L751" s="2"/>
      <c r="M751" s="2"/>
    </row>
    <row r="752" ht="15.75" customHeight="1">
      <c r="B752" s="2"/>
      <c r="C752" s="2"/>
      <c r="D752" s="2"/>
      <c r="E752" s="2"/>
      <c r="L752" s="2"/>
      <c r="M752" s="2"/>
    </row>
    <row r="753" ht="15.75" customHeight="1">
      <c r="B753" s="2"/>
      <c r="C753" s="2"/>
      <c r="D753" s="2"/>
      <c r="E753" s="2"/>
      <c r="L753" s="2"/>
      <c r="M753" s="2"/>
    </row>
    <row r="754" ht="15.75" customHeight="1">
      <c r="B754" s="2"/>
      <c r="C754" s="2"/>
      <c r="D754" s="2"/>
      <c r="E754" s="2"/>
      <c r="L754" s="2"/>
      <c r="M754" s="2"/>
    </row>
    <row r="755" ht="15.75" customHeight="1">
      <c r="B755" s="2"/>
      <c r="C755" s="2"/>
      <c r="D755" s="2"/>
      <c r="E755" s="2"/>
      <c r="L755" s="2"/>
      <c r="M755" s="2"/>
    </row>
    <row r="756" ht="15.75" customHeight="1">
      <c r="B756" s="2"/>
      <c r="C756" s="2"/>
      <c r="D756" s="2"/>
      <c r="E756" s="2"/>
      <c r="L756" s="2"/>
      <c r="M756" s="2"/>
    </row>
    <row r="757" ht="15.75" customHeight="1">
      <c r="B757" s="2"/>
      <c r="C757" s="2"/>
      <c r="D757" s="2"/>
      <c r="E757" s="2"/>
      <c r="L757" s="2"/>
      <c r="M757" s="2"/>
    </row>
    <row r="758" ht="15.75" customHeight="1">
      <c r="B758" s="2"/>
      <c r="C758" s="2"/>
      <c r="D758" s="2"/>
      <c r="E758" s="2"/>
      <c r="L758" s="2"/>
      <c r="M758" s="2"/>
    </row>
    <row r="759" ht="15.75" customHeight="1">
      <c r="B759" s="2"/>
      <c r="C759" s="2"/>
      <c r="D759" s="2"/>
      <c r="E759" s="2"/>
      <c r="L759" s="2"/>
      <c r="M759" s="2"/>
    </row>
    <row r="760" ht="15.75" customHeight="1">
      <c r="B760" s="2"/>
      <c r="C760" s="2"/>
      <c r="D760" s="2"/>
      <c r="E760" s="2"/>
      <c r="L760" s="2"/>
      <c r="M760" s="2"/>
    </row>
    <row r="761" ht="15.75" customHeight="1">
      <c r="B761" s="2"/>
      <c r="C761" s="2"/>
      <c r="D761" s="2"/>
      <c r="E761" s="2"/>
      <c r="L761" s="2"/>
      <c r="M761" s="2"/>
    </row>
    <row r="762" ht="15.75" customHeight="1">
      <c r="B762" s="2"/>
      <c r="C762" s="2"/>
      <c r="D762" s="2"/>
      <c r="E762" s="2"/>
      <c r="L762" s="2"/>
      <c r="M762" s="2"/>
    </row>
    <row r="763" ht="15.75" customHeight="1">
      <c r="B763" s="2"/>
      <c r="C763" s="2"/>
      <c r="D763" s="2"/>
      <c r="E763" s="2"/>
      <c r="L763" s="2"/>
      <c r="M763" s="2"/>
    </row>
    <row r="764" ht="15.75" customHeight="1">
      <c r="B764" s="2"/>
      <c r="C764" s="2"/>
      <c r="D764" s="2"/>
      <c r="E764" s="2"/>
      <c r="L764" s="2"/>
      <c r="M764" s="2"/>
    </row>
    <row r="765" ht="15.75" customHeight="1">
      <c r="B765" s="2"/>
      <c r="C765" s="2"/>
      <c r="D765" s="2"/>
      <c r="E765" s="2"/>
      <c r="L765" s="2"/>
      <c r="M765" s="2"/>
    </row>
    <row r="766" ht="15.75" customHeight="1">
      <c r="B766" s="2"/>
      <c r="C766" s="2"/>
      <c r="D766" s="2"/>
      <c r="E766" s="2"/>
      <c r="L766" s="2"/>
      <c r="M766" s="2"/>
    </row>
    <row r="767" ht="15.75" customHeight="1">
      <c r="B767" s="2"/>
      <c r="C767" s="2"/>
      <c r="D767" s="2"/>
      <c r="E767" s="2"/>
      <c r="L767" s="2"/>
      <c r="M767" s="2"/>
    </row>
    <row r="768" ht="15.75" customHeight="1">
      <c r="B768" s="2"/>
      <c r="C768" s="2"/>
      <c r="D768" s="2"/>
      <c r="E768" s="2"/>
      <c r="L768" s="2"/>
      <c r="M768" s="2"/>
    </row>
    <row r="769" ht="15.75" customHeight="1">
      <c r="B769" s="2"/>
      <c r="C769" s="2"/>
      <c r="D769" s="2"/>
      <c r="E769" s="2"/>
      <c r="L769" s="2"/>
      <c r="M769" s="2"/>
    </row>
    <row r="770" ht="15.75" customHeight="1">
      <c r="B770" s="2"/>
      <c r="C770" s="2"/>
      <c r="D770" s="2"/>
      <c r="E770" s="2"/>
      <c r="L770" s="2"/>
      <c r="M770" s="2"/>
    </row>
    <row r="771" ht="15.75" customHeight="1">
      <c r="B771" s="2"/>
      <c r="C771" s="2"/>
      <c r="D771" s="2"/>
      <c r="E771" s="2"/>
      <c r="L771" s="2"/>
      <c r="M771" s="2"/>
    </row>
    <row r="772" ht="15.75" customHeight="1">
      <c r="B772" s="2"/>
      <c r="C772" s="2"/>
      <c r="D772" s="2"/>
      <c r="E772" s="2"/>
      <c r="L772" s="2"/>
      <c r="M772" s="2"/>
    </row>
    <row r="773" ht="15.75" customHeight="1">
      <c r="B773" s="2"/>
      <c r="C773" s="2"/>
      <c r="D773" s="2"/>
      <c r="E773" s="2"/>
      <c r="L773" s="2"/>
      <c r="M773" s="2"/>
    </row>
    <row r="774" ht="15.75" customHeight="1">
      <c r="B774" s="2"/>
      <c r="C774" s="2"/>
      <c r="D774" s="2"/>
      <c r="E774" s="2"/>
      <c r="L774" s="2"/>
      <c r="M774" s="2"/>
    </row>
    <row r="775" ht="15.75" customHeight="1">
      <c r="B775" s="2"/>
      <c r="C775" s="2"/>
      <c r="D775" s="2"/>
      <c r="E775" s="2"/>
      <c r="L775" s="2"/>
      <c r="M775" s="2"/>
    </row>
    <row r="776" ht="15.75" customHeight="1">
      <c r="B776" s="2"/>
      <c r="C776" s="2"/>
      <c r="D776" s="2"/>
      <c r="E776" s="2"/>
      <c r="L776" s="2"/>
      <c r="M776" s="2"/>
    </row>
    <row r="777" ht="15.75" customHeight="1">
      <c r="B777" s="2"/>
      <c r="C777" s="2"/>
      <c r="D777" s="2"/>
      <c r="E777" s="2"/>
      <c r="L777" s="2"/>
      <c r="M777" s="2"/>
    </row>
    <row r="778" ht="15.75" customHeight="1">
      <c r="B778" s="2"/>
      <c r="C778" s="2"/>
      <c r="D778" s="2"/>
      <c r="E778" s="2"/>
      <c r="L778" s="2"/>
      <c r="M778" s="2"/>
    </row>
    <row r="779" ht="15.75" customHeight="1">
      <c r="B779" s="2"/>
      <c r="C779" s="2"/>
      <c r="D779" s="2"/>
      <c r="E779" s="2"/>
      <c r="L779" s="2"/>
      <c r="M779" s="2"/>
    </row>
    <row r="780" ht="15.75" customHeight="1">
      <c r="B780" s="2"/>
      <c r="C780" s="2"/>
      <c r="D780" s="2"/>
      <c r="E780" s="2"/>
      <c r="L780" s="2"/>
      <c r="M780" s="2"/>
    </row>
    <row r="781" ht="15.75" customHeight="1">
      <c r="B781" s="2"/>
      <c r="C781" s="2"/>
      <c r="D781" s="2"/>
      <c r="E781" s="2"/>
      <c r="L781" s="2"/>
      <c r="M781" s="2"/>
    </row>
    <row r="782" ht="15.75" customHeight="1">
      <c r="B782" s="2"/>
      <c r="C782" s="2"/>
      <c r="D782" s="2"/>
      <c r="E782" s="2"/>
      <c r="L782" s="2"/>
      <c r="M782" s="2"/>
    </row>
    <row r="783" ht="15.75" customHeight="1">
      <c r="B783" s="2"/>
      <c r="C783" s="2"/>
      <c r="D783" s="2"/>
      <c r="E783" s="2"/>
      <c r="L783" s="2"/>
      <c r="M783" s="2"/>
    </row>
    <row r="784" ht="15.75" customHeight="1">
      <c r="B784" s="2"/>
      <c r="C784" s="2"/>
      <c r="D784" s="2"/>
      <c r="E784" s="2"/>
      <c r="L784" s="2"/>
      <c r="M784" s="2"/>
    </row>
    <row r="785" ht="15.75" customHeight="1">
      <c r="B785" s="2"/>
      <c r="C785" s="2"/>
      <c r="D785" s="2"/>
      <c r="E785" s="2"/>
      <c r="L785" s="2"/>
      <c r="M785" s="2"/>
    </row>
    <row r="786" ht="15.75" customHeight="1">
      <c r="B786" s="2"/>
      <c r="C786" s="2"/>
      <c r="D786" s="2"/>
      <c r="E786" s="2"/>
      <c r="L786" s="2"/>
      <c r="M786" s="2"/>
    </row>
    <row r="787" ht="15.75" customHeight="1">
      <c r="B787" s="2"/>
      <c r="C787" s="2"/>
      <c r="D787" s="2"/>
      <c r="E787" s="2"/>
      <c r="L787" s="2"/>
      <c r="M787" s="2"/>
    </row>
    <row r="788" ht="15.75" customHeight="1">
      <c r="B788" s="2"/>
      <c r="C788" s="2"/>
      <c r="D788" s="2"/>
      <c r="E788" s="2"/>
      <c r="L788" s="2"/>
      <c r="M788" s="2"/>
    </row>
    <row r="789" ht="15.75" customHeight="1">
      <c r="B789" s="2"/>
      <c r="C789" s="2"/>
      <c r="D789" s="2"/>
      <c r="E789" s="2"/>
      <c r="L789" s="2"/>
      <c r="M789" s="2"/>
    </row>
    <row r="790" ht="15.75" customHeight="1">
      <c r="B790" s="2"/>
      <c r="C790" s="2"/>
      <c r="D790" s="2"/>
      <c r="E790" s="2"/>
      <c r="L790" s="2"/>
      <c r="M790" s="2"/>
    </row>
    <row r="791" ht="15.75" customHeight="1">
      <c r="B791" s="2"/>
      <c r="C791" s="2"/>
      <c r="D791" s="2"/>
      <c r="E791" s="2"/>
      <c r="L791" s="2"/>
      <c r="M791" s="2"/>
    </row>
    <row r="792" ht="15.75" customHeight="1">
      <c r="B792" s="2"/>
      <c r="C792" s="2"/>
      <c r="D792" s="2"/>
      <c r="E792" s="2"/>
      <c r="L792" s="2"/>
      <c r="M792" s="2"/>
    </row>
    <row r="793" ht="15.75" customHeight="1">
      <c r="B793" s="2"/>
      <c r="C793" s="2"/>
      <c r="D793" s="2"/>
      <c r="E793" s="2"/>
      <c r="L793" s="2"/>
      <c r="M793" s="2"/>
    </row>
    <row r="794" ht="15.75" customHeight="1">
      <c r="B794" s="2"/>
      <c r="C794" s="2"/>
      <c r="D794" s="2"/>
      <c r="E794" s="2"/>
      <c r="L794" s="2"/>
      <c r="M794" s="2"/>
    </row>
    <row r="795" ht="15.75" customHeight="1">
      <c r="B795" s="2"/>
      <c r="C795" s="2"/>
      <c r="D795" s="2"/>
      <c r="E795" s="2"/>
      <c r="L795" s="2"/>
      <c r="M795" s="2"/>
    </row>
    <row r="796" ht="15.75" customHeight="1">
      <c r="B796" s="2"/>
      <c r="C796" s="2"/>
      <c r="D796" s="2"/>
      <c r="E796" s="2"/>
      <c r="L796" s="2"/>
      <c r="M796" s="2"/>
    </row>
    <row r="797" ht="15.75" customHeight="1">
      <c r="B797" s="2"/>
      <c r="C797" s="2"/>
      <c r="D797" s="2"/>
      <c r="E797" s="2"/>
      <c r="L797" s="2"/>
      <c r="M797" s="2"/>
    </row>
    <row r="798" ht="15.75" customHeight="1">
      <c r="B798" s="2"/>
      <c r="C798" s="2"/>
      <c r="D798" s="2"/>
      <c r="E798" s="2"/>
      <c r="L798" s="2"/>
      <c r="M798" s="2"/>
    </row>
    <row r="799" ht="15.75" customHeight="1">
      <c r="B799" s="2"/>
      <c r="C799" s="2"/>
      <c r="D799" s="2"/>
      <c r="E799" s="2"/>
      <c r="L799" s="2"/>
      <c r="M799" s="2"/>
    </row>
    <row r="800" ht="15.75" customHeight="1">
      <c r="B800" s="2"/>
      <c r="C800" s="2"/>
      <c r="D800" s="2"/>
      <c r="E800" s="2"/>
      <c r="L800" s="2"/>
      <c r="M800" s="2"/>
    </row>
    <row r="801" ht="15.75" customHeight="1">
      <c r="B801" s="2"/>
      <c r="C801" s="2"/>
      <c r="D801" s="2"/>
      <c r="E801" s="2"/>
      <c r="L801" s="2"/>
      <c r="M801" s="2"/>
    </row>
    <row r="802" ht="15.75" customHeight="1">
      <c r="B802" s="2"/>
      <c r="C802" s="2"/>
      <c r="D802" s="2"/>
      <c r="E802" s="2"/>
      <c r="L802" s="2"/>
      <c r="M802" s="2"/>
    </row>
    <row r="803" ht="15.75" customHeight="1">
      <c r="B803" s="2"/>
      <c r="C803" s="2"/>
      <c r="D803" s="2"/>
      <c r="E803" s="2"/>
      <c r="L803" s="2"/>
      <c r="M803" s="2"/>
    </row>
    <row r="804" ht="15.75" customHeight="1">
      <c r="B804" s="2"/>
      <c r="C804" s="2"/>
      <c r="D804" s="2"/>
      <c r="E804" s="2"/>
      <c r="L804" s="2"/>
      <c r="M804" s="2"/>
    </row>
    <row r="805" ht="15.75" customHeight="1">
      <c r="B805" s="2"/>
      <c r="C805" s="2"/>
      <c r="D805" s="2"/>
      <c r="E805" s="2"/>
      <c r="L805" s="2"/>
      <c r="M805" s="2"/>
    </row>
    <row r="806" ht="15.75" customHeight="1">
      <c r="B806" s="2"/>
      <c r="C806" s="2"/>
      <c r="D806" s="2"/>
      <c r="E806" s="2"/>
      <c r="L806" s="2"/>
      <c r="M806" s="2"/>
    </row>
    <row r="807" ht="15.75" customHeight="1">
      <c r="B807" s="2"/>
      <c r="C807" s="2"/>
      <c r="D807" s="2"/>
      <c r="E807" s="2"/>
      <c r="L807" s="2"/>
      <c r="M807" s="2"/>
    </row>
    <row r="808" ht="15.75" customHeight="1">
      <c r="B808" s="2"/>
      <c r="C808" s="2"/>
      <c r="D808" s="2"/>
      <c r="E808" s="2"/>
      <c r="L808" s="2"/>
      <c r="M808" s="2"/>
    </row>
    <row r="809" ht="15.75" customHeight="1">
      <c r="B809" s="2"/>
      <c r="C809" s="2"/>
      <c r="D809" s="2"/>
      <c r="E809" s="2"/>
      <c r="L809" s="2"/>
      <c r="M809" s="2"/>
    </row>
    <row r="810" ht="15.75" customHeight="1">
      <c r="B810" s="2"/>
      <c r="C810" s="2"/>
      <c r="D810" s="2"/>
      <c r="E810" s="2"/>
      <c r="L810" s="2"/>
      <c r="M810" s="2"/>
    </row>
    <row r="811" ht="15.75" customHeight="1">
      <c r="B811" s="2"/>
      <c r="C811" s="2"/>
      <c r="D811" s="2"/>
      <c r="E811" s="2"/>
      <c r="L811" s="2"/>
      <c r="M811" s="2"/>
    </row>
    <row r="812" ht="15.75" customHeight="1">
      <c r="B812" s="2"/>
      <c r="C812" s="2"/>
      <c r="D812" s="2"/>
      <c r="E812" s="2"/>
      <c r="L812" s="2"/>
      <c r="M812" s="2"/>
    </row>
    <row r="813" ht="15.75" customHeight="1">
      <c r="B813" s="2"/>
      <c r="C813" s="2"/>
      <c r="D813" s="2"/>
      <c r="E813" s="2"/>
      <c r="L813" s="2"/>
      <c r="M813" s="2"/>
    </row>
    <row r="814" ht="15.75" customHeight="1">
      <c r="B814" s="2"/>
      <c r="C814" s="2"/>
      <c r="D814" s="2"/>
      <c r="E814" s="2"/>
      <c r="L814" s="2"/>
      <c r="M814" s="2"/>
    </row>
    <row r="815" ht="15.75" customHeight="1">
      <c r="B815" s="2"/>
      <c r="C815" s="2"/>
      <c r="D815" s="2"/>
      <c r="E815" s="2"/>
      <c r="L815" s="2"/>
      <c r="M815" s="2"/>
    </row>
    <row r="816" ht="15.75" customHeight="1">
      <c r="B816" s="2"/>
      <c r="C816" s="2"/>
      <c r="D816" s="2"/>
      <c r="E816" s="2"/>
      <c r="L816" s="2"/>
      <c r="M816" s="2"/>
    </row>
    <row r="817" ht="15.75" customHeight="1">
      <c r="B817" s="2"/>
      <c r="C817" s="2"/>
      <c r="D817" s="2"/>
      <c r="E817" s="2"/>
      <c r="L817" s="2"/>
      <c r="M817" s="2"/>
    </row>
    <row r="818" ht="15.75" customHeight="1">
      <c r="B818" s="2"/>
      <c r="C818" s="2"/>
      <c r="D818" s="2"/>
      <c r="E818" s="2"/>
      <c r="L818" s="2"/>
      <c r="M818" s="2"/>
    </row>
    <row r="819" ht="15.75" customHeight="1">
      <c r="B819" s="2"/>
      <c r="C819" s="2"/>
      <c r="D819" s="2"/>
      <c r="E819" s="2"/>
      <c r="L819" s="2"/>
      <c r="M819" s="2"/>
    </row>
    <row r="820" ht="15.75" customHeight="1">
      <c r="B820" s="2"/>
      <c r="C820" s="2"/>
      <c r="D820" s="2"/>
      <c r="E820" s="2"/>
      <c r="L820" s="2"/>
      <c r="M820" s="2"/>
    </row>
    <row r="821" ht="15.75" customHeight="1">
      <c r="B821" s="2"/>
      <c r="C821" s="2"/>
      <c r="D821" s="2"/>
      <c r="E821" s="2"/>
      <c r="L821" s="2"/>
      <c r="M821" s="2"/>
    </row>
    <row r="822" ht="15.75" customHeight="1">
      <c r="B822" s="2"/>
      <c r="C822" s="2"/>
      <c r="D822" s="2"/>
      <c r="E822" s="2"/>
      <c r="L822" s="2"/>
      <c r="M822" s="2"/>
    </row>
    <row r="823" ht="15.75" customHeight="1">
      <c r="B823" s="2"/>
      <c r="C823" s="2"/>
      <c r="D823" s="2"/>
      <c r="E823" s="2"/>
      <c r="L823" s="2"/>
      <c r="M823" s="2"/>
    </row>
    <row r="824" ht="15.75" customHeight="1">
      <c r="B824" s="2"/>
      <c r="C824" s="2"/>
      <c r="D824" s="2"/>
      <c r="E824" s="2"/>
      <c r="L824" s="2"/>
      <c r="M824" s="2"/>
    </row>
    <row r="825" ht="15.75" customHeight="1">
      <c r="B825" s="2"/>
      <c r="C825" s="2"/>
      <c r="D825" s="2"/>
      <c r="E825" s="2"/>
      <c r="L825" s="2"/>
      <c r="M825" s="2"/>
    </row>
    <row r="826" ht="15.75" customHeight="1">
      <c r="B826" s="2"/>
      <c r="C826" s="2"/>
      <c r="D826" s="2"/>
      <c r="E826" s="2"/>
      <c r="L826" s="2"/>
      <c r="M826" s="2"/>
    </row>
    <row r="827" ht="15.75" customHeight="1">
      <c r="B827" s="2"/>
      <c r="C827" s="2"/>
      <c r="D827" s="2"/>
      <c r="E827" s="2"/>
      <c r="L827" s="2"/>
      <c r="M827" s="2"/>
    </row>
    <row r="828" ht="15.75" customHeight="1">
      <c r="B828" s="2"/>
      <c r="C828" s="2"/>
      <c r="D828" s="2"/>
      <c r="E828" s="2"/>
      <c r="L828" s="2"/>
      <c r="M828" s="2"/>
    </row>
    <row r="829" ht="15.75" customHeight="1">
      <c r="B829" s="2"/>
      <c r="C829" s="2"/>
      <c r="D829" s="2"/>
      <c r="E829" s="2"/>
      <c r="L829" s="2"/>
      <c r="M829" s="2"/>
    </row>
    <row r="830" ht="15.75" customHeight="1">
      <c r="B830" s="2"/>
      <c r="C830" s="2"/>
      <c r="D830" s="2"/>
      <c r="E830" s="2"/>
      <c r="L830" s="2"/>
      <c r="M830" s="2"/>
    </row>
    <row r="831" ht="15.75" customHeight="1">
      <c r="B831" s="2"/>
      <c r="C831" s="2"/>
      <c r="D831" s="2"/>
      <c r="E831" s="2"/>
      <c r="L831" s="2"/>
      <c r="M831" s="2"/>
    </row>
    <row r="832" ht="15.75" customHeight="1">
      <c r="B832" s="2"/>
      <c r="C832" s="2"/>
      <c r="D832" s="2"/>
      <c r="E832" s="2"/>
      <c r="L832" s="2"/>
      <c r="M832" s="2"/>
    </row>
    <row r="833" ht="15.75" customHeight="1">
      <c r="B833" s="2"/>
      <c r="C833" s="2"/>
      <c r="D833" s="2"/>
      <c r="E833" s="2"/>
      <c r="L833" s="2"/>
      <c r="M833" s="2"/>
    </row>
    <row r="834" ht="15.75" customHeight="1">
      <c r="B834" s="2"/>
      <c r="C834" s="2"/>
      <c r="D834" s="2"/>
      <c r="E834" s="2"/>
      <c r="L834" s="2"/>
      <c r="M834" s="2"/>
    </row>
    <row r="835" ht="15.75" customHeight="1">
      <c r="B835" s="2"/>
      <c r="C835" s="2"/>
      <c r="D835" s="2"/>
      <c r="E835" s="2"/>
      <c r="L835" s="2"/>
      <c r="M835" s="2"/>
    </row>
    <row r="836" ht="15.75" customHeight="1">
      <c r="B836" s="2"/>
      <c r="C836" s="2"/>
      <c r="D836" s="2"/>
      <c r="E836" s="2"/>
      <c r="L836" s="2"/>
      <c r="M836" s="2"/>
    </row>
    <row r="837" ht="15.75" customHeight="1">
      <c r="B837" s="2"/>
      <c r="C837" s="2"/>
      <c r="D837" s="2"/>
      <c r="E837" s="2"/>
      <c r="L837" s="2"/>
      <c r="M837" s="2"/>
    </row>
    <row r="838" ht="15.75" customHeight="1">
      <c r="B838" s="2"/>
      <c r="C838" s="2"/>
      <c r="D838" s="2"/>
      <c r="E838" s="2"/>
      <c r="L838" s="2"/>
      <c r="M838" s="2"/>
    </row>
    <row r="839" ht="15.75" customHeight="1">
      <c r="B839" s="2"/>
      <c r="C839" s="2"/>
      <c r="D839" s="2"/>
      <c r="E839" s="2"/>
      <c r="L839" s="2"/>
      <c r="M839" s="2"/>
    </row>
    <row r="840" ht="15.75" customHeight="1">
      <c r="B840" s="2"/>
      <c r="C840" s="2"/>
      <c r="D840" s="2"/>
      <c r="E840" s="2"/>
      <c r="L840" s="2"/>
      <c r="M840" s="2"/>
    </row>
    <row r="841" ht="15.75" customHeight="1">
      <c r="B841" s="2"/>
      <c r="C841" s="2"/>
      <c r="D841" s="2"/>
      <c r="E841" s="2"/>
      <c r="L841" s="2"/>
      <c r="M841" s="2"/>
    </row>
    <row r="842" ht="15.75" customHeight="1">
      <c r="B842" s="2"/>
      <c r="C842" s="2"/>
      <c r="D842" s="2"/>
      <c r="E842" s="2"/>
      <c r="L842" s="2"/>
      <c r="M842" s="2"/>
    </row>
    <row r="843" ht="15.75" customHeight="1">
      <c r="B843" s="2"/>
      <c r="C843" s="2"/>
      <c r="D843" s="2"/>
      <c r="E843" s="2"/>
      <c r="L843" s="2"/>
      <c r="M843" s="2"/>
    </row>
    <row r="844" ht="15.75" customHeight="1">
      <c r="B844" s="2"/>
      <c r="C844" s="2"/>
      <c r="D844" s="2"/>
      <c r="E844" s="2"/>
      <c r="L844" s="2"/>
      <c r="M844" s="2"/>
    </row>
    <row r="845" ht="15.75" customHeight="1">
      <c r="B845" s="2"/>
      <c r="C845" s="2"/>
      <c r="D845" s="2"/>
      <c r="E845" s="2"/>
      <c r="L845" s="2"/>
      <c r="M845" s="2"/>
    </row>
    <row r="846" ht="15.75" customHeight="1">
      <c r="B846" s="2"/>
      <c r="C846" s="2"/>
      <c r="D846" s="2"/>
      <c r="E846" s="2"/>
      <c r="L846" s="2"/>
      <c r="M846" s="2"/>
    </row>
    <row r="847" ht="15.75" customHeight="1">
      <c r="B847" s="2"/>
      <c r="C847" s="2"/>
      <c r="D847" s="2"/>
      <c r="E847" s="2"/>
      <c r="L847" s="2"/>
      <c r="M847" s="2"/>
    </row>
    <row r="848" ht="15.75" customHeight="1">
      <c r="B848" s="2"/>
      <c r="C848" s="2"/>
      <c r="D848" s="2"/>
      <c r="E848" s="2"/>
      <c r="L848" s="2"/>
      <c r="M848" s="2"/>
    </row>
    <row r="849" ht="15.75" customHeight="1">
      <c r="B849" s="2"/>
      <c r="C849" s="2"/>
      <c r="D849" s="2"/>
      <c r="E849" s="2"/>
      <c r="L849" s="2"/>
      <c r="M849" s="2"/>
    </row>
    <row r="850" ht="15.75" customHeight="1">
      <c r="B850" s="2"/>
      <c r="C850" s="2"/>
      <c r="D850" s="2"/>
      <c r="E850" s="2"/>
      <c r="L850" s="2"/>
      <c r="M850" s="2"/>
    </row>
    <row r="851" ht="15.75" customHeight="1">
      <c r="B851" s="2"/>
      <c r="C851" s="2"/>
      <c r="D851" s="2"/>
      <c r="E851" s="2"/>
      <c r="L851" s="2"/>
      <c r="M851" s="2"/>
    </row>
    <row r="852" ht="15.75" customHeight="1">
      <c r="B852" s="2"/>
      <c r="C852" s="2"/>
      <c r="D852" s="2"/>
      <c r="E852" s="2"/>
      <c r="L852" s="2"/>
      <c r="M852" s="2"/>
    </row>
    <row r="853" ht="15.75" customHeight="1">
      <c r="B853" s="2"/>
      <c r="C853" s="2"/>
      <c r="D853" s="2"/>
      <c r="E853" s="2"/>
      <c r="L853" s="2"/>
      <c r="M853" s="2"/>
    </row>
    <row r="854" ht="15.75" customHeight="1">
      <c r="B854" s="2"/>
      <c r="C854" s="2"/>
      <c r="D854" s="2"/>
      <c r="E854" s="2"/>
      <c r="L854" s="2"/>
      <c r="M854" s="2"/>
    </row>
    <row r="855" ht="15.75" customHeight="1">
      <c r="B855" s="2"/>
      <c r="C855" s="2"/>
      <c r="D855" s="2"/>
      <c r="E855" s="2"/>
      <c r="L855" s="2"/>
      <c r="M855" s="2"/>
    </row>
    <row r="856" ht="15.75" customHeight="1">
      <c r="B856" s="2"/>
      <c r="C856" s="2"/>
      <c r="D856" s="2"/>
      <c r="E856" s="2"/>
      <c r="L856" s="2"/>
      <c r="M856" s="2"/>
    </row>
    <row r="857" ht="15.75" customHeight="1">
      <c r="B857" s="2"/>
      <c r="C857" s="2"/>
      <c r="D857" s="2"/>
      <c r="E857" s="2"/>
      <c r="L857" s="2"/>
      <c r="M857" s="2"/>
    </row>
    <row r="858" ht="15.75" customHeight="1">
      <c r="B858" s="2"/>
      <c r="C858" s="2"/>
      <c r="D858" s="2"/>
      <c r="E858" s="2"/>
      <c r="L858" s="2"/>
      <c r="M858" s="2"/>
    </row>
    <row r="859" ht="15.75" customHeight="1">
      <c r="B859" s="2"/>
      <c r="C859" s="2"/>
      <c r="D859" s="2"/>
      <c r="E859" s="2"/>
      <c r="L859" s="2"/>
      <c r="M859" s="2"/>
    </row>
    <row r="860" ht="15.75" customHeight="1">
      <c r="B860" s="2"/>
      <c r="C860" s="2"/>
      <c r="D860" s="2"/>
      <c r="E860" s="2"/>
      <c r="L860" s="2"/>
      <c r="M860" s="2"/>
    </row>
    <row r="861" ht="15.75" customHeight="1">
      <c r="B861" s="2"/>
      <c r="C861" s="2"/>
      <c r="D861" s="2"/>
      <c r="E861" s="2"/>
      <c r="L861" s="2"/>
      <c r="M861" s="2"/>
    </row>
    <row r="862" ht="15.75" customHeight="1">
      <c r="B862" s="2"/>
      <c r="C862" s="2"/>
      <c r="D862" s="2"/>
      <c r="E862" s="2"/>
      <c r="L862" s="2"/>
      <c r="M862" s="2"/>
    </row>
    <row r="863" ht="15.75" customHeight="1">
      <c r="B863" s="2"/>
      <c r="C863" s="2"/>
      <c r="D863" s="2"/>
      <c r="E863" s="2"/>
      <c r="L863" s="2"/>
      <c r="M863" s="2"/>
    </row>
    <row r="864" ht="15.75" customHeight="1">
      <c r="B864" s="2"/>
      <c r="C864" s="2"/>
      <c r="D864" s="2"/>
      <c r="E864" s="2"/>
      <c r="L864" s="2"/>
      <c r="M864" s="2"/>
    </row>
    <row r="865" ht="15.75" customHeight="1">
      <c r="B865" s="2"/>
      <c r="C865" s="2"/>
      <c r="D865" s="2"/>
      <c r="E865" s="2"/>
      <c r="L865" s="2"/>
      <c r="M865" s="2"/>
    </row>
    <row r="866" ht="15.75" customHeight="1">
      <c r="B866" s="2"/>
      <c r="C866" s="2"/>
      <c r="D866" s="2"/>
      <c r="E866" s="2"/>
      <c r="L866" s="2"/>
      <c r="M866" s="2"/>
    </row>
    <row r="867" ht="15.75" customHeight="1">
      <c r="B867" s="2"/>
      <c r="C867" s="2"/>
      <c r="D867" s="2"/>
      <c r="E867" s="2"/>
      <c r="L867" s="2"/>
      <c r="M867" s="2"/>
    </row>
    <row r="868" ht="15.75" customHeight="1">
      <c r="B868" s="2"/>
      <c r="C868" s="2"/>
      <c r="D868" s="2"/>
      <c r="E868" s="2"/>
      <c r="L868" s="2"/>
      <c r="M868" s="2"/>
    </row>
    <row r="869" ht="15.75" customHeight="1">
      <c r="B869" s="2"/>
      <c r="C869" s="2"/>
      <c r="D869" s="2"/>
      <c r="E869" s="2"/>
      <c r="L869" s="2"/>
      <c r="M869" s="2"/>
    </row>
    <row r="870" ht="15.75" customHeight="1">
      <c r="B870" s="2"/>
      <c r="C870" s="2"/>
      <c r="D870" s="2"/>
      <c r="E870" s="2"/>
      <c r="L870" s="2"/>
      <c r="M870" s="2"/>
    </row>
    <row r="871" ht="15.75" customHeight="1">
      <c r="B871" s="2"/>
      <c r="C871" s="2"/>
      <c r="D871" s="2"/>
      <c r="E871" s="2"/>
      <c r="L871" s="2"/>
      <c r="M871" s="2"/>
    </row>
    <row r="872" ht="15.75" customHeight="1">
      <c r="B872" s="2"/>
      <c r="C872" s="2"/>
      <c r="D872" s="2"/>
      <c r="E872" s="2"/>
      <c r="L872" s="2"/>
      <c r="M872" s="2"/>
    </row>
    <row r="873" ht="15.75" customHeight="1">
      <c r="B873" s="2"/>
      <c r="C873" s="2"/>
      <c r="D873" s="2"/>
      <c r="E873" s="2"/>
      <c r="L873" s="2"/>
      <c r="M873" s="2"/>
    </row>
    <row r="874" ht="15.75" customHeight="1">
      <c r="B874" s="2"/>
      <c r="C874" s="2"/>
      <c r="D874" s="2"/>
      <c r="E874" s="2"/>
      <c r="L874" s="2"/>
      <c r="M874" s="2"/>
    </row>
    <row r="875" ht="15.75" customHeight="1">
      <c r="B875" s="2"/>
      <c r="C875" s="2"/>
      <c r="D875" s="2"/>
      <c r="E875" s="2"/>
      <c r="L875" s="2"/>
      <c r="M875" s="2"/>
    </row>
    <row r="876" ht="15.75" customHeight="1">
      <c r="B876" s="2"/>
      <c r="C876" s="2"/>
      <c r="D876" s="2"/>
      <c r="E876" s="2"/>
      <c r="L876" s="2"/>
      <c r="M876" s="2"/>
    </row>
    <row r="877" ht="15.75" customHeight="1">
      <c r="B877" s="2"/>
      <c r="C877" s="2"/>
      <c r="D877" s="2"/>
      <c r="E877" s="2"/>
      <c r="L877" s="2"/>
      <c r="M877" s="2"/>
    </row>
    <row r="878" ht="15.75" customHeight="1">
      <c r="B878" s="2"/>
      <c r="C878" s="2"/>
      <c r="D878" s="2"/>
      <c r="E878" s="2"/>
      <c r="L878" s="2"/>
      <c r="M878" s="2"/>
    </row>
    <row r="879" ht="15.75" customHeight="1">
      <c r="B879" s="2"/>
      <c r="C879" s="2"/>
      <c r="D879" s="2"/>
      <c r="E879" s="2"/>
      <c r="L879" s="2"/>
      <c r="M879" s="2"/>
    </row>
    <row r="880" ht="15.75" customHeight="1">
      <c r="B880" s="2"/>
      <c r="C880" s="2"/>
      <c r="D880" s="2"/>
      <c r="E880" s="2"/>
      <c r="L880" s="2"/>
      <c r="M880" s="2"/>
    </row>
    <row r="881" ht="15.75" customHeight="1">
      <c r="B881" s="2"/>
      <c r="C881" s="2"/>
      <c r="D881" s="2"/>
      <c r="E881" s="2"/>
      <c r="L881" s="2"/>
      <c r="M881" s="2"/>
    </row>
    <row r="882" ht="15.75" customHeight="1">
      <c r="B882" s="2"/>
      <c r="C882" s="2"/>
      <c r="D882" s="2"/>
      <c r="E882" s="2"/>
      <c r="L882" s="2"/>
      <c r="M882" s="2"/>
    </row>
    <row r="883" ht="15.75" customHeight="1">
      <c r="B883" s="2"/>
      <c r="C883" s="2"/>
      <c r="D883" s="2"/>
      <c r="E883" s="2"/>
      <c r="L883" s="2"/>
      <c r="M883" s="2"/>
    </row>
    <row r="884" ht="15.75" customHeight="1">
      <c r="B884" s="2"/>
      <c r="C884" s="2"/>
      <c r="D884" s="2"/>
      <c r="E884" s="2"/>
      <c r="L884" s="2"/>
      <c r="M884" s="2"/>
    </row>
    <row r="885" ht="15.75" customHeight="1">
      <c r="B885" s="2"/>
      <c r="C885" s="2"/>
      <c r="D885" s="2"/>
      <c r="E885" s="2"/>
      <c r="L885" s="2"/>
      <c r="M885" s="2"/>
    </row>
    <row r="886" ht="15.75" customHeight="1">
      <c r="B886" s="2"/>
      <c r="C886" s="2"/>
      <c r="D886" s="2"/>
      <c r="E886" s="2"/>
      <c r="L886" s="2"/>
      <c r="M886" s="2"/>
    </row>
    <row r="887" ht="15.75" customHeight="1">
      <c r="B887" s="2"/>
      <c r="C887" s="2"/>
      <c r="D887" s="2"/>
      <c r="E887" s="2"/>
      <c r="L887" s="2"/>
      <c r="M887" s="2"/>
    </row>
    <row r="888" ht="15.75" customHeight="1">
      <c r="B888" s="2"/>
      <c r="C888" s="2"/>
      <c r="D888" s="2"/>
      <c r="E888" s="2"/>
      <c r="L888" s="2"/>
      <c r="M888" s="2"/>
    </row>
    <row r="889" ht="15.75" customHeight="1">
      <c r="B889" s="2"/>
      <c r="C889" s="2"/>
      <c r="D889" s="2"/>
      <c r="E889" s="2"/>
      <c r="L889" s="2"/>
      <c r="M889" s="2"/>
    </row>
    <row r="890" ht="15.75" customHeight="1">
      <c r="B890" s="2"/>
      <c r="C890" s="2"/>
      <c r="D890" s="2"/>
      <c r="E890" s="2"/>
      <c r="L890" s="2"/>
      <c r="M890" s="2"/>
    </row>
    <row r="891" ht="15.75" customHeight="1">
      <c r="B891" s="2"/>
      <c r="C891" s="2"/>
      <c r="D891" s="2"/>
      <c r="E891" s="2"/>
      <c r="L891" s="2"/>
      <c r="M891" s="2"/>
    </row>
    <row r="892" ht="15.75" customHeight="1">
      <c r="B892" s="2"/>
      <c r="C892" s="2"/>
      <c r="D892" s="2"/>
      <c r="E892" s="2"/>
      <c r="L892" s="2"/>
      <c r="M892" s="2"/>
    </row>
    <row r="893" ht="15.75" customHeight="1">
      <c r="B893" s="2"/>
      <c r="C893" s="2"/>
      <c r="D893" s="2"/>
      <c r="E893" s="2"/>
      <c r="L893" s="2"/>
      <c r="M893" s="2"/>
    </row>
    <row r="894" ht="15.75" customHeight="1">
      <c r="B894" s="2"/>
      <c r="C894" s="2"/>
      <c r="D894" s="2"/>
      <c r="E894" s="2"/>
      <c r="L894" s="2"/>
      <c r="M894" s="2"/>
    </row>
    <row r="895" ht="15.75" customHeight="1">
      <c r="B895" s="2"/>
      <c r="C895" s="2"/>
      <c r="D895" s="2"/>
      <c r="E895" s="2"/>
      <c r="L895" s="2"/>
      <c r="M895" s="2"/>
    </row>
    <row r="896" ht="15.75" customHeight="1">
      <c r="B896" s="2"/>
      <c r="C896" s="2"/>
      <c r="D896" s="2"/>
      <c r="E896" s="2"/>
      <c r="L896" s="2"/>
      <c r="M896" s="2"/>
    </row>
    <row r="897" ht="15.75" customHeight="1">
      <c r="B897" s="2"/>
      <c r="C897" s="2"/>
      <c r="D897" s="2"/>
      <c r="E897" s="2"/>
      <c r="L897" s="2"/>
      <c r="M897" s="2"/>
    </row>
    <row r="898" ht="15.75" customHeight="1">
      <c r="B898" s="2"/>
      <c r="C898" s="2"/>
      <c r="D898" s="2"/>
      <c r="E898" s="2"/>
      <c r="L898" s="2"/>
      <c r="M898" s="2"/>
    </row>
    <row r="899" ht="15.75" customHeight="1">
      <c r="B899" s="2"/>
      <c r="C899" s="2"/>
      <c r="D899" s="2"/>
      <c r="E899" s="2"/>
      <c r="L899" s="2"/>
      <c r="M899" s="2"/>
    </row>
    <row r="900" ht="15.75" customHeight="1">
      <c r="B900" s="2"/>
      <c r="C900" s="2"/>
      <c r="D900" s="2"/>
      <c r="E900" s="2"/>
      <c r="L900" s="2"/>
      <c r="M900" s="2"/>
    </row>
    <row r="901" ht="15.75" customHeight="1">
      <c r="B901" s="2"/>
      <c r="C901" s="2"/>
      <c r="D901" s="2"/>
      <c r="E901" s="2"/>
      <c r="L901" s="2"/>
      <c r="M901" s="2"/>
    </row>
    <row r="902" ht="15.75" customHeight="1">
      <c r="B902" s="2"/>
      <c r="C902" s="2"/>
      <c r="D902" s="2"/>
      <c r="E902" s="2"/>
      <c r="L902" s="2"/>
      <c r="M902" s="2"/>
    </row>
    <row r="903" ht="15.75" customHeight="1">
      <c r="B903" s="2"/>
      <c r="C903" s="2"/>
      <c r="D903" s="2"/>
      <c r="E903" s="2"/>
      <c r="L903" s="2"/>
      <c r="M903" s="2"/>
    </row>
    <row r="904" ht="15.75" customHeight="1">
      <c r="B904" s="2"/>
      <c r="C904" s="2"/>
      <c r="D904" s="2"/>
      <c r="E904" s="2"/>
      <c r="L904" s="2"/>
      <c r="M904" s="2"/>
    </row>
    <row r="905" ht="15.75" customHeight="1">
      <c r="B905" s="2"/>
      <c r="C905" s="2"/>
      <c r="D905" s="2"/>
      <c r="E905" s="2"/>
      <c r="L905" s="2"/>
      <c r="M905" s="2"/>
    </row>
    <row r="906" ht="15.75" customHeight="1">
      <c r="B906" s="2"/>
      <c r="C906" s="2"/>
      <c r="D906" s="2"/>
      <c r="E906" s="2"/>
      <c r="L906" s="2"/>
      <c r="M906" s="2"/>
    </row>
    <row r="907" ht="15.75" customHeight="1">
      <c r="B907" s="2"/>
      <c r="C907" s="2"/>
      <c r="D907" s="2"/>
      <c r="E907" s="2"/>
      <c r="L907" s="2"/>
      <c r="M907" s="2"/>
    </row>
    <row r="908" ht="15.75" customHeight="1">
      <c r="B908" s="2"/>
      <c r="C908" s="2"/>
      <c r="D908" s="2"/>
      <c r="E908" s="2"/>
      <c r="L908" s="2"/>
      <c r="M908" s="2"/>
    </row>
    <row r="909" ht="15.75" customHeight="1">
      <c r="B909" s="2"/>
      <c r="C909" s="2"/>
      <c r="D909" s="2"/>
      <c r="E909" s="2"/>
      <c r="L909" s="2"/>
      <c r="M909" s="2"/>
    </row>
    <row r="910" ht="15.75" customHeight="1">
      <c r="B910" s="2"/>
      <c r="C910" s="2"/>
      <c r="D910" s="2"/>
      <c r="E910" s="2"/>
      <c r="L910" s="2"/>
      <c r="M910" s="2"/>
    </row>
    <row r="911" ht="15.75" customHeight="1">
      <c r="B911" s="2"/>
      <c r="C911" s="2"/>
      <c r="D911" s="2"/>
      <c r="E911" s="2"/>
      <c r="L911" s="2"/>
      <c r="M911" s="2"/>
    </row>
    <row r="912" ht="15.75" customHeight="1">
      <c r="B912" s="2"/>
      <c r="C912" s="2"/>
      <c r="D912" s="2"/>
      <c r="E912" s="2"/>
      <c r="L912" s="2"/>
      <c r="M912" s="2"/>
    </row>
    <row r="913" ht="15.75" customHeight="1">
      <c r="B913" s="2"/>
      <c r="C913" s="2"/>
      <c r="D913" s="2"/>
      <c r="E913" s="2"/>
      <c r="L913" s="2"/>
      <c r="M913" s="2"/>
    </row>
    <row r="914" ht="15.75" customHeight="1">
      <c r="B914" s="2"/>
      <c r="C914" s="2"/>
      <c r="D914" s="2"/>
      <c r="E914" s="2"/>
      <c r="L914" s="2"/>
      <c r="M914" s="2"/>
    </row>
    <row r="915" ht="15.75" customHeight="1">
      <c r="B915" s="2"/>
      <c r="C915" s="2"/>
      <c r="D915" s="2"/>
      <c r="E915" s="2"/>
      <c r="L915" s="2"/>
      <c r="M915" s="2"/>
    </row>
    <row r="916" ht="15.75" customHeight="1">
      <c r="B916" s="2"/>
      <c r="C916" s="2"/>
      <c r="D916" s="2"/>
      <c r="E916" s="2"/>
      <c r="L916" s="2"/>
      <c r="M916" s="2"/>
    </row>
    <row r="917" ht="15.75" customHeight="1">
      <c r="B917" s="2"/>
      <c r="C917" s="2"/>
      <c r="D917" s="2"/>
      <c r="E917" s="2"/>
      <c r="L917" s="2"/>
      <c r="M917" s="2"/>
    </row>
    <row r="918" ht="15.75" customHeight="1">
      <c r="B918" s="2"/>
      <c r="C918" s="2"/>
      <c r="D918" s="2"/>
      <c r="E918" s="2"/>
      <c r="L918" s="2"/>
      <c r="M918" s="2"/>
    </row>
    <row r="919" ht="15.75" customHeight="1">
      <c r="B919" s="2"/>
      <c r="C919" s="2"/>
      <c r="D919" s="2"/>
      <c r="E919" s="2"/>
      <c r="L919" s="2"/>
      <c r="M919" s="2"/>
    </row>
    <row r="920" ht="15.75" customHeight="1">
      <c r="B920" s="2"/>
      <c r="C920" s="2"/>
      <c r="D920" s="2"/>
      <c r="E920" s="2"/>
      <c r="L920" s="2"/>
      <c r="M920" s="2"/>
    </row>
    <row r="921" ht="15.75" customHeight="1">
      <c r="B921" s="2"/>
      <c r="C921" s="2"/>
      <c r="D921" s="2"/>
      <c r="E921" s="2"/>
      <c r="L921" s="2"/>
      <c r="M921" s="2"/>
    </row>
    <row r="922" ht="15.75" customHeight="1">
      <c r="B922" s="2"/>
      <c r="C922" s="2"/>
      <c r="D922" s="2"/>
      <c r="E922" s="2"/>
      <c r="L922" s="2"/>
      <c r="M922" s="2"/>
    </row>
    <row r="923" ht="15.75" customHeight="1">
      <c r="B923" s="2"/>
      <c r="C923" s="2"/>
      <c r="D923" s="2"/>
      <c r="E923" s="2"/>
      <c r="L923" s="2"/>
      <c r="M923" s="2"/>
    </row>
    <row r="924" ht="15.75" customHeight="1">
      <c r="B924" s="2"/>
      <c r="C924" s="2"/>
      <c r="D924" s="2"/>
      <c r="E924" s="2"/>
      <c r="L924" s="2"/>
      <c r="M924" s="2"/>
    </row>
    <row r="925" ht="15.75" customHeight="1">
      <c r="B925" s="2"/>
      <c r="C925" s="2"/>
      <c r="D925" s="2"/>
      <c r="E925" s="2"/>
      <c r="L925" s="2"/>
      <c r="M925" s="2"/>
    </row>
    <row r="926" ht="15.75" customHeight="1">
      <c r="B926" s="2"/>
      <c r="C926" s="2"/>
      <c r="D926" s="2"/>
      <c r="E926" s="2"/>
      <c r="L926" s="2"/>
      <c r="M926" s="2"/>
    </row>
    <row r="927" ht="15.75" customHeight="1">
      <c r="B927" s="2"/>
      <c r="C927" s="2"/>
      <c r="D927" s="2"/>
      <c r="E927" s="2"/>
      <c r="L927" s="2"/>
      <c r="M927" s="2"/>
    </row>
    <row r="928" ht="15.75" customHeight="1">
      <c r="B928" s="2"/>
      <c r="C928" s="2"/>
      <c r="D928" s="2"/>
      <c r="E928" s="2"/>
      <c r="L928" s="2"/>
      <c r="M928" s="2"/>
    </row>
    <row r="929" ht="15.75" customHeight="1">
      <c r="B929" s="2"/>
      <c r="C929" s="2"/>
      <c r="D929" s="2"/>
      <c r="E929" s="2"/>
      <c r="L929" s="2"/>
      <c r="M929" s="2"/>
    </row>
    <row r="930" ht="15.75" customHeight="1">
      <c r="B930" s="2"/>
      <c r="C930" s="2"/>
      <c r="D930" s="2"/>
      <c r="E930" s="2"/>
      <c r="L930" s="2"/>
      <c r="M930" s="2"/>
    </row>
    <row r="931" ht="15.75" customHeight="1">
      <c r="B931" s="2"/>
      <c r="C931" s="2"/>
      <c r="D931" s="2"/>
      <c r="E931" s="2"/>
      <c r="L931" s="2"/>
      <c r="M931" s="2"/>
    </row>
    <row r="932" ht="15.75" customHeight="1">
      <c r="B932" s="2"/>
      <c r="C932" s="2"/>
      <c r="D932" s="2"/>
      <c r="E932" s="2"/>
      <c r="L932" s="2"/>
      <c r="M932" s="2"/>
    </row>
    <row r="933" ht="15.75" customHeight="1">
      <c r="B933" s="2"/>
      <c r="C933" s="2"/>
      <c r="D933" s="2"/>
      <c r="E933" s="2"/>
      <c r="L933" s="2"/>
      <c r="M933" s="2"/>
    </row>
    <row r="934" ht="15.75" customHeight="1">
      <c r="B934" s="2"/>
      <c r="C934" s="2"/>
      <c r="D934" s="2"/>
      <c r="E934" s="2"/>
      <c r="L934" s="2"/>
      <c r="M934" s="2"/>
    </row>
    <row r="935" ht="15.75" customHeight="1">
      <c r="B935" s="2"/>
      <c r="C935" s="2"/>
      <c r="D935" s="2"/>
      <c r="E935" s="2"/>
      <c r="L935" s="2"/>
      <c r="M935" s="2"/>
    </row>
    <row r="936" ht="15.75" customHeight="1">
      <c r="B936" s="2"/>
      <c r="C936" s="2"/>
      <c r="D936" s="2"/>
      <c r="E936" s="2"/>
      <c r="L936" s="2"/>
      <c r="M936" s="2"/>
    </row>
    <row r="937" ht="15.75" customHeight="1">
      <c r="B937" s="2"/>
      <c r="C937" s="2"/>
      <c r="D937" s="2"/>
      <c r="E937" s="2"/>
      <c r="L937" s="2"/>
      <c r="M937" s="2"/>
    </row>
    <row r="938" ht="15.75" customHeight="1">
      <c r="B938" s="2"/>
      <c r="C938" s="2"/>
      <c r="D938" s="2"/>
      <c r="E938" s="2"/>
      <c r="L938" s="2"/>
      <c r="M938" s="2"/>
    </row>
    <row r="939" ht="15.75" customHeight="1">
      <c r="B939" s="2"/>
      <c r="C939" s="2"/>
      <c r="D939" s="2"/>
      <c r="E939" s="2"/>
      <c r="L939" s="2"/>
      <c r="M939" s="2"/>
    </row>
    <row r="940" ht="15.75" customHeight="1">
      <c r="B940" s="2"/>
      <c r="C940" s="2"/>
      <c r="D940" s="2"/>
      <c r="E940" s="2"/>
      <c r="L940" s="2"/>
      <c r="M940" s="2"/>
    </row>
    <row r="941" ht="15.75" customHeight="1">
      <c r="B941" s="2"/>
      <c r="C941" s="2"/>
      <c r="D941" s="2"/>
      <c r="E941" s="2"/>
      <c r="L941" s="2"/>
      <c r="M941" s="2"/>
    </row>
    <row r="942" ht="15.75" customHeight="1">
      <c r="B942" s="2"/>
      <c r="C942" s="2"/>
      <c r="D942" s="2"/>
      <c r="E942" s="2"/>
      <c r="L942" s="2"/>
      <c r="M942" s="2"/>
    </row>
    <row r="943" ht="15.75" customHeight="1">
      <c r="B943" s="2"/>
      <c r="C943" s="2"/>
      <c r="D943" s="2"/>
      <c r="E943" s="2"/>
      <c r="L943" s="2"/>
      <c r="M943" s="2"/>
    </row>
    <row r="944" ht="15.75" customHeight="1">
      <c r="B944" s="2"/>
      <c r="C944" s="2"/>
      <c r="D944" s="2"/>
      <c r="E944" s="2"/>
      <c r="L944" s="2"/>
      <c r="M944" s="2"/>
    </row>
    <row r="945" ht="15.75" customHeight="1">
      <c r="B945" s="2"/>
      <c r="C945" s="2"/>
      <c r="D945" s="2"/>
      <c r="E945" s="2"/>
      <c r="L945" s="2"/>
      <c r="M945" s="2"/>
    </row>
    <row r="946" ht="15.75" customHeight="1">
      <c r="B946" s="2"/>
      <c r="C946" s="2"/>
      <c r="D946" s="2"/>
      <c r="E946" s="2"/>
      <c r="L946" s="2"/>
      <c r="M946" s="2"/>
    </row>
    <row r="947" ht="15.75" customHeight="1">
      <c r="B947" s="2"/>
      <c r="C947" s="2"/>
      <c r="D947" s="2"/>
      <c r="E947" s="2"/>
      <c r="L947" s="2"/>
      <c r="M947" s="2"/>
    </row>
    <row r="948" ht="15.75" customHeight="1">
      <c r="B948" s="2"/>
      <c r="C948" s="2"/>
      <c r="D948" s="2"/>
      <c r="E948" s="2"/>
      <c r="L948" s="2"/>
      <c r="M948" s="2"/>
    </row>
    <row r="949" ht="15.75" customHeight="1">
      <c r="B949" s="2"/>
      <c r="C949" s="2"/>
      <c r="D949" s="2"/>
      <c r="E949" s="2"/>
      <c r="L949" s="2"/>
      <c r="M949" s="2"/>
    </row>
    <row r="950" ht="15.75" customHeight="1">
      <c r="B950" s="2"/>
      <c r="C950" s="2"/>
      <c r="D950" s="2"/>
      <c r="E950" s="2"/>
      <c r="L950" s="2"/>
      <c r="M950" s="2"/>
    </row>
    <row r="951" ht="15.75" customHeight="1">
      <c r="B951" s="2"/>
      <c r="C951" s="2"/>
      <c r="D951" s="2"/>
      <c r="E951" s="2"/>
      <c r="L951" s="2"/>
      <c r="M951" s="2"/>
    </row>
    <row r="952" ht="15.75" customHeight="1">
      <c r="B952" s="2"/>
      <c r="C952" s="2"/>
      <c r="D952" s="2"/>
      <c r="E952" s="2"/>
      <c r="L952" s="2"/>
      <c r="M952" s="2"/>
    </row>
    <row r="953" ht="15.75" customHeight="1">
      <c r="B953" s="2"/>
      <c r="C953" s="2"/>
      <c r="D953" s="2"/>
      <c r="E953" s="2"/>
      <c r="L953" s="2"/>
      <c r="M953" s="2"/>
    </row>
    <row r="954" ht="15.75" customHeight="1">
      <c r="B954" s="2"/>
      <c r="C954" s="2"/>
      <c r="D954" s="2"/>
      <c r="E954" s="2"/>
      <c r="L954" s="2"/>
      <c r="M954" s="2"/>
    </row>
    <row r="955" ht="15.75" customHeight="1">
      <c r="B955" s="2"/>
      <c r="C955" s="2"/>
      <c r="D955" s="2"/>
      <c r="E955" s="2"/>
      <c r="L955" s="2"/>
      <c r="M955" s="2"/>
    </row>
    <row r="956" ht="15.75" customHeight="1">
      <c r="B956" s="2"/>
      <c r="C956" s="2"/>
      <c r="D956" s="2"/>
      <c r="E956" s="2"/>
      <c r="L956" s="2"/>
      <c r="M956" s="2"/>
    </row>
    <row r="957" ht="15.75" customHeight="1">
      <c r="B957" s="2"/>
      <c r="C957" s="2"/>
      <c r="D957" s="2"/>
      <c r="E957" s="2"/>
      <c r="L957" s="2"/>
      <c r="M957" s="2"/>
    </row>
    <row r="958" ht="15.75" customHeight="1">
      <c r="B958" s="2"/>
      <c r="C958" s="2"/>
      <c r="D958" s="2"/>
      <c r="E958" s="2"/>
      <c r="L958" s="2"/>
      <c r="M958" s="2"/>
    </row>
    <row r="959" ht="15.75" customHeight="1">
      <c r="B959" s="2"/>
      <c r="C959" s="2"/>
      <c r="D959" s="2"/>
      <c r="E959" s="2"/>
      <c r="L959" s="2"/>
      <c r="M959" s="2"/>
    </row>
    <row r="960" ht="15.75" customHeight="1">
      <c r="B960" s="2"/>
      <c r="C960" s="2"/>
      <c r="D960" s="2"/>
      <c r="E960" s="2"/>
      <c r="L960" s="2"/>
      <c r="M960" s="2"/>
    </row>
    <row r="961" ht="15.75" customHeight="1">
      <c r="B961" s="2"/>
      <c r="C961" s="2"/>
      <c r="D961" s="2"/>
      <c r="E961" s="2"/>
      <c r="L961" s="2"/>
      <c r="M961" s="2"/>
    </row>
    <row r="962" ht="15.75" customHeight="1">
      <c r="B962" s="2"/>
      <c r="C962" s="2"/>
      <c r="D962" s="2"/>
      <c r="E962" s="2"/>
      <c r="L962" s="2"/>
      <c r="M962" s="2"/>
    </row>
    <row r="963" ht="15.75" customHeight="1">
      <c r="B963" s="2"/>
      <c r="C963" s="2"/>
      <c r="D963" s="2"/>
      <c r="E963" s="2"/>
      <c r="L963" s="2"/>
      <c r="M963" s="2"/>
    </row>
    <row r="964" ht="15.75" customHeight="1">
      <c r="B964" s="2"/>
      <c r="C964" s="2"/>
      <c r="D964" s="2"/>
      <c r="E964" s="2"/>
      <c r="L964" s="2"/>
      <c r="M964" s="2"/>
    </row>
    <row r="965" ht="15.75" customHeight="1">
      <c r="B965" s="2"/>
      <c r="C965" s="2"/>
      <c r="D965" s="2"/>
      <c r="E965" s="2"/>
      <c r="L965" s="2"/>
      <c r="M965" s="2"/>
    </row>
    <row r="966" ht="15.75" customHeight="1">
      <c r="B966" s="2"/>
      <c r="C966" s="2"/>
      <c r="D966" s="2"/>
      <c r="E966" s="2"/>
      <c r="L966" s="2"/>
      <c r="M966" s="2"/>
    </row>
    <row r="967" ht="15.75" customHeight="1">
      <c r="B967" s="2"/>
      <c r="C967" s="2"/>
      <c r="D967" s="2"/>
      <c r="E967" s="2"/>
      <c r="L967" s="2"/>
      <c r="M967" s="2"/>
    </row>
    <row r="968" ht="15.75" customHeight="1">
      <c r="B968" s="2"/>
      <c r="C968" s="2"/>
      <c r="D968" s="2"/>
      <c r="E968" s="2"/>
      <c r="L968" s="2"/>
      <c r="M968" s="2"/>
    </row>
    <row r="969" ht="15.75" customHeight="1">
      <c r="B969" s="2"/>
      <c r="C969" s="2"/>
      <c r="D969" s="2"/>
      <c r="E969" s="2"/>
      <c r="L969" s="2"/>
      <c r="M969" s="2"/>
    </row>
    <row r="970" ht="15.75" customHeight="1">
      <c r="B970" s="2"/>
      <c r="C970" s="2"/>
      <c r="D970" s="2"/>
      <c r="E970" s="2"/>
      <c r="L970" s="2"/>
      <c r="M970" s="2"/>
    </row>
    <row r="971" ht="15.75" customHeight="1">
      <c r="B971" s="2"/>
      <c r="C971" s="2"/>
      <c r="D971" s="2"/>
      <c r="E971" s="2"/>
      <c r="L971" s="2"/>
      <c r="M971" s="2"/>
    </row>
    <row r="972" ht="15.75" customHeight="1">
      <c r="B972" s="2"/>
      <c r="C972" s="2"/>
      <c r="D972" s="2"/>
      <c r="E972" s="2"/>
      <c r="L972" s="2"/>
      <c r="M972" s="2"/>
    </row>
    <row r="973" ht="15.75" customHeight="1">
      <c r="B973" s="2"/>
      <c r="C973" s="2"/>
      <c r="D973" s="2"/>
      <c r="E973" s="2"/>
      <c r="L973" s="2"/>
      <c r="M973" s="2"/>
    </row>
    <row r="974" ht="15.75" customHeight="1">
      <c r="B974" s="2"/>
      <c r="C974" s="2"/>
      <c r="D974" s="2"/>
      <c r="E974" s="2"/>
      <c r="L974" s="2"/>
      <c r="M974" s="2"/>
    </row>
    <row r="975" ht="15.75" customHeight="1">
      <c r="B975" s="2"/>
      <c r="C975" s="2"/>
      <c r="D975" s="2"/>
      <c r="E975" s="2"/>
      <c r="L975" s="2"/>
      <c r="M975" s="2"/>
    </row>
    <row r="976" ht="15.75" customHeight="1">
      <c r="B976" s="2"/>
      <c r="C976" s="2"/>
      <c r="D976" s="2"/>
      <c r="E976" s="2"/>
      <c r="L976" s="2"/>
      <c r="M976" s="2"/>
    </row>
    <row r="977" ht="15.75" customHeight="1">
      <c r="B977" s="2"/>
      <c r="C977" s="2"/>
      <c r="D977" s="2"/>
      <c r="E977" s="2"/>
      <c r="L977" s="2"/>
      <c r="M977" s="2"/>
    </row>
    <row r="978" ht="15.75" customHeight="1">
      <c r="B978" s="2"/>
      <c r="C978" s="2"/>
      <c r="D978" s="2"/>
      <c r="E978" s="2"/>
      <c r="L978" s="2"/>
      <c r="M978" s="2"/>
    </row>
    <row r="979" ht="15.75" customHeight="1">
      <c r="B979" s="2"/>
      <c r="C979" s="2"/>
      <c r="D979" s="2"/>
      <c r="E979" s="2"/>
      <c r="L979" s="2"/>
      <c r="M979" s="2"/>
    </row>
    <row r="980" ht="15.75" customHeight="1">
      <c r="B980" s="2"/>
      <c r="C980" s="2"/>
      <c r="D980" s="2"/>
      <c r="E980" s="2"/>
      <c r="L980" s="2"/>
      <c r="M980" s="2"/>
    </row>
    <row r="981" ht="15.75" customHeight="1">
      <c r="B981" s="2"/>
      <c r="C981" s="2"/>
      <c r="D981" s="2"/>
      <c r="E981" s="2"/>
      <c r="L981" s="2"/>
      <c r="M981" s="2"/>
    </row>
    <row r="982" ht="15.75" customHeight="1">
      <c r="B982" s="2"/>
      <c r="C982" s="2"/>
      <c r="D982" s="2"/>
      <c r="E982" s="2"/>
      <c r="L982" s="2"/>
      <c r="M982" s="2"/>
    </row>
    <row r="983" ht="15.75" customHeight="1">
      <c r="B983" s="2"/>
      <c r="C983" s="2"/>
      <c r="D983" s="2"/>
      <c r="E983" s="2"/>
      <c r="L983" s="2"/>
      <c r="M983" s="2"/>
    </row>
    <row r="984" ht="15.75" customHeight="1">
      <c r="B984" s="2"/>
      <c r="C984" s="2"/>
      <c r="D984" s="2"/>
      <c r="E984" s="2"/>
      <c r="L984" s="2"/>
      <c r="M984" s="2"/>
    </row>
    <row r="985" ht="15.75" customHeight="1">
      <c r="B985" s="2"/>
      <c r="C985" s="2"/>
      <c r="D985" s="2"/>
      <c r="E985" s="2"/>
      <c r="L985" s="2"/>
      <c r="M985" s="2"/>
    </row>
    <row r="986" ht="15.75" customHeight="1">
      <c r="B986" s="2"/>
      <c r="C986" s="2"/>
      <c r="D986" s="2"/>
      <c r="E986" s="2"/>
      <c r="L986" s="2"/>
      <c r="M986" s="2"/>
    </row>
    <row r="987" ht="15.75" customHeight="1">
      <c r="B987" s="2"/>
      <c r="C987" s="2"/>
      <c r="D987" s="2"/>
      <c r="E987" s="2"/>
      <c r="L987" s="2"/>
      <c r="M987" s="2"/>
    </row>
    <row r="988" ht="15.75" customHeight="1">
      <c r="B988" s="2"/>
      <c r="C988" s="2"/>
      <c r="D988" s="2"/>
      <c r="E988" s="2"/>
      <c r="L988" s="2"/>
      <c r="M988" s="2"/>
    </row>
    <row r="989" ht="15.75" customHeight="1">
      <c r="B989" s="2"/>
      <c r="C989" s="2"/>
      <c r="D989" s="2"/>
      <c r="E989" s="2"/>
      <c r="L989" s="2"/>
      <c r="M989" s="2"/>
    </row>
    <row r="990" ht="15.75" customHeight="1">
      <c r="B990" s="2"/>
      <c r="C990" s="2"/>
      <c r="D990" s="2"/>
      <c r="E990" s="2"/>
      <c r="L990" s="2"/>
      <c r="M990" s="2"/>
    </row>
    <row r="991" ht="15.75" customHeight="1">
      <c r="B991" s="2"/>
      <c r="C991" s="2"/>
      <c r="D991" s="2"/>
      <c r="E991" s="2"/>
      <c r="L991" s="2"/>
      <c r="M991" s="2"/>
    </row>
    <row r="992" ht="15.75" customHeight="1">
      <c r="B992" s="2"/>
      <c r="C992" s="2"/>
      <c r="D992" s="2"/>
      <c r="E992" s="2"/>
      <c r="L992" s="2"/>
      <c r="M992" s="2"/>
    </row>
    <row r="993" ht="15.75" customHeight="1">
      <c r="B993" s="2"/>
      <c r="C993" s="2"/>
      <c r="D993" s="2"/>
      <c r="E993" s="2"/>
      <c r="L993" s="2"/>
      <c r="M993" s="2"/>
    </row>
    <row r="994" ht="15.75" customHeight="1">
      <c r="B994" s="2"/>
      <c r="C994" s="2"/>
      <c r="D994" s="2"/>
      <c r="E994" s="2"/>
      <c r="L994" s="2"/>
      <c r="M994" s="2"/>
    </row>
    <row r="995" ht="15.75" customHeight="1">
      <c r="B995" s="2"/>
      <c r="C995" s="2"/>
      <c r="D995" s="2"/>
      <c r="E995" s="2"/>
      <c r="L995" s="2"/>
      <c r="M995" s="2"/>
    </row>
    <row r="996" ht="15.75" customHeight="1">
      <c r="B996" s="2"/>
      <c r="C996" s="2"/>
      <c r="D996" s="2"/>
      <c r="E996" s="2"/>
      <c r="L996" s="2"/>
      <c r="M996" s="2"/>
    </row>
    <row r="997" ht="15.75" customHeight="1">
      <c r="B997" s="2"/>
      <c r="C997" s="2"/>
      <c r="D997" s="2"/>
      <c r="E997" s="2"/>
      <c r="L997" s="2"/>
      <c r="M997" s="2"/>
    </row>
    <row r="998" ht="15.75" customHeight="1">
      <c r="B998" s="2"/>
      <c r="C998" s="2"/>
      <c r="D998" s="2"/>
      <c r="E998" s="2"/>
      <c r="L998" s="2"/>
      <c r="M998" s="2"/>
    </row>
    <row r="999" ht="15.75" customHeight="1">
      <c r="B999" s="2"/>
      <c r="C999" s="2"/>
      <c r="D999" s="2"/>
      <c r="E999" s="2"/>
      <c r="L999" s="2"/>
      <c r="M999" s="2"/>
    </row>
    <row r="1000" ht="15.75" customHeight="1">
      <c r="B1000" s="2"/>
      <c r="C1000" s="2"/>
      <c r="D1000" s="2"/>
      <c r="E1000" s="2"/>
      <c r="L1000" s="2"/>
      <c r="M1000" s="2"/>
    </row>
  </sheetData>
  <mergeCells count="15">
    <mergeCell ref="S8:T8"/>
    <mergeCell ref="W8:X8"/>
    <mergeCell ref="AC8:AD8"/>
    <mergeCell ref="AG9:AH9"/>
    <mergeCell ref="AJ9:AK9"/>
    <mergeCell ref="S19:T19"/>
    <mergeCell ref="D41:E41"/>
    <mergeCell ref="L41:M41"/>
    <mergeCell ref="B2:P2"/>
    <mergeCell ref="B5:G7"/>
    <mergeCell ref="H5:H7"/>
    <mergeCell ref="J5:O7"/>
    <mergeCell ref="P5:P7"/>
    <mergeCell ref="B8:H8"/>
    <mergeCell ref="J8:P8"/>
  </mergeCells>
  <conditionalFormatting sqref="H10:H41">
    <cfRule type="cellIs" dxfId="0" priority="1" operator="greaterThanOrEqual">
      <formula>0</formula>
    </cfRule>
  </conditionalFormatting>
  <conditionalFormatting sqref="H10:H41">
    <cfRule type="cellIs" dxfId="1" priority="2" operator="lessThan">
      <formula>0</formula>
    </cfRule>
  </conditionalFormatting>
  <conditionalFormatting sqref="H10:H41">
    <cfRule type="cellIs" dxfId="2" priority="3" operator="lessThan">
      <formula>0</formula>
    </cfRule>
  </conditionalFormatting>
  <conditionalFormatting sqref="P10:P41">
    <cfRule type="cellIs" dxfId="0" priority="4" operator="greaterThanOrEqual">
      <formula>0</formula>
    </cfRule>
  </conditionalFormatting>
  <conditionalFormatting sqref="P10:P41">
    <cfRule type="cellIs" dxfId="1" priority="5" operator="lessThan">
      <formula>0</formula>
    </cfRule>
  </conditionalFormatting>
  <conditionalFormatting sqref="P10:P41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7.11"/>
    <col customWidth="1" min="3" max="3" width="19.67"/>
    <col customWidth="1" min="4" max="4" width="18.67"/>
    <col customWidth="1" min="5" max="5" width="18.33"/>
    <col customWidth="1" min="6" max="6" width="18.78"/>
    <col customWidth="1" min="7" max="7" width="18.33"/>
    <col customWidth="1" min="8" max="8" width="16.78"/>
    <col customWidth="1" min="9" max="9" width="2.11"/>
    <col customWidth="1" min="10" max="10" width="11.11"/>
    <col customWidth="1" min="11" max="11" width="19.67"/>
    <col customWidth="1" min="12" max="12" width="18.67"/>
    <col customWidth="1" min="13" max="13" width="18.33"/>
    <col customWidth="1" min="14" max="14" width="18.78"/>
    <col customWidth="1" min="15" max="15" width="18.33"/>
    <col customWidth="1" min="16" max="16" width="16.78"/>
    <col customWidth="1" min="17" max="17" width="2.0"/>
    <col customWidth="1" min="18" max="19" width="15.0"/>
    <col customWidth="1" min="20" max="21" width="15.67"/>
    <col customWidth="1" min="22" max="23" width="11.0"/>
    <col customWidth="1" min="24" max="24" width="15.0"/>
    <col customWidth="1" min="25" max="25" width="11.0"/>
    <col customWidth="1" min="26" max="26" width="15.0"/>
    <col customWidth="1" min="27" max="27" width="11.0"/>
    <col customWidth="1" min="28" max="28" width="14.67"/>
    <col customWidth="1" min="29" max="29" width="14.0"/>
    <col customWidth="1" min="30" max="30" width="14.78"/>
    <col customWidth="1" min="31" max="33" width="11.0"/>
    <col customWidth="1" min="34" max="34" width="21.44"/>
    <col customWidth="1" min="35" max="36" width="11.0"/>
    <col customWidth="1" min="37" max="37" width="21.33"/>
    <col customWidth="1" min="38" max="38" width="11.0"/>
  </cols>
  <sheetData>
    <row r="1" ht="10.5" customHeight="1">
      <c r="B1" s="2"/>
      <c r="C1" s="2"/>
      <c r="D1" s="2"/>
      <c r="E1" s="2"/>
      <c r="L1" s="2"/>
      <c r="M1" s="2"/>
    </row>
    <row r="2" ht="15.75" customHeight="1">
      <c r="B2" s="7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2"/>
    </row>
    <row r="3" ht="16.5" customHeight="1">
      <c r="B3" s="2"/>
      <c r="C3" s="2"/>
      <c r="D3" s="2"/>
      <c r="E3" s="2"/>
      <c r="L3" s="2"/>
      <c r="M3" s="2"/>
    </row>
    <row r="4" ht="16.5" customHeight="1">
      <c r="B4" s="2"/>
      <c r="C4" s="2"/>
      <c r="D4" s="2"/>
      <c r="E4" s="2"/>
      <c r="H4" s="15"/>
      <c r="J4" s="2"/>
      <c r="K4" s="2"/>
      <c r="L4" s="2"/>
      <c r="M4" s="2"/>
      <c r="P4" s="15" t="s">
        <v>9</v>
      </c>
    </row>
    <row r="5" ht="15.75" customHeight="1">
      <c r="B5" s="17" t="s">
        <v>13</v>
      </c>
      <c r="C5" s="18"/>
      <c r="D5" s="18"/>
      <c r="E5" s="18"/>
      <c r="F5" s="19"/>
      <c r="J5" s="27" t="s">
        <v>22</v>
      </c>
      <c r="K5" s="18"/>
      <c r="L5" s="18"/>
      <c r="M5" s="18"/>
      <c r="N5" s="18"/>
      <c r="O5" s="19"/>
      <c r="P5" s="25">
        <f>L41/4</f>
        <v>67500</v>
      </c>
    </row>
    <row r="6" ht="15.75" customHeight="1">
      <c r="B6" s="31"/>
      <c r="F6" s="32"/>
      <c r="J6" s="31"/>
      <c r="O6" s="32"/>
      <c r="P6" s="33"/>
    </row>
    <row r="7" ht="9.75" customHeight="1">
      <c r="B7" s="34"/>
      <c r="C7" s="35"/>
      <c r="D7" s="35"/>
      <c r="E7" s="35"/>
      <c r="F7" s="36"/>
      <c r="J7" s="34"/>
      <c r="K7" s="35"/>
      <c r="L7" s="35"/>
      <c r="M7" s="35"/>
      <c r="N7" s="35"/>
      <c r="O7" s="36"/>
      <c r="P7" s="37"/>
    </row>
    <row r="8" ht="18.75" customHeight="1">
      <c r="B8" s="40" t="s">
        <v>28</v>
      </c>
      <c r="C8" s="41"/>
      <c r="D8" s="41"/>
      <c r="E8" s="41"/>
      <c r="F8" s="6"/>
      <c r="J8" s="40" t="s">
        <v>28</v>
      </c>
      <c r="K8" s="41"/>
      <c r="L8" s="41"/>
      <c r="M8" s="41"/>
      <c r="N8" s="41"/>
      <c r="O8" s="41"/>
      <c r="P8" s="6"/>
      <c r="R8" s="1"/>
      <c r="S8" s="3"/>
      <c r="V8" s="1"/>
      <c r="W8" s="8"/>
      <c r="AB8" s="1"/>
      <c r="AC8" s="3"/>
    </row>
    <row r="9" ht="15.75" customHeight="1">
      <c r="B9" s="44" t="s">
        <v>32</v>
      </c>
      <c r="C9" s="44" t="s">
        <v>33</v>
      </c>
      <c r="D9" s="44" t="s">
        <v>36</v>
      </c>
      <c r="E9" s="44" t="s">
        <v>37</v>
      </c>
      <c r="F9" s="44" t="s">
        <v>38</v>
      </c>
      <c r="J9" s="44" t="s">
        <v>32</v>
      </c>
      <c r="K9" s="44" t="s">
        <v>33</v>
      </c>
      <c r="L9" s="44" t="s">
        <v>36</v>
      </c>
      <c r="M9" s="44" t="s">
        <v>37</v>
      </c>
      <c r="N9" s="44" t="s">
        <v>38</v>
      </c>
      <c r="R9" s="1"/>
      <c r="S9" s="1"/>
      <c r="T9" s="3" t="s">
        <v>31</v>
      </c>
      <c r="V9" s="1"/>
      <c r="W9" s="8"/>
      <c r="X9" s="8"/>
      <c r="AB9" s="1"/>
      <c r="AC9" s="8"/>
      <c r="AD9" s="8"/>
    </row>
    <row r="10" ht="15.75" customHeight="1">
      <c r="B10" s="47">
        <v>1.0</v>
      </c>
      <c r="C10" s="47" t="s">
        <v>41</v>
      </c>
      <c r="D10" s="50">
        <v>16500.0</v>
      </c>
      <c r="E10" s="55">
        <f>14820.9</f>
        <v>14820.9</v>
      </c>
      <c r="F10" s="51">
        <f t="shared" ref="F10:F39" si="1">E10-D10</f>
        <v>-1679.1</v>
      </c>
      <c r="J10" s="44">
        <v>1.0</v>
      </c>
      <c r="K10" s="47" t="s">
        <v>41</v>
      </c>
      <c r="L10" s="55">
        <v>13200.0</v>
      </c>
      <c r="M10" s="55">
        <f>13700.7-1058</f>
        <v>12642.7</v>
      </c>
      <c r="N10" s="56">
        <f t="shared" ref="N10:N39" si="2">M10-L10</f>
        <v>-557.3</v>
      </c>
      <c r="R10" s="1"/>
      <c r="S10" s="1"/>
      <c r="T10" s="8" t="s">
        <v>1</v>
      </c>
      <c r="U10" s="8" t="s">
        <v>5</v>
      </c>
      <c r="V10" s="1"/>
      <c r="W10" s="13"/>
      <c r="X10" s="13"/>
      <c r="AB10" s="1"/>
      <c r="AC10" s="13"/>
      <c r="AD10" s="13"/>
      <c r="AL10" s="58" t="s">
        <v>43</v>
      </c>
    </row>
    <row r="11" ht="15.75" customHeight="1">
      <c r="B11" s="47">
        <v>2.0</v>
      </c>
      <c r="C11" s="47" t="s">
        <v>44</v>
      </c>
      <c r="D11" s="50">
        <v>17300.0</v>
      </c>
      <c r="E11" s="55">
        <f>13397.65</f>
        <v>13397.65</v>
      </c>
      <c r="F11" s="51">
        <f t="shared" si="1"/>
        <v>-3902.35</v>
      </c>
      <c r="J11" s="44">
        <v>2.0</v>
      </c>
      <c r="K11" s="47" t="s">
        <v>44</v>
      </c>
      <c r="L11" s="55">
        <v>18500.0</v>
      </c>
      <c r="M11" s="55">
        <f>23917.25-1673</f>
        <v>22244.25</v>
      </c>
      <c r="N11" s="56">
        <f t="shared" si="2"/>
        <v>3744.25</v>
      </c>
      <c r="R11" s="1"/>
      <c r="S11" s="1" t="s">
        <v>6</v>
      </c>
      <c r="T11" s="13">
        <v>3890.15</v>
      </c>
      <c r="U11" s="13">
        <v>2796.5</v>
      </c>
      <c r="V11" s="1"/>
      <c r="W11" s="13"/>
      <c r="X11" s="13"/>
      <c r="AB11" s="1"/>
      <c r="AC11" s="16"/>
      <c r="AD11" s="13"/>
    </row>
    <row r="12" ht="15.75" customHeight="1">
      <c r="B12" s="47">
        <v>3.0</v>
      </c>
      <c r="C12" s="44" t="s">
        <v>45</v>
      </c>
      <c r="D12" s="55">
        <v>3900.0</v>
      </c>
      <c r="E12" s="55">
        <f>5149.5</f>
        <v>5149.5</v>
      </c>
      <c r="F12" s="51">
        <f t="shared" si="1"/>
        <v>1249.5</v>
      </c>
      <c r="J12" s="44">
        <v>3.0</v>
      </c>
      <c r="K12" s="44" t="s">
        <v>45</v>
      </c>
      <c r="L12" s="55">
        <v>2800.0</v>
      </c>
      <c r="M12" s="55">
        <f>3717.91-294</f>
        <v>3423.91</v>
      </c>
      <c r="N12" s="56">
        <f t="shared" si="2"/>
        <v>623.91</v>
      </c>
      <c r="R12" s="1"/>
      <c r="S12" s="1" t="s">
        <v>10</v>
      </c>
      <c r="T12" s="16">
        <v>3632.43</v>
      </c>
      <c r="U12" s="13">
        <v>3769.48</v>
      </c>
      <c r="V12" s="1"/>
      <c r="W12" s="13"/>
      <c r="X12" s="13"/>
      <c r="AB12" s="1"/>
      <c r="AC12" s="16"/>
      <c r="AD12" s="13"/>
    </row>
    <row r="13" ht="15.75" customHeight="1">
      <c r="B13" s="47">
        <v>4.0</v>
      </c>
      <c r="C13" s="44" t="s">
        <v>46</v>
      </c>
      <c r="D13" s="50">
        <v>3600.0</v>
      </c>
      <c r="E13" s="55">
        <f>3586.15+1664.75</f>
        <v>5250.9</v>
      </c>
      <c r="F13" s="51">
        <f t="shared" si="1"/>
        <v>1650.9</v>
      </c>
      <c r="J13" s="44">
        <v>4.0</v>
      </c>
      <c r="K13" s="44" t="s">
        <v>46</v>
      </c>
      <c r="L13" s="55">
        <v>3800.0</v>
      </c>
      <c r="M13" s="55">
        <f>3189.33-307</f>
        <v>2882.33</v>
      </c>
      <c r="N13" s="56">
        <f t="shared" si="2"/>
        <v>-917.67</v>
      </c>
      <c r="R13" s="1"/>
      <c r="S13" s="1" t="s">
        <v>12</v>
      </c>
      <c r="T13" s="16">
        <v>6095.0</v>
      </c>
      <c r="U13" s="13">
        <v>4366.34</v>
      </c>
      <c r="V13" s="1"/>
      <c r="W13" s="13"/>
      <c r="X13" s="13"/>
      <c r="AB13" s="1"/>
      <c r="AC13" s="16"/>
      <c r="AD13" s="13"/>
    </row>
    <row r="14" ht="15.75" customHeight="1">
      <c r="B14" s="47">
        <v>5.0</v>
      </c>
      <c r="C14" s="44" t="s">
        <v>40</v>
      </c>
      <c r="D14" s="50">
        <v>6000.0</v>
      </c>
      <c r="E14" s="55">
        <f>11835</f>
        <v>11835</v>
      </c>
      <c r="F14" s="51">
        <f t="shared" si="1"/>
        <v>5835</v>
      </c>
      <c r="I14" s="61"/>
      <c r="J14" s="44">
        <v>5.0</v>
      </c>
      <c r="K14" s="44" t="s">
        <v>40</v>
      </c>
      <c r="L14" s="55">
        <v>4400.0</v>
      </c>
      <c r="M14" s="55">
        <f>4805.33-379</f>
        <v>4426.33</v>
      </c>
      <c r="N14" s="56">
        <f t="shared" si="2"/>
        <v>26.33</v>
      </c>
      <c r="R14" s="1"/>
      <c r="S14" s="1" t="s">
        <v>15</v>
      </c>
      <c r="T14" s="16">
        <v>5382.78</v>
      </c>
      <c r="U14" s="13">
        <v>5013.03</v>
      </c>
      <c r="V14" s="1"/>
      <c r="W14" s="13"/>
      <c r="X14" s="13"/>
      <c r="AB14" s="1"/>
      <c r="AC14" s="16"/>
      <c r="AD14" s="13"/>
    </row>
    <row r="15" ht="15.75" customHeight="1">
      <c r="B15" s="47">
        <v>6.0</v>
      </c>
      <c r="C15" s="44" t="s">
        <v>47</v>
      </c>
      <c r="D15" s="50">
        <v>5500.0</v>
      </c>
      <c r="E15" s="55">
        <f>1692.25+2468.2</f>
        <v>4160.45</v>
      </c>
      <c r="F15" s="51">
        <f t="shared" si="1"/>
        <v>-1339.55</v>
      </c>
      <c r="J15" s="44">
        <v>6.0</v>
      </c>
      <c r="K15" s="44" t="s">
        <v>47</v>
      </c>
      <c r="L15" s="55">
        <v>5000.0</v>
      </c>
      <c r="M15" s="55">
        <f>6498.44-446</f>
        <v>6052.44</v>
      </c>
      <c r="N15" s="56">
        <f t="shared" si="2"/>
        <v>1052.44</v>
      </c>
      <c r="R15" s="1"/>
      <c r="S15" s="1" t="s">
        <v>17</v>
      </c>
      <c r="T15" s="16">
        <v>13363.7</v>
      </c>
      <c r="U15" s="13">
        <v>10281.69</v>
      </c>
      <c r="V15" s="1"/>
      <c r="W15" s="13"/>
      <c r="X15" s="13"/>
      <c r="AB15" s="1"/>
      <c r="AC15" s="16"/>
      <c r="AD15" s="13"/>
    </row>
    <row r="16" ht="15.75" customHeight="1">
      <c r="B16" s="47">
        <v>7.0</v>
      </c>
      <c r="C16" s="44" t="s">
        <v>48</v>
      </c>
      <c r="D16" s="50">
        <v>13400.0</v>
      </c>
      <c r="E16" s="55">
        <f>7850-115</f>
        <v>7735</v>
      </c>
      <c r="F16" s="51">
        <f t="shared" si="1"/>
        <v>-5665</v>
      </c>
      <c r="J16" s="44">
        <v>7.0</v>
      </c>
      <c r="K16" s="44" t="s">
        <v>48</v>
      </c>
      <c r="L16" s="55">
        <v>10300.0</v>
      </c>
      <c r="M16" s="55">
        <f>8810.07-666</f>
        <v>8144.07</v>
      </c>
      <c r="N16" s="56">
        <f t="shared" si="2"/>
        <v>-2155.93</v>
      </c>
      <c r="R16" s="1"/>
      <c r="S16" s="1" t="s">
        <v>19</v>
      </c>
      <c r="T16" s="16">
        <v>16480.02</v>
      </c>
      <c r="U16" s="13">
        <v>13256.19</v>
      </c>
      <c r="V16" s="1"/>
      <c r="W16" s="13"/>
      <c r="X16" s="13"/>
      <c r="AB16" s="1"/>
      <c r="AC16" s="16"/>
      <c r="AD16" s="13"/>
    </row>
    <row r="17" ht="15.75" customHeight="1">
      <c r="B17" s="44">
        <v>8.0</v>
      </c>
      <c r="C17" s="44" t="s">
        <v>41</v>
      </c>
      <c r="D17" s="50">
        <v>16500.0</v>
      </c>
      <c r="E17" s="55">
        <f>17156.55+324.25</f>
        <v>17480.8</v>
      </c>
      <c r="F17" s="51">
        <f t="shared" si="1"/>
        <v>980.8</v>
      </c>
      <c r="J17" s="44">
        <v>8.0</v>
      </c>
      <c r="K17" s="44" t="s">
        <v>41</v>
      </c>
      <c r="L17" s="55">
        <v>13200.0</v>
      </c>
      <c r="M17" s="55">
        <f>13866.96-962</f>
        <v>12904.96</v>
      </c>
      <c r="N17" s="56">
        <f t="shared" si="2"/>
        <v>-295.04</v>
      </c>
      <c r="S17" s="1" t="s">
        <v>20</v>
      </c>
      <c r="T17" s="16">
        <v>17387.43</v>
      </c>
      <c r="U17" s="13">
        <v>18457.08</v>
      </c>
    </row>
    <row r="18" ht="15.75" customHeight="1">
      <c r="B18" s="44">
        <v>9.0</v>
      </c>
      <c r="C18" s="44" t="s">
        <v>44</v>
      </c>
      <c r="D18" s="50">
        <v>17300.0</v>
      </c>
      <c r="E18" s="55">
        <f>17844.9</f>
        <v>17844.9</v>
      </c>
      <c r="F18" s="51">
        <f t="shared" si="1"/>
        <v>544.9</v>
      </c>
      <c r="J18" s="44">
        <v>9.0</v>
      </c>
      <c r="K18" s="44" t="s">
        <v>44</v>
      </c>
      <c r="L18" s="55">
        <v>18500.0</v>
      </c>
      <c r="M18" s="55">
        <f>22390.76-1716</f>
        <v>20674.76</v>
      </c>
      <c r="N18" s="56">
        <f t="shared" si="2"/>
        <v>2174.76</v>
      </c>
      <c r="U18" s="61"/>
      <c r="AC18" s="13" t="s">
        <v>49</v>
      </c>
      <c r="AD18" s="13">
        <v>4758.08</v>
      </c>
      <c r="AE18" s="64">
        <f>AD20/AD18</f>
        <v>4.736515569</v>
      </c>
    </row>
    <row r="19" ht="15.75" customHeight="1">
      <c r="B19" s="44">
        <v>10.0</v>
      </c>
      <c r="C19" s="44" t="s">
        <v>45</v>
      </c>
      <c r="D19" s="55">
        <v>3900.0</v>
      </c>
      <c r="E19" s="55">
        <f>4775.52</f>
        <v>4775.52</v>
      </c>
      <c r="F19" s="51">
        <f t="shared" si="1"/>
        <v>875.52</v>
      </c>
      <c r="J19" s="44">
        <v>10.0</v>
      </c>
      <c r="K19" s="44" t="s">
        <v>45</v>
      </c>
      <c r="L19" s="55">
        <v>2800.0</v>
      </c>
      <c r="M19" s="55">
        <f>5239.13-395</f>
        <v>4844.13</v>
      </c>
      <c r="N19" s="56">
        <f t="shared" si="2"/>
        <v>2044.13</v>
      </c>
      <c r="R19" s="1"/>
      <c r="S19" s="8"/>
      <c r="AC19" s="13" t="s">
        <v>51</v>
      </c>
      <c r="AD19" s="13">
        <v>3417.93</v>
      </c>
      <c r="AE19" s="66"/>
    </row>
    <row r="20" ht="15.75" customHeight="1">
      <c r="B20" s="44">
        <v>11.0</v>
      </c>
      <c r="C20" s="44" t="s">
        <v>46</v>
      </c>
      <c r="D20" s="50">
        <v>3600.0</v>
      </c>
      <c r="E20" s="55">
        <f>3242</f>
        <v>3242</v>
      </c>
      <c r="F20" s="51">
        <f t="shared" si="1"/>
        <v>-358</v>
      </c>
      <c r="J20" s="44">
        <v>11.0</v>
      </c>
      <c r="K20" s="44" t="s">
        <v>46</v>
      </c>
      <c r="L20" s="55">
        <v>3800.0</v>
      </c>
      <c r="M20" s="55">
        <f>4361.92-325</f>
        <v>4036.92</v>
      </c>
      <c r="N20" s="56">
        <f t="shared" si="2"/>
        <v>236.92</v>
      </c>
      <c r="R20" s="1"/>
      <c r="S20" s="8"/>
      <c r="T20" s="67"/>
      <c r="U20" s="61"/>
      <c r="AD20" s="58">
        <v>22536.72</v>
      </c>
    </row>
    <row r="21" ht="18.0" customHeight="1">
      <c r="B21" s="44">
        <v>12.0</v>
      </c>
      <c r="C21" s="44" t="s">
        <v>40</v>
      </c>
      <c r="D21" s="68">
        <v>26300.0</v>
      </c>
      <c r="E21" s="55">
        <f>27414.4</f>
        <v>27414.4</v>
      </c>
      <c r="F21" s="51">
        <f t="shared" si="1"/>
        <v>1114.4</v>
      </c>
      <c r="J21" s="44">
        <v>12.0</v>
      </c>
      <c r="K21" s="44" t="s">
        <v>40</v>
      </c>
      <c r="L21" s="69">
        <v>8200.0</v>
      </c>
      <c r="M21" s="55">
        <f>13633.02-1070</f>
        <v>12563.02</v>
      </c>
      <c r="N21" s="56">
        <f t="shared" si="2"/>
        <v>4363.02</v>
      </c>
      <c r="R21" s="13"/>
      <c r="S21" s="13"/>
      <c r="T21" s="13"/>
      <c r="W21" s="70"/>
      <c r="X21" s="71" t="s">
        <v>52</v>
      </c>
      <c r="Y21" s="72"/>
      <c r="Z21" s="73" t="s">
        <v>53</v>
      </c>
    </row>
    <row r="22" ht="15.75" customHeight="1">
      <c r="B22" s="44">
        <v>13.0</v>
      </c>
      <c r="C22" s="44" t="s">
        <v>47</v>
      </c>
      <c r="D22" s="50">
        <v>5500.0</v>
      </c>
      <c r="E22" s="55">
        <f>4387.3</f>
        <v>4387.3</v>
      </c>
      <c r="F22" s="51">
        <f t="shared" si="1"/>
        <v>-1112.7</v>
      </c>
      <c r="J22" s="44">
        <v>13.0</v>
      </c>
      <c r="K22" s="44" t="s">
        <v>47</v>
      </c>
      <c r="L22" s="55">
        <v>5000.0</v>
      </c>
      <c r="M22" s="55">
        <f>5762.35-385</f>
        <v>5377.35</v>
      </c>
      <c r="N22" s="56">
        <f t="shared" si="2"/>
        <v>377.35</v>
      </c>
      <c r="R22" s="1"/>
      <c r="S22" s="13"/>
      <c r="T22" s="13"/>
      <c r="W22" s="74" t="s">
        <v>29</v>
      </c>
      <c r="X22" s="75">
        <v>320000.0</v>
      </c>
      <c r="Y22" s="2" t="s">
        <v>29</v>
      </c>
      <c r="Z22" s="76">
        <v>270000.0</v>
      </c>
      <c r="AC22" s="58" t="s">
        <v>54</v>
      </c>
      <c r="AD22" s="13">
        <v>4525.23</v>
      </c>
      <c r="AE22" s="66">
        <f>AD23/AD22</f>
        <v>2.254230172</v>
      </c>
    </row>
    <row r="23" ht="15.75" customHeight="1">
      <c r="B23" s="44">
        <v>14.0</v>
      </c>
      <c r="C23" s="44" t="s">
        <v>48</v>
      </c>
      <c r="D23" s="50">
        <v>13400.0</v>
      </c>
      <c r="E23" s="55">
        <f>13858.25-250</f>
        <v>13608.25</v>
      </c>
      <c r="F23" s="51">
        <f t="shared" si="1"/>
        <v>208.25</v>
      </c>
      <c r="J23" s="44">
        <v>14.0</v>
      </c>
      <c r="K23" s="44" t="s">
        <v>48</v>
      </c>
      <c r="L23" s="55">
        <v>10300.0</v>
      </c>
      <c r="M23" s="55">
        <f>11056.99-782</f>
        <v>10274.99</v>
      </c>
      <c r="N23" s="56">
        <f t="shared" si="2"/>
        <v>-25.01</v>
      </c>
      <c r="R23" s="1"/>
      <c r="S23" s="13"/>
      <c r="T23" s="13"/>
      <c r="U23" s="78"/>
      <c r="W23" s="74"/>
      <c r="X23" s="2"/>
      <c r="Y23" s="2"/>
      <c r="Z23" s="77"/>
      <c r="AC23" s="58" t="s">
        <v>57</v>
      </c>
      <c r="AD23" s="13">
        <v>10200.91</v>
      </c>
    </row>
    <row r="24" ht="15.75" customHeight="1">
      <c r="B24" s="44">
        <v>15.0</v>
      </c>
      <c r="C24" s="44" t="s">
        <v>41</v>
      </c>
      <c r="D24" s="50">
        <v>16500.0</v>
      </c>
      <c r="E24" s="55">
        <f>21232.73</f>
        <v>21232.73</v>
      </c>
      <c r="F24" s="51">
        <f t="shared" si="1"/>
        <v>4732.73</v>
      </c>
      <c r="J24" s="44">
        <v>15.0</v>
      </c>
      <c r="K24" s="44" t="s">
        <v>41</v>
      </c>
      <c r="L24" s="55">
        <v>13200.0</v>
      </c>
      <c r="M24" s="13">
        <f>13718.45-1112</f>
        <v>12606.45</v>
      </c>
      <c r="N24" s="56">
        <f t="shared" si="2"/>
        <v>-593.55</v>
      </c>
      <c r="R24" s="1"/>
      <c r="S24" s="13"/>
      <c r="T24" s="13"/>
      <c r="W24" s="74" t="s">
        <v>58</v>
      </c>
      <c r="X24" s="75">
        <f>SUM(E10:E16)</f>
        <v>62349.4</v>
      </c>
      <c r="Y24" s="58" t="s">
        <v>58</v>
      </c>
      <c r="Z24" s="76">
        <f>SUM(M10:M16)</f>
        <v>59816.03</v>
      </c>
      <c r="AB24" s="61"/>
    </row>
    <row r="25" ht="15.75" customHeight="1">
      <c r="B25" s="44">
        <v>16.0</v>
      </c>
      <c r="C25" s="44" t="s">
        <v>44</v>
      </c>
      <c r="D25" s="50">
        <v>17300.0</v>
      </c>
      <c r="E25" s="55">
        <f>19007.35</f>
        <v>19007.35</v>
      </c>
      <c r="F25" s="51">
        <f t="shared" si="1"/>
        <v>1707.35</v>
      </c>
      <c r="J25" s="44">
        <v>16.0</v>
      </c>
      <c r="K25" s="44" t="s">
        <v>44</v>
      </c>
      <c r="L25" s="55">
        <v>18500.0</v>
      </c>
      <c r="M25" s="55">
        <f>21092.92-1566</f>
        <v>19526.92</v>
      </c>
      <c r="N25" s="56">
        <f t="shared" si="2"/>
        <v>1026.92</v>
      </c>
      <c r="R25" s="1"/>
      <c r="S25" s="13"/>
      <c r="T25" s="13"/>
      <c r="W25" s="74"/>
      <c r="X25" s="79">
        <f>X24/X22</f>
        <v>0.194841875</v>
      </c>
      <c r="Z25" s="80">
        <f>Z24/Z22</f>
        <v>0.2215408519</v>
      </c>
    </row>
    <row r="26" ht="15.75" customHeight="1">
      <c r="B26" s="44">
        <v>17.0</v>
      </c>
      <c r="C26" s="44" t="s">
        <v>45</v>
      </c>
      <c r="D26" s="55">
        <v>3900.0</v>
      </c>
      <c r="E26" s="55">
        <f>5597.5</f>
        <v>5597.5</v>
      </c>
      <c r="F26" s="51">
        <f t="shared" si="1"/>
        <v>1697.5</v>
      </c>
      <c r="J26" s="44">
        <v>17.0</v>
      </c>
      <c r="K26" s="44" t="s">
        <v>45</v>
      </c>
      <c r="L26" s="55">
        <v>2800.0</v>
      </c>
      <c r="M26" s="55">
        <f>4436.77-249</f>
        <v>4187.77</v>
      </c>
      <c r="N26" s="56">
        <f t="shared" si="2"/>
        <v>1387.77</v>
      </c>
      <c r="R26" s="1"/>
      <c r="W26" s="74"/>
      <c r="X26" s="81"/>
      <c r="Z26" s="77"/>
    </row>
    <row r="27" ht="15.75" customHeight="1">
      <c r="B27" s="44">
        <v>18.0</v>
      </c>
      <c r="C27" s="44" t="s">
        <v>46</v>
      </c>
      <c r="D27" s="50">
        <v>3600.0</v>
      </c>
      <c r="E27" s="55">
        <f>4499.2</f>
        <v>4499.2</v>
      </c>
      <c r="F27" s="51">
        <f t="shared" si="1"/>
        <v>899.2</v>
      </c>
      <c r="J27" s="44">
        <v>18.0</v>
      </c>
      <c r="K27" s="44" t="s">
        <v>46</v>
      </c>
      <c r="L27" s="55">
        <v>3800.0</v>
      </c>
      <c r="M27" s="55">
        <f>4082.73-355</f>
        <v>3727.73</v>
      </c>
      <c r="N27" s="56">
        <f t="shared" si="2"/>
        <v>-72.27</v>
      </c>
      <c r="R27" s="1"/>
      <c r="W27" s="74" t="s">
        <v>62</v>
      </c>
      <c r="X27" s="75">
        <f>SUM(E17:E23)</f>
        <v>88753.17</v>
      </c>
      <c r="Y27" s="58" t="s">
        <v>62</v>
      </c>
      <c r="Z27" s="76">
        <f>SUM(M17:M23)</f>
        <v>70676.13</v>
      </c>
      <c r="AL27" s="66"/>
    </row>
    <row r="28" ht="15.75" customHeight="1">
      <c r="B28" s="44">
        <v>19.0</v>
      </c>
      <c r="C28" s="44" t="s">
        <v>40</v>
      </c>
      <c r="D28" s="50">
        <v>6000.0</v>
      </c>
      <c r="E28" s="55">
        <f>6291.79</f>
        <v>6291.79</v>
      </c>
      <c r="F28" s="51">
        <f t="shared" si="1"/>
        <v>291.79</v>
      </c>
      <c r="J28" s="44">
        <v>19.0</v>
      </c>
      <c r="K28" s="44" t="s">
        <v>40</v>
      </c>
      <c r="L28" s="55">
        <v>4400.0</v>
      </c>
      <c r="M28" s="55">
        <f>4725.99-305</f>
        <v>4420.99</v>
      </c>
      <c r="N28" s="56">
        <f t="shared" si="2"/>
        <v>20.99</v>
      </c>
      <c r="W28" s="74"/>
      <c r="X28" s="79">
        <f>X27/X22</f>
        <v>0.2773536563</v>
      </c>
      <c r="Z28" s="80">
        <f>Z27/Z22</f>
        <v>0.2617634444</v>
      </c>
    </row>
    <row r="29" ht="15.75" customHeight="1">
      <c r="B29" s="44">
        <v>20.0</v>
      </c>
      <c r="C29" s="44" t="s">
        <v>47</v>
      </c>
      <c r="D29" s="50">
        <v>5500.0</v>
      </c>
      <c r="E29" s="55">
        <f>8468.93</f>
        <v>8468.93</v>
      </c>
      <c r="F29" s="51">
        <f t="shared" si="1"/>
        <v>2968.93</v>
      </c>
      <c r="J29" s="44">
        <v>20.0</v>
      </c>
      <c r="K29" s="44" t="s">
        <v>47</v>
      </c>
      <c r="L29" s="55">
        <v>5000.0</v>
      </c>
      <c r="M29" s="55">
        <f>4901.87-389</f>
        <v>4512.87</v>
      </c>
      <c r="N29" s="56">
        <f t="shared" si="2"/>
        <v>-487.13</v>
      </c>
      <c r="W29" s="74"/>
      <c r="X29" s="81"/>
      <c r="Z29" s="77"/>
    </row>
    <row r="30" ht="15.75" customHeight="1">
      <c r="B30" s="44">
        <v>21.0</v>
      </c>
      <c r="C30" s="44" t="s">
        <v>48</v>
      </c>
      <c r="D30" s="50">
        <v>13400.0</v>
      </c>
      <c r="E30" s="55">
        <f>9893.35-205</f>
        <v>9688.35</v>
      </c>
      <c r="F30" s="51">
        <f t="shared" si="1"/>
        <v>-3711.65</v>
      </c>
      <c r="J30" s="44">
        <v>21.0</v>
      </c>
      <c r="K30" s="44" t="s">
        <v>48</v>
      </c>
      <c r="L30" s="55">
        <v>10300.0</v>
      </c>
      <c r="M30" s="55">
        <f>10613.67-841</f>
        <v>9772.67</v>
      </c>
      <c r="N30" s="56">
        <f t="shared" si="2"/>
        <v>-527.33</v>
      </c>
      <c r="W30" s="74" t="s">
        <v>63</v>
      </c>
      <c r="X30" s="75">
        <f>SUM(E24:E30)</f>
        <v>74785.85</v>
      </c>
      <c r="Y30" s="58" t="s">
        <v>63</v>
      </c>
      <c r="Z30" s="76">
        <f>SUM(M24:M30)</f>
        <v>58755.4</v>
      </c>
    </row>
    <row r="31" ht="15.75" customHeight="1">
      <c r="B31" s="44">
        <v>22.0</v>
      </c>
      <c r="C31" s="44" t="s">
        <v>41</v>
      </c>
      <c r="D31" s="50">
        <v>16500.0</v>
      </c>
      <c r="E31" s="55">
        <f>14308</f>
        <v>14308</v>
      </c>
      <c r="F31" s="51">
        <f t="shared" si="1"/>
        <v>-2192</v>
      </c>
      <c r="J31" s="44">
        <v>22.0</v>
      </c>
      <c r="K31" s="44" t="s">
        <v>41</v>
      </c>
      <c r="L31" s="55">
        <v>13200.0</v>
      </c>
      <c r="M31" s="55">
        <f>12919.39-987</f>
        <v>11932.39</v>
      </c>
      <c r="N31" s="56">
        <f t="shared" si="2"/>
        <v>-1267.61</v>
      </c>
      <c r="W31" s="74"/>
      <c r="X31" s="79">
        <f>X30/X22</f>
        <v>0.2337057813</v>
      </c>
      <c r="Z31" s="80">
        <f>Z30/Z22</f>
        <v>0.2176125926</v>
      </c>
    </row>
    <row r="32" ht="15.75" customHeight="1">
      <c r="B32" s="44">
        <v>23.0</v>
      </c>
      <c r="C32" s="44" t="s">
        <v>44</v>
      </c>
      <c r="D32" s="50">
        <v>17300.0</v>
      </c>
      <c r="E32" s="55">
        <f>21028.75</f>
        <v>21028.75</v>
      </c>
      <c r="F32" s="51">
        <f t="shared" si="1"/>
        <v>3728.75</v>
      </c>
      <c r="J32" s="44">
        <v>23.0</v>
      </c>
      <c r="K32" s="44" t="s">
        <v>44</v>
      </c>
      <c r="L32" s="55">
        <v>18500.0</v>
      </c>
      <c r="M32" s="55">
        <f>22289.31-1724</f>
        <v>20565.31</v>
      </c>
      <c r="N32" s="56">
        <f t="shared" si="2"/>
        <v>2065.31</v>
      </c>
      <c r="W32" s="74"/>
      <c r="Z32" s="82"/>
    </row>
    <row r="33" ht="15.75" customHeight="1">
      <c r="B33" s="44">
        <v>24.0</v>
      </c>
      <c r="C33" s="44" t="s">
        <v>45</v>
      </c>
      <c r="D33" s="55">
        <v>3900.0</v>
      </c>
      <c r="E33" s="55">
        <f>4538.57</f>
        <v>4538.57</v>
      </c>
      <c r="F33" s="51">
        <f t="shared" si="1"/>
        <v>638.57</v>
      </c>
      <c r="J33" s="44">
        <v>24.0</v>
      </c>
      <c r="K33" s="44" t="s">
        <v>45</v>
      </c>
      <c r="L33" s="55">
        <v>2800.0</v>
      </c>
      <c r="M33" s="55">
        <f>5211.27-399.99</f>
        <v>4811.28</v>
      </c>
      <c r="N33" s="56">
        <f t="shared" si="2"/>
        <v>2011.28</v>
      </c>
      <c r="T33" s="61"/>
      <c r="W33" s="74" t="s">
        <v>64</v>
      </c>
      <c r="X33" s="61">
        <f>SUM(E31:E37)</f>
        <v>67987.47</v>
      </c>
      <c r="Y33" s="58" t="s">
        <v>64</v>
      </c>
      <c r="Z33" s="83">
        <f>SUM(M31:M37)</f>
        <v>66361.89</v>
      </c>
    </row>
    <row r="34" ht="15.75" customHeight="1">
      <c r="B34" s="44">
        <v>25.0</v>
      </c>
      <c r="C34" s="44" t="s">
        <v>46</v>
      </c>
      <c r="D34" s="50">
        <v>3600.0</v>
      </c>
      <c r="E34" s="55">
        <f>5457.05</f>
        <v>5457.05</v>
      </c>
      <c r="F34" s="51">
        <f t="shared" si="1"/>
        <v>1857.05</v>
      </c>
      <c r="J34" s="44">
        <v>25.0</v>
      </c>
      <c r="K34" s="44" t="s">
        <v>46</v>
      </c>
      <c r="L34" s="55">
        <v>3800.0</v>
      </c>
      <c r="M34" s="55">
        <f>5093.71-429</f>
        <v>4664.71</v>
      </c>
      <c r="N34" s="56">
        <f t="shared" si="2"/>
        <v>864.71</v>
      </c>
      <c r="W34" s="74"/>
      <c r="X34" s="79">
        <f>X33/X22</f>
        <v>0.2124608438</v>
      </c>
      <c r="Z34" s="80">
        <f>Z33/Z22</f>
        <v>0.2457847778</v>
      </c>
    </row>
    <row r="35" ht="15.75" customHeight="1">
      <c r="B35" s="44">
        <v>26.0</v>
      </c>
      <c r="C35" s="47" t="s">
        <v>40</v>
      </c>
      <c r="D35" s="50">
        <v>6000.0</v>
      </c>
      <c r="E35" s="55">
        <v>5817.3</v>
      </c>
      <c r="F35" s="51">
        <f t="shared" si="1"/>
        <v>-182.7</v>
      </c>
      <c r="J35" s="44">
        <v>26.0</v>
      </c>
      <c r="K35" s="47" t="s">
        <v>40</v>
      </c>
      <c r="L35" s="55">
        <v>4400.0</v>
      </c>
      <c r="M35" s="55">
        <f>5292.11-455</f>
        <v>4837.11</v>
      </c>
      <c r="N35" s="56">
        <f t="shared" si="2"/>
        <v>437.11</v>
      </c>
      <c r="W35" s="74" t="s">
        <v>65</v>
      </c>
      <c r="X35" s="61">
        <f>SUM(E38:E39)</f>
        <v>28657.14</v>
      </c>
      <c r="Y35" s="58" t="s">
        <v>65</v>
      </c>
      <c r="Z35" s="83">
        <f>SUM(M38:M39)</f>
        <v>33967.43</v>
      </c>
      <c r="AB35" s="61"/>
    </row>
    <row r="36" ht="15.75" customHeight="1">
      <c r="B36" s="44">
        <v>27.0</v>
      </c>
      <c r="C36" s="47" t="s">
        <v>47</v>
      </c>
      <c r="D36" s="50">
        <v>5500.0</v>
      </c>
      <c r="E36" s="55">
        <f>6930.3</f>
        <v>6930.3</v>
      </c>
      <c r="F36" s="51">
        <f t="shared" si="1"/>
        <v>1430.3</v>
      </c>
      <c r="J36" s="44">
        <v>27.0</v>
      </c>
      <c r="K36" s="47" t="s">
        <v>47</v>
      </c>
      <c r="L36" s="55">
        <v>5000.0</v>
      </c>
      <c r="M36" s="55">
        <f>6605.76-454</f>
        <v>6151.76</v>
      </c>
      <c r="N36" s="56">
        <f t="shared" si="2"/>
        <v>1151.76</v>
      </c>
      <c r="R36" s="61"/>
      <c r="W36" s="84" t="s">
        <v>66</v>
      </c>
      <c r="X36" s="85">
        <f>X35/X22</f>
        <v>0.0895535625</v>
      </c>
      <c r="Y36" s="86" t="s">
        <v>66</v>
      </c>
      <c r="Z36" s="87">
        <f>Z35/Z22</f>
        <v>0.1258052963</v>
      </c>
    </row>
    <row r="37" ht="15.75" customHeight="1">
      <c r="B37" s="44">
        <v>28.0</v>
      </c>
      <c r="C37" s="47" t="s">
        <v>48</v>
      </c>
      <c r="D37" s="88">
        <v>14400.0</v>
      </c>
      <c r="E37" s="55">
        <f>9907.5</f>
        <v>9907.5</v>
      </c>
      <c r="F37" s="51">
        <f t="shared" si="1"/>
        <v>-4492.5</v>
      </c>
      <c r="J37" s="44">
        <v>28.0</v>
      </c>
      <c r="K37" s="47" t="s">
        <v>48</v>
      </c>
      <c r="L37" s="89">
        <f>L30+1000</f>
        <v>11300</v>
      </c>
      <c r="M37" s="55">
        <f>14358.33-950-9</f>
        <v>13399.33</v>
      </c>
      <c r="N37" s="56">
        <f t="shared" si="2"/>
        <v>2099.33</v>
      </c>
      <c r="W37" s="90" t="s">
        <v>70</v>
      </c>
      <c r="X37" s="41"/>
      <c r="Y37" s="41"/>
      <c r="Z37" s="6"/>
    </row>
    <row r="38" ht="15.75" customHeight="1">
      <c r="B38" s="44">
        <v>29.0</v>
      </c>
      <c r="C38" s="44" t="s">
        <v>41</v>
      </c>
      <c r="D38" s="88">
        <v>18000.0</v>
      </c>
      <c r="E38" s="55">
        <f>10221.55+766.25</f>
        <v>10987.8</v>
      </c>
      <c r="F38" s="51">
        <f t="shared" si="1"/>
        <v>-7012.2</v>
      </c>
      <c r="J38" s="44">
        <v>29.0</v>
      </c>
      <c r="K38" s="44" t="s">
        <v>41</v>
      </c>
      <c r="L38" s="89">
        <f>L31+1500</f>
        <v>14700</v>
      </c>
      <c r="M38" s="55">
        <f>12382.56-1029-9</f>
        <v>11344.56</v>
      </c>
      <c r="N38" s="56">
        <f t="shared" si="2"/>
        <v>-3355.44</v>
      </c>
      <c r="R38" s="61"/>
      <c r="S38" s="61"/>
      <c r="V38" s="92" t="s">
        <v>72</v>
      </c>
      <c r="W38" s="93" t="s">
        <v>73</v>
      </c>
      <c r="X38" s="94">
        <f>X24+X27+X30+X33+X35</f>
        <v>322533.03</v>
      </c>
      <c r="Y38" s="95" t="s">
        <v>74</v>
      </c>
      <c r="Z38" s="96">
        <f>Z24+Z27+Z30+Z33+Z35</f>
        <v>289576.88</v>
      </c>
      <c r="AA38" s="92" t="s">
        <v>72</v>
      </c>
      <c r="AB38" s="61"/>
    </row>
    <row r="39" ht="15.75" customHeight="1">
      <c r="B39" s="44">
        <v>30.0</v>
      </c>
      <c r="C39" s="44" t="s">
        <v>44</v>
      </c>
      <c r="D39" s="88">
        <v>15900.0</v>
      </c>
      <c r="E39" s="55">
        <f>17669.34</f>
        <v>17669.34</v>
      </c>
      <c r="F39" s="51">
        <f t="shared" si="1"/>
        <v>1769.34</v>
      </c>
      <c r="J39" s="44">
        <v>30.0</v>
      </c>
      <c r="K39" s="44" t="s">
        <v>44</v>
      </c>
      <c r="L39" s="89">
        <v>18500.0</v>
      </c>
      <c r="M39" s="55">
        <f>24502.87-1880</f>
        <v>22622.87</v>
      </c>
      <c r="N39" s="56">
        <f t="shared" si="2"/>
        <v>4122.87</v>
      </c>
      <c r="V39" s="97">
        <f>X39-Y39</f>
        <v>0.00791571875</v>
      </c>
      <c r="W39" s="98"/>
      <c r="X39" s="99">
        <f>X38/X22</f>
        <v>1.007915719</v>
      </c>
      <c r="Y39" s="64">
        <f>30/30</f>
        <v>1</v>
      </c>
      <c r="Z39" s="100">
        <f>Z38/Z22</f>
        <v>1.072506963</v>
      </c>
      <c r="AA39" s="97">
        <f>Z39-Y39</f>
        <v>0.07250696296</v>
      </c>
      <c r="AC39" s="64"/>
    </row>
    <row r="40" ht="15.75" customHeight="1">
      <c r="B40" s="44"/>
      <c r="C40" s="47"/>
      <c r="D40" s="62"/>
      <c r="E40" s="55"/>
      <c r="F40" s="51"/>
      <c r="J40" s="44"/>
      <c r="K40" s="47"/>
      <c r="L40" s="55"/>
      <c r="M40" s="55"/>
      <c r="N40" s="56"/>
      <c r="W40" s="98" t="s">
        <v>76</v>
      </c>
      <c r="X40" s="104">
        <f>X22-X38</f>
        <v>-2533.03</v>
      </c>
      <c r="Y40" s="99"/>
      <c r="Z40" s="106">
        <f>Z22-Z38</f>
        <v>-19576.88</v>
      </c>
    </row>
    <row r="41" ht="15.75" customHeight="1">
      <c r="B41" s="8"/>
      <c r="C41" s="8"/>
      <c r="D41" s="107">
        <f t="shared" ref="D41:F41" si="3">SUM(D10:D40)</f>
        <v>320000</v>
      </c>
      <c r="E41" s="103">
        <f t="shared" si="3"/>
        <v>322533.03</v>
      </c>
      <c r="F41" s="105">
        <f t="shared" si="3"/>
        <v>2533.03</v>
      </c>
      <c r="J41" s="8"/>
      <c r="K41" s="8"/>
      <c r="L41" s="107">
        <f t="shared" ref="L41:N41" si="4">SUM(L10:L40)</f>
        <v>270000</v>
      </c>
      <c r="M41" s="109">
        <f t="shared" si="4"/>
        <v>289576.88</v>
      </c>
      <c r="N41" s="105">
        <f t="shared" si="4"/>
        <v>19576.88</v>
      </c>
      <c r="Q41" s="61"/>
      <c r="W41" s="110"/>
      <c r="X41" s="112">
        <f>X40/X22</f>
        <v>-0.00791571875</v>
      </c>
      <c r="Y41" s="112"/>
      <c r="Z41" s="113">
        <f>Z40/Z22</f>
        <v>-0.07250696296</v>
      </c>
    </row>
    <row r="42" ht="15.75" customHeight="1">
      <c r="B42" s="8"/>
      <c r="C42" s="13"/>
      <c r="D42" s="1"/>
      <c r="E42" s="114">
        <f>E41/C45</f>
        <v>1.007915719</v>
      </c>
      <c r="F42" s="1"/>
      <c r="L42" s="2"/>
      <c r="M42" s="64">
        <f>M41/K45</f>
        <v>1.072506963</v>
      </c>
    </row>
    <row r="43" ht="15.75" customHeight="1">
      <c r="B43" s="2"/>
      <c r="C43" s="2"/>
      <c r="D43" s="2"/>
      <c r="E43" s="2"/>
      <c r="K43" s="61"/>
      <c r="L43" s="2"/>
      <c r="M43" s="2"/>
    </row>
    <row r="44" ht="15.75" customHeight="1">
      <c r="B44" s="2"/>
      <c r="C44" s="2"/>
      <c r="D44" s="115" t="s">
        <v>77</v>
      </c>
      <c r="E44" s="118">
        <f>D41+F41</f>
        <v>322533.03</v>
      </c>
      <c r="L44" s="115" t="s">
        <v>77</v>
      </c>
      <c r="M44" s="118">
        <f>L41+N41</f>
        <v>289576.88</v>
      </c>
      <c r="T44" s="121"/>
    </row>
    <row r="45" ht="15.75" customHeight="1">
      <c r="B45" s="122" t="s">
        <v>29</v>
      </c>
      <c r="C45" s="124">
        <v>320000.0</v>
      </c>
      <c r="D45" s="2"/>
      <c r="E45" s="2"/>
      <c r="J45" s="126" t="s">
        <v>29</v>
      </c>
      <c r="K45" s="124">
        <v>270000.0</v>
      </c>
      <c r="L45" s="2"/>
      <c r="M45" s="2"/>
      <c r="P45" s="61"/>
    </row>
    <row r="46" ht="15.75" customHeight="1">
      <c r="B46" s="2"/>
      <c r="C46" s="2"/>
      <c r="D46" s="2"/>
      <c r="E46" s="2"/>
      <c r="G46" s="58" t="s">
        <v>81</v>
      </c>
      <c r="L46" s="2"/>
      <c r="M46" s="2"/>
    </row>
    <row r="47" ht="15.75" customHeight="1">
      <c r="B47" s="2"/>
      <c r="C47" s="2"/>
      <c r="D47" s="2"/>
      <c r="E47" s="2"/>
      <c r="G47" s="131">
        <f>E44+M44</f>
        <v>612109.91</v>
      </c>
      <c r="L47" s="2"/>
      <c r="M47" s="2"/>
    </row>
    <row r="48" ht="15.75" customHeight="1">
      <c r="B48" s="2"/>
      <c r="C48" s="2"/>
      <c r="D48" s="2"/>
      <c r="E48" s="2"/>
      <c r="L48" s="2"/>
      <c r="M48" s="2"/>
    </row>
    <row r="49" ht="15.75" customHeight="1">
      <c r="B49" s="2"/>
      <c r="C49" s="2"/>
      <c r="D49" s="2"/>
      <c r="E49" s="2"/>
      <c r="G49" s="64">
        <f>168509.9/565273.13</f>
        <v>0.2981035026</v>
      </c>
      <c r="L49" s="2"/>
      <c r="M49" s="2"/>
    </row>
    <row r="50" ht="15.75" customHeight="1">
      <c r="B50" s="2"/>
      <c r="C50" s="2"/>
      <c r="D50" s="2"/>
      <c r="E50" s="2"/>
      <c r="L50" s="2"/>
      <c r="M50" s="2"/>
    </row>
    <row r="51" ht="15.75" customHeight="1">
      <c r="B51" s="2"/>
      <c r="C51" s="2"/>
      <c r="D51" s="2"/>
      <c r="E51" s="2"/>
      <c r="L51" s="2"/>
      <c r="M51" s="2"/>
    </row>
    <row r="52" ht="15.75" customHeight="1">
      <c r="B52" s="2"/>
      <c r="C52" s="2"/>
      <c r="D52" s="2"/>
      <c r="E52" s="2"/>
      <c r="L52" s="2"/>
      <c r="M52" s="2"/>
    </row>
    <row r="53" ht="15.75" customHeight="1">
      <c r="B53" s="2"/>
      <c r="C53" s="2"/>
      <c r="D53" s="2"/>
      <c r="E53" s="2"/>
      <c r="L53" s="2"/>
      <c r="M53" s="2"/>
    </row>
    <row r="54" ht="15.75" customHeight="1">
      <c r="B54" s="2"/>
      <c r="C54" s="2"/>
      <c r="D54" s="2"/>
      <c r="E54" s="2"/>
      <c r="L54" s="2"/>
      <c r="M54" s="2"/>
    </row>
    <row r="55" ht="15.75" customHeight="1">
      <c r="B55" s="2"/>
      <c r="C55" s="2"/>
      <c r="D55" s="2"/>
      <c r="E55" s="2"/>
      <c r="L55" s="2"/>
      <c r="M55" s="2"/>
    </row>
    <row r="56" ht="15.75" customHeight="1">
      <c r="B56" s="2"/>
      <c r="C56" s="2"/>
      <c r="D56" s="2"/>
      <c r="E56" s="2"/>
      <c r="L56" s="2"/>
      <c r="M56" s="2"/>
    </row>
    <row r="57" ht="15.75" customHeight="1">
      <c r="B57" s="2"/>
      <c r="C57" s="2"/>
      <c r="D57" s="2"/>
      <c r="E57" s="2"/>
      <c r="L57" s="2"/>
      <c r="M57" s="2"/>
    </row>
    <row r="58" ht="15.75" customHeight="1">
      <c r="B58" s="2"/>
      <c r="C58" s="2"/>
      <c r="D58" s="2"/>
      <c r="E58" s="2"/>
      <c r="L58" s="2"/>
      <c r="M58" s="2"/>
    </row>
    <row r="59" ht="15.75" customHeight="1">
      <c r="B59" s="2"/>
      <c r="C59" s="2"/>
      <c r="D59" s="2"/>
      <c r="E59" s="2"/>
      <c r="L59" s="2"/>
      <c r="M59" s="2"/>
    </row>
    <row r="60" ht="15.75" customHeight="1">
      <c r="B60" s="2"/>
      <c r="C60" s="2"/>
      <c r="D60" s="2"/>
      <c r="E60" s="2"/>
      <c r="L60" s="2"/>
      <c r="M60" s="2"/>
    </row>
    <row r="61" ht="15.75" customHeight="1">
      <c r="B61" s="2"/>
      <c r="C61" s="2"/>
      <c r="D61" s="2"/>
      <c r="E61" s="2"/>
      <c r="L61" s="2"/>
      <c r="M61" s="2"/>
    </row>
    <row r="62" ht="15.75" customHeight="1">
      <c r="B62" s="2"/>
      <c r="C62" s="2"/>
      <c r="D62" s="2"/>
      <c r="E62" s="2"/>
      <c r="L62" s="2"/>
      <c r="M62" s="2"/>
    </row>
    <row r="63" ht="15.75" customHeight="1">
      <c r="B63" s="2"/>
      <c r="C63" s="2"/>
      <c r="D63" s="2"/>
      <c r="E63" s="2"/>
      <c r="L63" s="2"/>
      <c r="M63" s="2"/>
    </row>
    <row r="64" ht="15.75" customHeight="1">
      <c r="B64" s="2"/>
      <c r="C64" s="2"/>
      <c r="D64" s="2"/>
      <c r="E64" s="2"/>
      <c r="L64" s="2"/>
      <c r="M64" s="2"/>
    </row>
    <row r="65" ht="15.75" customHeight="1">
      <c r="B65" s="2"/>
      <c r="C65" s="2"/>
      <c r="D65" s="2"/>
      <c r="E65" s="2"/>
      <c r="L65" s="2"/>
      <c r="M65" s="2"/>
    </row>
    <row r="66" ht="15.75" customHeight="1">
      <c r="B66" s="2"/>
      <c r="C66" s="2"/>
      <c r="D66" s="2"/>
      <c r="E66" s="2"/>
      <c r="L66" s="2"/>
      <c r="M66" s="2"/>
    </row>
    <row r="67" ht="15.75" customHeight="1">
      <c r="B67" s="2"/>
      <c r="C67" s="2"/>
      <c r="D67" s="2"/>
      <c r="E67" s="2"/>
      <c r="L67" s="2"/>
      <c r="M67" s="2"/>
    </row>
    <row r="68" ht="15.75" customHeight="1">
      <c r="B68" s="2"/>
      <c r="C68" s="2"/>
      <c r="D68" s="2"/>
      <c r="E68" s="2"/>
      <c r="L68" s="2"/>
      <c r="M68" s="2"/>
    </row>
    <row r="69" ht="15.75" customHeight="1">
      <c r="B69" s="2"/>
      <c r="C69" s="2"/>
      <c r="D69" s="2"/>
      <c r="E69" s="2"/>
      <c r="L69" s="2"/>
      <c r="M69" s="2"/>
    </row>
    <row r="70" ht="15.75" customHeight="1">
      <c r="B70" s="2"/>
      <c r="C70" s="2"/>
      <c r="D70" s="2"/>
      <c r="E70" s="2"/>
      <c r="L70" s="2"/>
      <c r="M70" s="2"/>
    </row>
    <row r="71" ht="15.75" customHeight="1">
      <c r="B71" s="2"/>
      <c r="C71" s="2"/>
      <c r="D71" s="2"/>
      <c r="E71" s="2"/>
      <c r="L71" s="2"/>
      <c r="M71" s="2"/>
    </row>
    <row r="72" ht="15.75" customHeight="1">
      <c r="B72" s="2"/>
      <c r="C72" s="2"/>
      <c r="D72" s="2"/>
      <c r="E72" s="2"/>
      <c r="L72" s="2"/>
      <c r="M72" s="2"/>
    </row>
    <row r="73" ht="15.75" customHeight="1">
      <c r="B73" s="2"/>
      <c r="C73" s="2"/>
      <c r="D73" s="2"/>
      <c r="E73" s="2"/>
      <c r="L73" s="2"/>
      <c r="M73" s="2"/>
    </row>
    <row r="74" ht="15.75" customHeight="1">
      <c r="B74" s="2"/>
      <c r="C74" s="2"/>
      <c r="D74" s="2"/>
      <c r="E74" s="2"/>
      <c r="L74" s="2"/>
      <c r="M74" s="2"/>
    </row>
    <row r="75" ht="15.75" customHeight="1">
      <c r="B75" s="2"/>
      <c r="C75" s="2"/>
      <c r="D75" s="2"/>
      <c r="E75" s="2"/>
      <c r="L75" s="2"/>
      <c r="M75" s="2"/>
    </row>
    <row r="76" ht="15.75" customHeight="1">
      <c r="B76" s="2"/>
      <c r="C76" s="2"/>
      <c r="D76" s="2"/>
      <c r="E76" s="2"/>
      <c r="L76" s="2"/>
      <c r="M76" s="2"/>
    </row>
    <row r="77" ht="15.75" customHeight="1">
      <c r="B77" s="2"/>
      <c r="C77" s="2"/>
      <c r="D77" s="2"/>
      <c r="E77" s="2"/>
      <c r="L77" s="2"/>
      <c r="M77" s="2"/>
    </row>
    <row r="78" ht="15.75" customHeight="1">
      <c r="B78" s="2"/>
      <c r="C78" s="2"/>
      <c r="D78" s="2"/>
      <c r="E78" s="2"/>
      <c r="L78" s="2"/>
      <c r="M78" s="2"/>
    </row>
    <row r="79" ht="15.75" customHeight="1">
      <c r="B79" s="2"/>
      <c r="C79" s="2"/>
      <c r="D79" s="2"/>
      <c r="E79" s="2"/>
      <c r="L79" s="2"/>
      <c r="M79" s="2"/>
    </row>
    <row r="80" ht="15.75" customHeight="1">
      <c r="B80" s="2"/>
      <c r="C80" s="2"/>
      <c r="D80" s="2"/>
      <c r="E80" s="2"/>
      <c r="L80" s="2"/>
      <c r="M80" s="2"/>
    </row>
    <row r="81" ht="15.75" customHeight="1">
      <c r="B81" s="2"/>
      <c r="C81" s="2"/>
      <c r="D81" s="2"/>
      <c r="E81" s="2"/>
      <c r="L81" s="2"/>
      <c r="M81" s="2"/>
    </row>
    <row r="82" ht="15.75" customHeight="1">
      <c r="B82" s="2"/>
      <c r="C82" s="2"/>
      <c r="D82" s="2"/>
      <c r="E82" s="2"/>
      <c r="L82" s="2"/>
      <c r="M82" s="2"/>
    </row>
    <row r="83" ht="15.75" customHeight="1">
      <c r="B83" s="2"/>
      <c r="C83" s="2"/>
      <c r="D83" s="2"/>
      <c r="E83" s="2"/>
      <c r="L83" s="2"/>
      <c r="M83" s="2"/>
    </row>
    <row r="84" ht="15.75" customHeight="1">
      <c r="B84" s="2"/>
      <c r="C84" s="2"/>
      <c r="D84" s="2"/>
      <c r="E84" s="2"/>
      <c r="L84" s="2"/>
      <c r="M84" s="2"/>
    </row>
    <row r="85" ht="15.75" customHeight="1">
      <c r="B85" s="2"/>
      <c r="C85" s="2"/>
      <c r="D85" s="2"/>
      <c r="E85" s="2"/>
      <c r="L85" s="2"/>
      <c r="M85" s="2"/>
    </row>
    <row r="86" ht="15.75" customHeight="1">
      <c r="B86" s="2"/>
      <c r="C86" s="2"/>
      <c r="D86" s="2"/>
      <c r="E86" s="2"/>
      <c r="L86" s="2"/>
      <c r="M86" s="2"/>
    </row>
    <row r="87" ht="15.75" customHeight="1">
      <c r="B87" s="2"/>
      <c r="C87" s="2"/>
      <c r="D87" s="2"/>
      <c r="E87" s="2"/>
      <c r="L87" s="2"/>
      <c r="M87" s="2"/>
    </row>
    <row r="88" ht="15.75" customHeight="1">
      <c r="B88" s="2"/>
      <c r="C88" s="2"/>
      <c r="D88" s="2"/>
      <c r="E88" s="2"/>
      <c r="L88" s="2"/>
      <c r="M88" s="2"/>
    </row>
    <row r="89" ht="15.75" customHeight="1">
      <c r="B89" s="2"/>
      <c r="C89" s="2"/>
      <c r="D89" s="2"/>
      <c r="E89" s="2"/>
      <c r="L89" s="2"/>
      <c r="M89" s="2"/>
    </row>
    <row r="90" ht="15.75" customHeight="1">
      <c r="B90" s="2"/>
      <c r="C90" s="2"/>
      <c r="D90" s="2"/>
      <c r="E90" s="2"/>
      <c r="L90" s="2"/>
      <c r="M90" s="2"/>
    </row>
    <row r="91" ht="15.75" customHeight="1">
      <c r="B91" s="2"/>
      <c r="C91" s="2"/>
      <c r="D91" s="2"/>
      <c r="E91" s="2"/>
      <c r="L91" s="2"/>
      <c r="M91" s="2"/>
    </row>
    <row r="92" ht="15.75" customHeight="1">
      <c r="B92" s="2"/>
      <c r="C92" s="2"/>
      <c r="D92" s="2"/>
      <c r="E92" s="2"/>
      <c r="L92" s="2"/>
      <c r="M92" s="2"/>
    </row>
    <row r="93" ht="15.75" customHeight="1">
      <c r="B93" s="2"/>
      <c r="C93" s="2"/>
      <c r="D93" s="2"/>
      <c r="E93" s="2"/>
      <c r="L93" s="2"/>
      <c r="M93" s="2"/>
    </row>
    <row r="94" ht="15.75" customHeight="1">
      <c r="B94" s="2"/>
      <c r="C94" s="2"/>
      <c r="D94" s="2"/>
      <c r="E94" s="2"/>
      <c r="L94" s="2"/>
      <c r="M94" s="2"/>
    </row>
    <row r="95" ht="15.75" customHeight="1">
      <c r="B95" s="2"/>
      <c r="C95" s="2"/>
      <c r="D95" s="2"/>
      <c r="E95" s="2"/>
      <c r="L95" s="2"/>
      <c r="M95" s="2"/>
    </row>
    <row r="96" ht="15.75" customHeight="1">
      <c r="B96" s="2"/>
      <c r="C96" s="2"/>
      <c r="D96" s="2"/>
      <c r="E96" s="2"/>
      <c r="L96" s="2"/>
      <c r="M96" s="2"/>
    </row>
    <row r="97" ht="15.75" customHeight="1">
      <c r="B97" s="2"/>
      <c r="C97" s="2"/>
      <c r="D97" s="2"/>
      <c r="E97" s="2"/>
      <c r="L97" s="2"/>
      <c r="M97" s="2"/>
    </row>
    <row r="98" ht="15.75" customHeight="1">
      <c r="B98" s="2"/>
      <c r="C98" s="2"/>
      <c r="D98" s="2"/>
      <c r="E98" s="2"/>
      <c r="L98" s="2"/>
      <c r="M98" s="2"/>
    </row>
    <row r="99" ht="15.75" customHeight="1">
      <c r="B99" s="2"/>
      <c r="C99" s="2"/>
      <c r="D99" s="2"/>
      <c r="E99" s="2"/>
      <c r="L99" s="2"/>
      <c r="M99" s="2"/>
    </row>
    <row r="100" ht="15.75" customHeight="1">
      <c r="B100" s="2"/>
      <c r="C100" s="2"/>
      <c r="D100" s="2"/>
      <c r="E100" s="2"/>
      <c r="L100" s="2"/>
      <c r="M100" s="2"/>
    </row>
    <row r="101" ht="15.75" customHeight="1">
      <c r="B101" s="2"/>
      <c r="C101" s="2"/>
      <c r="D101" s="2"/>
      <c r="E101" s="2"/>
      <c r="L101" s="2"/>
      <c r="M101" s="2"/>
    </row>
    <row r="102" ht="15.75" customHeight="1">
      <c r="B102" s="2"/>
      <c r="C102" s="2"/>
      <c r="D102" s="2"/>
      <c r="E102" s="2"/>
      <c r="L102" s="2"/>
      <c r="M102" s="2"/>
    </row>
    <row r="103" ht="15.75" customHeight="1">
      <c r="B103" s="2"/>
      <c r="C103" s="2"/>
      <c r="D103" s="2"/>
      <c r="E103" s="2"/>
      <c r="L103" s="2"/>
      <c r="M103" s="2"/>
    </row>
    <row r="104" ht="15.75" customHeight="1">
      <c r="B104" s="2"/>
      <c r="C104" s="2"/>
      <c r="D104" s="2"/>
      <c r="E104" s="2"/>
      <c r="L104" s="2"/>
      <c r="M104" s="2"/>
    </row>
    <row r="105" ht="15.75" customHeight="1">
      <c r="B105" s="2"/>
      <c r="C105" s="2"/>
      <c r="D105" s="2"/>
      <c r="E105" s="2"/>
      <c r="L105" s="2"/>
      <c r="M105" s="2"/>
    </row>
    <row r="106" ht="15.75" customHeight="1">
      <c r="B106" s="2"/>
      <c r="C106" s="2"/>
      <c r="D106" s="2"/>
      <c r="E106" s="2"/>
      <c r="L106" s="2"/>
      <c r="M106" s="2"/>
    </row>
    <row r="107" ht="15.75" customHeight="1">
      <c r="B107" s="2"/>
      <c r="C107" s="2"/>
      <c r="D107" s="2"/>
      <c r="E107" s="2"/>
      <c r="L107" s="2"/>
      <c r="M107" s="2"/>
    </row>
    <row r="108" ht="15.75" customHeight="1">
      <c r="B108" s="2"/>
      <c r="C108" s="2"/>
      <c r="D108" s="2"/>
      <c r="E108" s="2"/>
      <c r="L108" s="2"/>
      <c r="M108" s="2"/>
    </row>
    <row r="109" ht="15.75" customHeight="1">
      <c r="B109" s="2"/>
      <c r="C109" s="2"/>
      <c r="D109" s="2"/>
      <c r="E109" s="2"/>
      <c r="L109" s="2"/>
      <c r="M109" s="2"/>
    </row>
    <row r="110" ht="15.75" customHeight="1">
      <c r="B110" s="2"/>
      <c r="C110" s="2"/>
      <c r="D110" s="2"/>
      <c r="E110" s="2"/>
      <c r="L110" s="2"/>
      <c r="M110" s="2"/>
    </row>
    <row r="111" ht="15.75" customHeight="1">
      <c r="B111" s="2"/>
      <c r="C111" s="2"/>
      <c r="D111" s="2"/>
      <c r="E111" s="2"/>
      <c r="L111" s="2"/>
      <c r="M111" s="2"/>
    </row>
    <row r="112" ht="15.75" customHeight="1">
      <c r="B112" s="2"/>
      <c r="C112" s="2"/>
      <c r="D112" s="2"/>
      <c r="E112" s="2"/>
      <c r="L112" s="2"/>
      <c r="M112" s="2"/>
    </row>
    <row r="113" ht="15.75" customHeight="1">
      <c r="B113" s="2"/>
      <c r="C113" s="2"/>
      <c r="D113" s="2"/>
      <c r="E113" s="2"/>
      <c r="L113" s="2"/>
      <c r="M113" s="2"/>
    </row>
    <row r="114" ht="15.75" customHeight="1">
      <c r="B114" s="2"/>
      <c r="C114" s="2"/>
      <c r="D114" s="2"/>
      <c r="E114" s="2"/>
      <c r="L114" s="2"/>
      <c r="M114" s="2"/>
    </row>
    <row r="115" ht="15.75" customHeight="1">
      <c r="B115" s="2"/>
      <c r="C115" s="2"/>
      <c r="D115" s="2"/>
      <c r="E115" s="2"/>
      <c r="L115" s="2"/>
      <c r="M115" s="2"/>
    </row>
    <row r="116" ht="15.75" customHeight="1">
      <c r="B116" s="2"/>
      <c r="C116" s="2"/>
      <c r="D116" s="2"/>
      <c r="E116" s="2"/>
      <c r="L116" s="2"/>
      <c r="M116" s="2"/>
    </row>
    <row r="117" ht="15.75" customHeight="1">
      <c r="B117" s="2"/>
      <c r="C117" s="2"/>
      <c r="D117" s="2"/>
      <c r="E117" s="2"/>
      <c r="L117" s="2"/>
      <c r="M117" s="2"/>
    </row>
    <row r="118" ht="15.75" customHeight="1">
      <c r="B118" s="2"/>
      <c r="C118" s="2"/>
      <c r="D118" s="2"/>
      <c r="E118" s="2"/>
      <c r="L118" s="2"/>
      <c r="M118" s="2"/>
    </row>
    <row r="119" ht="15.75" customHeight="1">
      <c r="B119" s="2"/>
      <c r="C119" s="2"/>
      <c r="D119" s="2"/>
      <c r="E119" s="2"/>
      <c r="L119" s="2"/>
      <c r="M119" s="2"/>
    </row>
    <row r="120" ht="15.75" customHeight="1">
      <c r="B120" s="2"/>
      <c r="C120" s="2"/>
      <c r="D120" s="2"/>
      <c r="E120" s="2"/>
      <c r="L120" s="2"/>
      <c r="M120" s="2"/>
    </row>
    <row r="121" ht="15.75" customHeight="1">
      <c r="B121" s="2"/>
      <c r="C121" s="2"/>
      <c r="D121" s="2"/>
      <c r="E121" s="2"/>
      <c r="L121" s="2"/>
      <c r="M121" s="2"/>
    </row>
    <row r="122" ht="15.75" customHeight="1">
      <c r="B122" s="2"/>
      <c r="C122" s="2"/>
      <c r="D122" s="2"/>
      <c r="E122" s="2"/>
      <c r="L122" s="2"/>
      <c r="M122" s="2"/>
    </row>
    <row r="123" ht="15.75" customHeight="1">
      <c r="B123" s="2"/>
      <c r="C123" s="2"/>
      <c r="D123" s="2"/>
      <c r="E123" s="2"/>
      <c r="L123" s="2"/>
      <c r="M123" s="2"/>
    </row>
    <row r="124" ht="15.75" customHeight="1">
      <c r="B124" s="2"/>
      <c r="C124" s="2"/>
      <c r="D124" s="2"/>
      <c r="E124" s="2"/>
      <c r="L124" s="2"/>
      <c r="M124" s="2"/>
    </row>
    <row r="125" ht="15.75" customHeight="1">
      <c r="B125" s="2"/>
      <c r="C125" s="2"/>
      <c r="D125" s="2"/>
      <c r="E125" s="2"/>
      <c r="L125" s="2"/>
      <c r="M125" s="2"/>
    </row>
    <row r="126" ht="15.75" customHeight="1">
      <c r="B126" s="2"/>
      <c r="C126" s="2"/>
      <c r="D126" s="2"/>
      <c r="E126" s="2"/>
      <c r="L126" s="2"/>
      <c r="M126" s="2"/>
    </row>
    <row r="127" ht="15.75" customHeight="1">
      <c r="B127" s="2"/>
      <c r="C127" s="2"/>
      <c r="D127" s="2"/>
      <c r="E127" s="2"/>
      <c r="L127" s="2"/>
      <c r="M127" s="2"/>
    </row>
    <row r="128" ht="15.75" customHeight="1">
      <c r="B128" s="2"/>
      <c r="C128" s="2"/>
      <c r="D128" s="2"/>
      <c r="E128" s="2"/>
      <c r="L128" s="2"/>
      <c r="M128" s="2"/>
    </row>
    <row r="129" ht="15.75" customHeight="1">
      <c r="B129" s="2"/>
      <c r="C129" s="2"/>
      <c r="D129" s="2"/>
      <c r="E129" s="2"/>
      <c r="L129" s="2"/>
      <c r="M129" s="2"/>
    </row>
    <row r="130" ht="15.75" customHeight="1">
      <c r="B130" s="2"/>
      <c r="C130" s="2"/>
      <c r="D130" s="2"/>
      <c r="E130" s="2"/>
      <c r="L130" s="2"/>
      <c r="M130" s="2"/>
    </row>
    <row r="131" ht="15.75" customHeight="1">
      <c r="B131" s="2"/>
      <c r="C131" s="2"/>
      <c r="D131" s="2"/>
      <c r="E131" s="2"/>
      <c r="L131" s="2"/>
      <c r="M131" s="2"/>
    </row>
    <row r="132" ht="15.75" customHeight="1">
      <c r="B132" s="2"/>
      <c r="C132" s="2"/>
      <c r="D132" s="2"/>
      <c r="E132" s="2"/>
      <c r="L132" s="2"/>
      <c r="M132" s="2"/>
    </row>
    <row r="133" ht="15.75" customHeight="1">
      <c r="B133" s="2"/>
      <c r="C133" s="2"/>
      <c r="D133" s="2"/>
      <c r="E133" s="2"/>
      <c r="L133" s="2"/>
      <c r="M133" s="2"/>
    </row>
    <row r="134" ht="15.75" customHeight="1">
      <c r="B134" s="2"/>
      <c r="C134" s="2"/>
      <c r="D134" s="2"/>
      <c r="E134" s="2"/>
      <c r="L134" s="2"/>
      <c r="M134" s="2"/>
    </row>
    <row r="135" ht="15.75" customHeight="1">
      <c r="B135" s="2"/>
      <c r="C135" s="2"/>
      <c r="D135" s="2"/>
      <c r="E135" s="2"/>
      <c r="L135" s="2"/>
      <c r="M135" s="2"/>
    </row>
    <row r="136" ht="15.75" customHeight="1">
      <c r="B136" s="2"/>
      <c r="C136" s="2"/>
      <c r="D136" s="2"/>
      <c r="E136" s="2"/>
      <c r="L136" s="2"/>
      <c r="M136" s="2"/>
    </row>
    <row r="137" ht="15.75" customHeight="1">
      <c r="B137" s="2"/>
      <c r="C137" s="2"/>
      <c r="D137" s="2"/>
      <c r="E137" s="2"/>
      <c r="L137" s="2"/>
      <c r="M137" s="2"/>
    </row>
    <row r="138" ht="15.75" customHeight="1">
      <c r="B138" s="2"/>
      <c r="C138" s="2"/>
      <c r="D138" s="2"/>
      <c r="E138" s="2"/>
      <c r="L138" s="2"/>
      <c r="M138" s="2"/>
    </row>
    <row r="139" ht="15.75" customHeight="1">
      <c r="B139" s="2"/>
      <c r="C139" s="2"/>
      <c r="D139" s="2"/>
      <c r="E139" s="2"/>
      <c r="L139" s="2"/>
      <c r="M139" s="2"/>
    </row>
    <row r="140" ht="15.75" customHeight="1">
      <c r="B140" s="2"/>
      <c r="C140" s="2"/>
      <c r="D140" s="2"/>
      <c r="E140" s="2"/>
      <c r="L140" s="2"/>
      <c r="M140" s="2"/>
    </row>
    <row r="141" ht="15.75" customHeight="1">
      <c r="B141" s="2"/>
      <c r="C141" s="2"/>
      <c r="D141" s="2"/>
      <c r="E141" s="2"/>
      <c r="L141" s="2"/>
      <c r="M141" s="2"/>
    </row>
    <row r="142" ht="15.75" customHeight="1">
      <c r="B142" s="2"/>
      <c r="C142" s="2"/>
      <c r="D142" s="2"/>
      <c r="E142" s="2"/>
      <c r="L142" s="2"/>
      <c r="M142" s="2"/>
    </row>
    <row r="143" ht="15.75" customHeight="1">
      <c r="B143" s="2"/>
      <c r="C143" s="2"/>
      <c r="D143" s="2"/>
      <c r="E143" s="2"/>
      <c r="L143" s="2"/>
      <c r="M143" s="2"/>
    </row>
    <row r="144" ht="15.75" customHeight="1">
      <c r="B144" s="2"/>
      <c r="C144" s="2"/>
      <c r="D144" s="2"/>
      <c r="E144" s="2"/>
      <c r="L144" s="2"/>
      <c r="M144" s="2"/>
    </row>
    <row r="145" ht="15.75" customHeight="1">
      <c r="B145" s="2"/>
      <c r="C145" s="2"/>
      <c r="D145" s="2"/>
      <c r="E145" s="2"/>
      <c r="L145" s="2"/>
      <c r="M145" s="2"/>
    </row>
    <row r="146" ht="15.75" customHeight="1">
      <c r="B146" s="2"/>
      <c r="C146" s="2"/>
      <c r="D146" s="2"/>
      <c r="E146" s="2"/>
      <c r="L146" s="2"/>
      <c r="M146" s="2"/>
    </row>
    <row r="147" ht="15.75" customHeight="1">
      <c r="B147" s="2"/>
      <c r="C147" s="2"/>
      <c r="D147" s="2"/>
      <c r="E147" s="2"/>
      <c r="L147" s="2"/>
      <c r="M147" s="2"/>
    </row>
    <row r="148" ht="15.75" customHeight="1">
      <c r="B148" s="2"/>
      <c r="C148" s="2"/>
      <c r="D148" s="2"/>
      <c r="E148" s="2"/>
      <c r="L148" s="2"/>
      <c r="M148" s="2"/>
    </row>
    <row r="149" ht="15.75" customHeight="1">
      <c r="B149" s="2"/>
      <c r="C149" s="2"/>
      <c r="D149" s="2"/>
      <c r="E149" s="2"/>
      <c r="L149" s="2"/>
      <c r="M149" s="2"/>
    </row>
    <row r="150" ht="15.75" customHeight="1">
      <c r="B150" s="2"/>
      <c r="C150" s="2"/>
      <c r="D150" s="2"/>
      <c r="E150" s="2"/>
      <c r="L150" s="2"/>
      <c r="M150" s="2"/>
    </row>
    <row r="151" ht="15.75" customHeight="1">
      <c r="B151" s="2"/>
      <c r="C151" s="2"/>
      <c r="D151" s="2"/>
      <c r="E151" s="2"/>
      <c r="L151" s="2"/>
      <c r="M151" s="2"/>
    </row>
    <row r="152" ht="15.75" customHeight="1">
      <c r="B152" s="2"/>
      <c r="C152" s="2"/>
      <c r="D152" s="2"/>
      <c r="E152" s="2"/>
      <c r="L152" s="2"/>
      <c r="M152" s="2"/>
    </row>
    <row r="153" ht="15.75" customHeight="1">
      <c r="B153" s="2"/>
      <c r="C153" s="2"/>
      <c r="D153" s="2"/>
      <c r="E153" s="2"/>
      <c r="L153" s="2"/>
      <c r="M153" s="2"/>
    </row>
    <row r="154" ht="15.75" customHeight="1">
      <c r="B154" s="2"/>
      <c r="C154" s="2"/>
      <c r="D154" s="2"/>
      <c r="E154" s="2"/>
      <c r="L154" s="2"/>
      <c r="M154" s="2"/>
    </row>
    <row r="155" ht="15.75" customHeight="1">
      <c r="B155" s="2"/>
      <c r="C155" s="2"/>
      <c r="D155" s="2"/>
      <c r="E155" s="2"/>
      <c r="L155" s="2"/>
      <c r="M155" s="2"/>
    </row>
    <row r="156" ht="15.75" customHeight="1">
      <c r="B156" s="2"/>
      <c r="C156" s="2"/>
      <c r="D156" s="2"/>
      <c r="E156" s="2"/>
      <c r="L156" s="2"/>
      <c r="M156" s="2"/>
    </row>
    <row r="157" ht="15.75" customHeight="1">
      <c r="B157" s="2"/>
      <c r="C157" s="2"/>
      <c r="D157" s="2"/>
      <c r="E157" s="2"/>
      <c r="L157" s="2"/>
      <c r="M157" s="2"/>
    </row>
    <row r="158" ht="15.75" customHeight="1">
      <c r="B158" s="2"/>
      <c r="C158" s="2"/>
      <c r="D158" s="2"/>
      <c r="E158" s="2"/>
      <c r="L158" s="2"/>
      <c r="M158" s="2"/>
    </row>
    <row r="159" ht="15.75" customHeight="1">
      <c r="B159" s="2"/>
      <c r="C159" s="2"/>
      <c r="D159" s="2"/>
      <c r="E159" s="2"/>
      <c r="L159" s="2"/>
      <c r="M159" s="2"/>
    </row>
    <row r="160" ht="15.75" customHeight="1">
      <c r="B160" s="2"/>
      <c r="C160" s="2"/>
      <c r="D160" s="2"/>
      <c r="E160" s="2"/>
      <c r="L160" s="2"/>
      <c r="M160" s="2"/>
    </row>
    <row r="161" ht="15.75" customHeight="1">
      <c r="B161" s="2"/>
      <c r="C161" s="2"/>
      <c r="D161" s="2"/>
      <c r="E161" s="2"/>
      <c r="L161" s="2"/>
      <c r="M161" s="2"/>
    </row>
    <row r="162" ht="15.75" customHeight="1">
      <c r="B162" s="2"/>
      <c r="C162" s="2"/>
      <c r="D162" s="2"/>
      <c r="E162" s="2"/>
      <c r="L162" s="2"/>
      <c r="M162" s="2"/>
    </row>
    <row r="163" ht="15.75" customHeight="1">
      <c r="B163" s="2"/>
      <c r="C163" s="2"/>
      <c r="D163" s="2"/>
      <c r="E163" s="2"/>
      <c r="L163" s="2"/>
      <c r="M163" s="2"/>
    </row>
    <row r="164" ht="15.75" customHeight="1">
      <c r="B164" s="2"/>
      <c r="C164" s="2"/>
      <c r="D164" s="2"/>
      <c r="E164" s="2"/>
      <c r="L164" s="2"/>
      <c r="M164" s="2"/>
    </row>
    <row r="165" ht="15.75" customHeight="1">
      <c r="B165" s="2"/>
      <c r="C165" s="2"/>
      <c r="D165" s="2"/>
      <c r="E165" s="2"/>
      <c r="L165" s="2"/>
      <c r="M165" s="2"/>
    </row>
    <row r="166" ht="15.75" customHeight="1">
      <c r="B166" s="2"/>
      <c r="C166" s="2"/>
      <c r="D166" s="2"/>
      <c r="E166" s="2"/>
      <c r="L166" s="2"/>
      <c r="M166" s="2"/>
    </row>
    <row r="167" ht="15.75" customHeight="1">
      <c r="B167" s="2"/>
      <c r="C167" s="2"/>
      <c r="D167" s="2"/>
      <c r="E167" s="2"/>
      <c r="L167" s="2"/>
      <c r="M167" s="2"/>
    </row>
    <row r="168" ht="15.75" customHeight="1">
      <c r="B168" s="2"/>
      <c r="C168" s="2"/>
      <c r="D168" s="2"/>
      <c r="E168" s="2"/>
      <c r="L168" s="2"/>
      <c r="M168" s="2"/>
    </row>
    <row r="169" ht="15.75" customHeight="1">
      <c r="B169" s="2"/>
      <c r="C169" s="2"/>
      <c r="D169" s="2"/>
      <c r="E169" s="2"/>
      <c r="L169" s="2"/>
      <c r="M169" s="2"/>
    </row>
    <row r="170" ht="15.75" customHeight="1">
      <c r="B170" s="2"/>
      <c r="C170" s="2"/>
      <c r="D170" s="2"/>
      <c r="E170" s="2"/>
      <c r="L170" s="2"/>
      <c r="M170" s="2"/>
    </row>
    <row r="171" ht="15.75" customHeight="1">
      <c r="B171" s="2"/>
      <c r="C171" s="2"/>
      <c r="D171" s="2"/>
      <c r="E171" s="2"/>
      <c r="L171" s="2"/>
      <c r="M171" s="2"/>
    </row>
    <row r="172" ht="15.75" customHeight="1">
      <c r="B172" s="2"/>
      <c r="C172" s="2"/>
      <c r="D172" s="2"/>
      <c r="E172" s="2"/>
      <c r="L172" s="2"/>
      <c r="M172" s="2"/>
    </row>
    <row r="173" ht="15.75" customHeight="1">
      <c r="B173" s="2"/>
      <c r="C173" s="2"/>
      <c r="D173" s="2"/>
      <c r="E173" s="2"/>
      <c r="L173" s="2"/>
      <c r="M173" s="2"/>
    </row>
    <row r="174" ht="15.75" customHeight="1">
      <c r="B174" s="2"/>
      <c r="C174" s="2"/>
      <c r="D174" s="2"/>
      <c r="E174" s="2"/>
      <c r="L174" s="2"/>
      <c r="M174" s="2"/>
    </row>
    <row r="175" ht="15.75" customHeight="1">
      <c r="B175" s="2"/>
      <c r="C175" s="2"/>
      <c r="D175" s="2"/>
      <c r="E175" s="2"/>
      <c r="L175" s="2"/>
      <c r="M175" s="2"/>
    </row>
    <row r="176" ht="15.75" customHeight="1">
      <c r="B176" s="2"/>
      <c r="C176" s="2"/>
      <c r="D176" s="2"/>
      <c r="E176" s="2"/>
      <c r="L176" s="2"/>
      <c r="M176" s="2"/>
    </row>
    <row r="177" ht="15.75" customHeight="1">
      <c r="B177" s="2"/>
      <c r="C177" s="2"/>
      <c r="D177" s="2"/>
      <c r="E177" s="2"/>
      <c r="L177" s="2"/>
      <c r="M177" s="2"/>
    </row>
    <row r="178" ht="15.75" customHeight="1">
      <c r="B178" s="2"/>
      <c r="C178" s="2"/>
      <c r="D178" s="2"/>
      <c r="E178" s="2"/>
      <c r="L178" s="2"/>
      <c r="M178" s="2"/>
    </row>
    <row r="179" ht="15.75" customHeight="1">
      <c r="B179" s="2"/>
      <c r="C179" s="2"/>
      <c r="D179" s="2"/>
      <c r="E179" s="2"/>
      <c r="L179" s="2"/>
      <c r="M179" s="2"/>
    </row>
    <row r="180" ht="15.75" customHeight="1">
      <c r="B180" s="2"/>
      <c r="C180" s="2"/>
      <c r="D180" s="2"/>
      <c r="E180" s="2"/>
      <c r="L180" s="2"/>
      <c r="M180" s="2"/>
    </row>
    <row r="181" ht="15.75" customHeight="1">
      <c r="B181" s="2"/>
      <c r="C181" s="2"/>
      <c r="D181" s="2"/>
      <c r="E181" s="2"/>
      <c r="L181" s="2"/>
      <c r="M181" s="2"/>
    </row>
    <row r="182" ht="15.75" customHeight="1">
      <c r="B182" s="2"/>
      <c r="C182" s="2"/>
      <c r="D182" s="2"/>
      <c r="E182" s="2"/>
      <c r="L182" s="2"/>
      <c r="M182" s="2"/>
    </row>
    <row r="183" ht="15.75" customHeight="1">
      <c r="B183" s="2"/>
      <c r="C183" s="2"/>
      <c r="D183" s="2"/>
      <c r="E183" s="2"/>
      <c r="L183" s="2"/>
      <c r="M183" s="2"/>
    </row>
    <row r="184" ht="15.75" customHeight="1">
      <c r="B184" s="2"/>
      <c r="C184" s="2"/>
      <c r="D184" s="2"/>
      <c r="E184" s="2"/>
      <c r="L184" s="2"/>
      <c r="M184" s="2"/>
    </row>
    <row r="185" ht="15.75" customHeight="1">
      <c r="B185" s="2"/>
      <c r="C185" s="2"/>
      <c r="D185" s="2"/>
      <c r="E185" s="2"/>
      <c r="L185" s="2"/>
      <c r="M185" s="2"/>
    </row>
    <row r="186" ht="15.75" customHeight="1">
      <c r="B186" s="2"/>
      <c r="C186" s="2"/>
      <c r="D186" s="2"/>
      <c r="E186" s="2"/>
      <c r="L186" s="2"/>
      <c r="M186" s="2"/>
    </row>
    <row r="187" ht="15.75" customHeight="1">
      <c r="B187" s="2"/>
      <c r="C187" s="2"/>
      <c r="D187" s="2"/>
      <c r="E187" s="2"/>
      <c r="L187" s="2"/>
      <c r="M187" s="2"/>
    </row>
    <row r="188" ht="15.75" customHeight="1">
      <c r="B188" s="2"/>
      <c r="C188" s="2"/>
      <c r="D188" s="2"/>
      <c r="E188" s="2"/>
      <c r="L188" s="2"/>
      <c r="M188" s="2"/>
    </row>
    <row r="189" ht="15.75" customHeight="1">
      <c r="B189" s="2"/>
      <c r="C189" s="2"/>
      <c r="D189" s="2"/>
      <c r="E189" s="2"/>
      <c r="L189" s="2"/>
      <c r="M189" s="2"/>
    </row>
    <row r="190" ht="15.75" customHeight="1">
      <c r="B190" s="2"/>
      <c r="C190" s="2"/>
      <c r="D190" s="2"/>
      <c r="E190" s="2"/>
      <c r="L190" s="2"/>
      <c r="M190" s="2"/>
    </row>
    <row r="191" ht="15.75" customHeight="1">
      <c r="B191" s="2"/>
      <c r="C191" s="2"/>
      <c r="D191" s="2"/>
      <c r="E191" s="2"/>
      <c r="L191" s="2"/>
      <c r="M191" s="2"/>
    </row>
    <row r="192" ht="15.75" customHeight="1">
      <c r="B192" s="2"/>
      <c r="C192" s="2"/>
      <c r="D192" s="2"/>
      <c r="E192" s="2"/>
      <c r="L192" s="2"/>
      <c r="M192" s="2"/>
    </row>
    <row r="193" ht="15.75" customHeight="1">
      <c r="B193" s="2"/>
      <c r="C193" s="2"/>
      <c r="D193" s="2"/>
      <c r="E193" s="2"/>
      <c r="L193" s="2"/>
      <c r="M193" s="2"/>
    </row>
    <row r="194" ht="15.75" customHeight="1">
      <c r="B194" s="2"/>
      <c r="C194" s="2"/>
      <c r="D194" s="2"/>
      <c r="E194" s="2"/>
      <c r="L194" s="2"/>
      <c r="M194" s="2"/>
    </row>
    <row r="195" ht="15.75" customHeight="1">
      <c r="B195" s="2"/>
      <c r="C195" s="2"/>
      <c r="D195" s="2"/>
      <c r="E195" s="2"/>
      <c r="L195" s="2"/>
      <c r="M195" s="2"/>
    </row>
    <row r="196" ht="15.75" customHeight="1">
      <c r="B196" s="2"/>
      <c r="C196" s="2"/>
      <c r="D196" s="2"/>
      <c r="E196" s="2"/>
      <c r="L196" s="2"/>
      <c r="M196" s="2"/>
    </row>
    <row r="197" ht="15.75" customHeight="1">
      <c r="B197" s="2"/>
      <c r="C197" s="2"/>
      <c r="D197" s="2"/>
      <c r="E197" s="2"/>
      <c r="L197" s="2"/>
      <c r="M197" s="2"/>
    </row>
    <row r="198" ht="15.75" customHeight="1">
      <c r="B198" s="2"/>
      <c r="C198" s="2"/>
      <c r="D198" s="2"/>
      <c r="E198" s="2"/>
      <c r="L198" s="2"/>
      <c r="M198" s="2"/>
    </row>
    <row r="199" ht="15.75" customHeight="1">
      <c r="B199" s="2"/>
      <c r="C199" s="2"/>
      <c r="D199" s="2"/>
      <c r="E199" s="2"/>
      <c r="L199" s="2"/>
      <c r="M199" s="2"/>
    </row>
    <row r="200" ht="15.75" customHeight="1">
      <c r="B200" s="2"/>
      <c r="C200" s="2"/>
      <c r="D200" s="2"/>
      <c r="E200" s="2"/>
      <c r="L200" s="2"/>
      <c r="M200" s="2"/>
    </row>
    <row r="201" ht="15.75" customHeight="1">
      <c r="B201" s="2"/>
      <c r="C201" s="2"/>
      <c r="D201" s="2"/>
      <c r="E201" s="2"/>
      <c r="L201" s="2"/>
      <c r="M201" s="2"/>
    </row>
    <row r="202" ht="15.75" customHeight="1">
      <c r="B202" s="2"/>
      <c r="C202" s="2"/>
      <c r="D202" s="2"/>
      <c r="E202" s="2"/>
      <c r="L202" s="2"/>
      <c r="M202" s="2"/>
    </row>
    <row r="203" ht="15.75" customHeight="1">
      <c r="B203" s="2"/>
      <c r="C203" s="2"/>
      <c r="D203" s="2"/>
      <c r="E203" s="2"/>
      <c r="L203" s="2"/>
      <c r="M203" s="2"/>
    </row>
    <row r="204" ht="15.75" customHeight="1">
      <c r="B204" s="2"/>
      <c r="C204" s="2"/>
      <c r="D204" s="2"/>
      <c r="E204" s="2"/>
      <c r="L204" s="2"/>
      <c r="M204" s="2"/>
    </row>
    <row r="205" ht="15.75" customHeight="1">
      <c r="B205" s="2"/>
      <c r="C205" s="2"/>
      <c r="D205" s="2"/>
      <c r="E205" s="2"/>
      <c r="L205" s="2"/>
      <c r="M205" s="2"/>
    </row>
    <row r="206" ht="15.75" customHeight="1">
      <c r="B206" s="2"/>
      <c r="C206" s="2"/>
      <c r="D206" s="2"/>
      <c r="E206" s="2"/>
      <c r="L206" s="2"/>
      <c r="M206" s="2"/>
    </row>
    <row r="207" ht="15.75" customHeight="1">
      <c r="B207" s="2"/>
      <c r="C207" s="2"/>
      <c r="D207" s="2"/>
      <c r="E207" s="2"/>
      <c r="L207" s="2"/>
      <c r="M207" s="2"/>
    </row>
    <row r="208" ht="15.75" customHeight="1">
      <c r="B208" s="2"/>
      <c r="C208" s="2"/>
      <c r="D208" s="2"/>
      <c r="E208" s="2"/>
      <c r="L208" s="2"/>
      <c r="M208" s="2"/>
    </row>
    <row r="209" ht="15.75" customHeight="1">
      <c r="B209" s="2"/>
      <c r="C209" s="2"/>
      <c r="D209" s="2"/>
      <c r="E209" s="2"/>
      <c r="L209" s="2"/>
      <c r="M209" s="2"/>
    </row>
    <row r="210" ht="15.75" customHeight="1">
      <c r="B210" s="2"/>
      <c r="C210" s="2"/>
      <c r="D210" s="2"/>
      <c r="E210" s="2"/>
      <c r="L210" s="2"/>
      <c r="M210" s="2"/>
    </row>
    <row r="211" ht="15.75" customHeight="1">
      <c r="B211" s="2"/>
      <c r="C211" s="2"/>
      <c r="D211" s="2"/>
      <c r="E211" s="2"/>
      <c r="L211" s="2"/>
      <c r="M211" s="2"/>
    </row>
    <row r="212" ht="15.75" customHeight="1">
      <c r="B212" s="2"/>
      <c r="C212" s="2"/>
      <c r="D212" s="2"/>
      <c r="E212" s="2"/>
      <c r="L212" s="2"/>
      <c r="M212" s="2"/>
    </row>
    <row r="213" ht="15.75" customHeight="1">
      <c r="B213" s="2"/>
      <c r="C213" s="2"/>
      <c r="D213" s="2"/>
      <c r="E213" s="2"/>
      <c r="L213" s="2"/>
      <c r="M213" s="2"/>
    </row>
    <row r="214" ht="15.75" customHeight="1">
      <c r="B214" s="2"/>
      <c r="C214" s="2"/>
      <c r="D214" s="2"/>
      <c r="E214" s="2"/>
      <c r="L214" s="2"/>
      <c r="M214" s="2"/>
    </row>
    <row r="215" ht="15.75" customHeight="1">
      <c r="B215" s="2"/>
      <c r="C215" s="2"/>
      <c r="D215" s="2"/>
      <c r="E215" s="2"/>
      <c r="L215" s="2"/>
      <c r="M215" s="2"/>
    </row>
    <row r="216" ht="15.75" customHeight="1">
      <c r="B216" s="2"/>
      <c r="C216" s="2"/>
      <c r="D216" s="2"/>
      <c r="E216" s="2"/>
      <c r="L216" s="2"/>
      <c r="M216" s="2"/>
    </row>
    <row r="217" ht="15.75" customHeight="1">
      <c r="B217" s="2"/>
      <c r="C217" s="2"/>
      <c r="D217" s="2"/>
      <c r="E217" s="2"/>
      <c r="L217" s="2"/>
      <c r="M217" s="2"/>
    </row>
    <row r="218" ht="15.75" customHeight="1">
      <c r="B218" s="2"/>
      <c r="C218" s="2"/>
      <c r="D218" s="2"/>
      <c r="E218" s="2"/>
      <c r="L218" s="2"/>
      <c r="M218" s="2"/>
    </row>
    <row r="219" ht="15.75" customHeight="1">
      <c r="B219" s="2"/>
      <c r="C219" s="2"/>
      <c r="D219" s="2"/>
      <c r="E219" s="2"/>
      <c r="L219" s="2"/>
      <c r="M219" s="2"/>
    </row>
    <row r="220" ht="15.75" customHeight="1">
      <c r="B220" s="2"/>
      <c r="C220" s="2"/>
      <c r="D220" s="2"/>
      <c r="E220" s="2"/>
      <c r="L220" s="2"/>
      <c r="M220" s="2"/>
    </row>
    <row r="221" ht="15.75" customHeight="1">
      <c r="B221" s="2"/>
      <c r="C221" s="2"/>
      <c r="D221" s="2"/>
      <c r="E221" s="2"/>
      <c r="L221" s="2"/>
      <c r="M221" s="2"/>
    </row>
    <row r="222" ht="15.75" customHeight="1">
      <c r="B222" s="2"/>
      <c r="C222" s="2"/>
      <c r="D222" s="2"/>
      <c r="E222" s="2"/>
      <c r="L222" s="2"/>
      <c r="M222" s="2"/>
    </row>
    <row r="223" ht="15.75" customHeight="1">
      <c r="B223" s="2"/>
      <c r="C223" s="2"/>
      <c r="D223" s="2"/>
      <c r="E223" s="2"/>
      <c r="L223" s="2"/>
      <c r="M223" s="2"/>
    </row>
    <row r="224" ht="15.75" customHeight="1">
      <c r="B224" s="2"/>
      <c r="C224" s="2"/>
      <c r="D224" s="2"/>
      <c r="E224" s="2"/>
      <c r="L224" s="2"/>
      <c r="M224" s="2"/>
    </row>
    <row r="225" ht="15.75" customHeight="1">
      <c r="B225" s="2"/>
      <c r="C225" s="2"/>
      <c r="D225" s="2"/>
      <c r="E225" s="2"/>
      <c r="L225" s="2"/>
      <c r="M225" s="2"/>
    </row>
    <row r="226" ht="15.75" customHeight="1">
      <c r="B226" s="2"/>
      <c r="C226" s="2"/>
      <c r="D226" s="2"/>
      <c r="E226" s="2"/>
      <c r="L226" s="2"/>
      <c r="M226" s="2"/>
    </row>
    <row r="227" ht="15.75" customHeight="1">
      <c r="B227" s="2"/>
      <c r="C227" s="2"/>
      <c r="D227" s="2"/>
      <c r="E227" s="2"/>
      <c r="L227" s="2"/>
      <c r="M227" s="2"/>
    </row>
    <row r="228" ht="15.75" customHeight="1">
      <c r="B228" s="2"/>
      <c r="C228" s="2"/>
      <c r="D228" s="2"/>
      <c r="E228" s="2"/>
      <c r="L228" s="2"/>
      <c r="M228" s="2"/>
    </row>
    <row r="229" ht="15.75" customHeight="1">
      <c r="B229" s="2"/>
      <c r="C229" s="2"/>
      <c r="D229" s="2"/>
      <c r="E229" s="2"/>
      <c r="L229" s="2"/>
      <c r="M229" s="2"/>
    </row>
    <row r="230" ht="15.75" customHeight="1">
      <c r="B230" s="2"/>
      <c r="C230" s="2"/>
      <c r="D230" s="2"/>
      <c r="E230" s="2"/>
      <c r="L230" s="2"/>
      <c r="M230" s="2"/>
    </row>
    <row r="231" ht="15.75" customHeight="1">
      <c r="B231" s="2"/>
      <c r="C231" s="2"/>
      <c r="D231" s="2"/>
      <c r="E231" s="2"/>
      <c r="L231" s="2"/>
      <c r="M231" s="2"/>
    </row>
    <row r="232" ht="15.75" customHeight="1">
      <c r="B232" s="2"/>
      <c r="C232" s="2"/>
      <c r="D232" s="2"/>
      <c r="E232" s="2"/>
      <c r="L232" s="2"/>
      <c r="M232" s="2"/>
    </row>
    <row r="233" ht="15.75" customHeight="1">
      <c r="B233" s="2"/>
      <c r="C233" s="2"/>
      <c r="D233" s="2"/>
      <c r="E233" s="2"/>
      <c r="L233" s="2"/>
      <c r="M233" s="2"/>
    </row>
    <row r="234" ht="15.75" customHeight="1">
      <c r="B234" s="2"/>
      <c r="C234" s="2"/>
      <c r="D234" s="2"/>
      <c r="E234" s="2"/>
      <c r="L234" s="2"/>
      <c r="M234" s="2"/>
    </row>
    <row r="235" ht="15.75" customHeight="1">
      <c r="B235" s="2"/>
      <c r="C235" s="2"/>
      <c r="D235" s="2"/>
      <c r="E235" s="2"/>
      <c r="L235" s="2"/>
      <c r="M235" s="2"/>
    </row>
    <row r="236" ht="15.75" customHeight="1">
      <c r="B236" s="2"/>
      <c r="C236" s="2"/>
      <c r="D236" s="2"/>
      <c r="E236" s="2"/>
      <c r="L236" s="2"/>
      <c r="M236" s="2"/>
    </row>
    <row r="237" ht="15.75" customHeight="1">
      <c r="B237" s="2"/>
      <c r="C237" s="2"/>
      <c r="D237" s="2"/>
      <c r="E237" s="2"/>
      <c r="L237" s="2"/>
      <c r="M237" s="2"/>
    </row>
    <row r="238" ht="15.75" customHeight="1">
      <c r="B238" s="2"/>
      <c r="C238" s="2"/>
      <c r="D238" s="2"/>
      <c r="E238" s="2"/>
      <c r="L238" s="2"/>
      <c r="M238" s="2"/>
    </row>
    <row r="239" ht="15.75" customHeight="1">
      <c r="B239" s="2"/>
      <c r="C239" s="2"/>
      <c r="D239" s="2"/>
      <c r="E239" s="2"/>
      <c r="L239" s="2"/>
      <c r="M239" s="2"/>
    </row>
    <row r="240" ht="15.75" customHeight="1">
      <c r="B240" s="2"/>
      <c r="C240" s="2"/>
      <c r="D240" s="2"/>
      <c r="E240" s="2"/>
      <c r="L240" s="2"/>
      <c r="M240" s="2"/>
    </row>
    <row r="241" ht="15.75" customHeight="1">
      <c r="B241" s="2"/>
      <c r="C241" s="2"/>
      <c r="D241" s="2"/>
      <c r="E241" s="2"/>
      <c r="L241" s="2"/>
      <c r="M241" s="2"/>
    </row>
    <row r="242" ht="15.75" customHeight="1">
      <c r="B242" s="2"/>
      <c r="C242" s="2"/>
      <c r="D242" s="2"/>
      <c r="E242" s="2"/>
      <c r="L242" s="2"/>
      <c r="M242" s="2"/>
    </row>
    <row r="243" ht="15.75" customHeight="1">
      <c r="B243" s="2"/>
      <c r="C243" s="2"/>
      <c r="D243" s="2"/>
      <c r="E243" s="2"/>
      <c r="L243" s="2"/>
      <c r="M243" s="2"/>
    </row>
    <row r="244" ht="15.75" customHeight="1">
      <c r="B244" s="2"/>
      <c r="C244" s="2"/>
      <c r="D244" s="2"/>
      <c r="E244" s="2"/>
      <c r="L244" s="2"/>
      <c r="M244" s="2"/>
    </row>
    <row r="245" ht="15.75" customHeight="1">
      <c r="B245" s="2"/>
      <c r="C245" s="2"/>
      <c r="D245" s="2"/>
      <c r="E245" s="2"/>
      <c r="L245" s="2"/>
      <c r="M245" s="2"/>
    </row>
    <row r="246" ht="15.75" customHeight="1">
      <c r="B246" s="2"/>
      <c r="C246" s="2"/>
      <c r="D246" s="2"/>
      <c r="E246" s="2"/>
      <c r="L246" s="2"/>
      <c r="M246" s="2"/>
    </row>
    <row r="247" ht="15.75" customHeight="1">
      <c r="B247" s="2"/>
      <c r="C247" s="2"/>
      <c r="D247" s="2"/>
      <c r="E247" s="2"/>
      <c r="L247" s="2"/>
      <c r="M247" s="2"/>
    </row>
    <row r="248" ht="15.75" customHeight="1">
      <c r="B248" s="2"/>
      <c r="C248" s="2"/>
      <c r="D248" s="2"/>
      <c r="E248" s="2"/>
      <c r="L248" s="2"/>
      <c r="M248" s="2"/>
    </row>
    <row r="249" ht="15.75" customHeight="1">
      <c r="B249" s="2"/>
      <c r="C249" s="2"/>
      <c r="D249" s="2"/>
      <c r="E249" s="2"/>
      <c r="L249" s="2"/>
      <c r="M249" s="2"/>
    </row>
    <row r="250" ht="15.75" customHeight="1">
      <c r="B250" s="2"/>
      <c r="C250" s="2"/>
      <c r="D250" s="2"/>
      <c r="E250" s="2"/>
      <c r="L250" s="2"/>
      <c r="M250" s="2"/>
    </row>
    <row r="251" ht="15.75" customHeight="1">
      <c r="B251" s="2"/>
      <c r="C251" s="2"/>
      <c r="D251" s="2"/>
      <c r="E251" s="2"/>
      <c r="L251" s="2"/>
      <c r="M251" s="2"/>
    </row>
    <row r="252" ht="15.75" customHeight="1">
      <c r="B252" s="2"/>
      <c r="C252" s="2"/>
      <c r="D252" s="2"/>
      <c r="E252" s="2"/>
      <c r="L252" s="2"/>
      <c r="M252" s="2"/>
    </row>
    <row r="253" ht="15.75" customHeight="1">
      <c r="B253" s="2"/>
      <c r="C253" s="2"/>
      <c r="D253" s="2"/>
      <c r="E253" s="2"/>
      <c r="L253" s="2"/>
      <c r="M253" s="2"/>
    </row>
    <row r="254" ht="15.75" customHeight="1">
      <c r="B254" s="2"/>
      <c r="C254" s="2"/>
      <c r="D254" s="2"/>
      <c r="E254" s="2"/>
      <c r="L254" s="2"/>
      <c r="M254" s="2"/>
    </row>
    <row r="255" ht="15.75" customHeight="1">
      <c r="B255" s="2"/>
      <c r="C255" s="2"/>
      <c r="D255" s="2"/>
      <c r="E255" s="2"/>
      <c r="L255" s="2"/>
      <c r="M255" s="2"/>
    </row>
    <row r="256" ht="15.75" customHeight="1">
      <c r="B256" s="2"/>
      <c r="C256" s="2"/>
      <c r="D256" s="2"/>
      <c r="E256" s="2"/>
      <c r="L256" s="2"/>
      <c r="M256" s="2"/>
    </row>
    <row r="257" ht="15.75" customHeight="1">
      <c r="B257" s="2"/>
      <c r="C257" s="2"/>
      <c r="D257" s="2"/>
      <c r="E257" s="2"/>
      <c r="L257" s="2"/>
      <c r="M257" s="2"/>
    </row>
    <row r="258" ht="15.75" customHeight="1">
      <c r="B258" s="2"/>
      <c r="C258" s="2"/>
      <c r="D258" s="2"/>
      <c r="E258" s="2"/>
      <c r="L258" s="2"/>
      <c r="M258" s="2"/>
    </row>
    <row r="259" ht="15.75" customHeight="1">
      <c r="B259" s="2"/>
      <c r="C259" s="2"/>
      <c r="D259" s="2"/>
      <c r="E259" s="2"/>
      <c r="L259" s="2"/>
      <c r="M259" s="2"/>
    </row>
    <row r="260" ht="15.75" customHeight="1">
      <c r="B260" s="2"/>
      <c r="C260" s="2"/>
      <c r="D260" s="2"/>
      <c r="E260" s="2"/>
      <c r="L260" s="2"/>
      <c r="M260" s="2"/>
    </row>
    <row r="261" ht="15.75" customHeight="1">
      <c r="B261" s="2"/>
      <c r="C261" s="2"/>
      <c r="D261" s="2"/>
      <c r="E261" s="2"/>
      <c r="L261" s="2"/>
      <c r="M261" s="2"/>
    </row>
    <row r="262" ht="15.75" customHeight="1">
      <c r="B262" s="2"/>
      <c r="C262" s="2"/>
      <c r="D262" s="2"/>
      <c r="E262" s="2"/>
      <c r="L262" s="2"/>
      <c r="M262" s="2"/>
    </row>
    <row r="263" ht="15.75" customHeight="1">
      <c r="B263" s="2"/>
      <c r="C263" s="2"/>
      <c r="D263" s="2"/>
      <c r="E263" s="2"/>
      <c r="L263" s="2"/>
      <c r="M263" s="2"/>
    </row>
    <row r="264" ht="15.75" customHeight="1">
      <c r="B264" s="2"/>
      <c r="C264" s="2"/>
      <c r="D264" s="2"/>
      <c r="E264" s="2"/>
      <c r="L264" s="2"/>
      <c r="M264" s="2"/>
    </row>
    <row r="265" ht="15.75" customHeight="1">
      <c r="B265" s="2"/>
      <c r="C265" s="2"/>
      <c r="D265" s="2"/>
      <c r="E265" s="2"/>
      <c r="L265" s="2"/>
      <c r="M265" s="2"/>
    </row>
    <row r="266" ht="15.75" customHeight="1">
      <c r="B266" s="2"/>
      <c r="C266" s="2"/>
      <c r="D266" s="2"/>
      <c r="E266" s="2"/>
      <c r="L266" s="2"/>
      <c r="M266" s="2"/>
    </row>
    <row r="267" ht="15.75" customHeight="1">
      <c r="B267" s="2"/>
      <c r="C267" s="2"/>
      <c r="D267" s="2"/>
      <c r="E267" s="2"/>
      <c r="L267" s="2"/>
      <c r="M267" s="2"/>
    </row>
    <row r="268" ht="15.75" customHeight="1">
      <c r="B268" s="2"/>
      <c r="C268" s="2"/>
      <c r="D268" s="2"/>
      <c r="E268" s="2"/>
      <c r="L268" s="2"/>
      <c r="M268" s="2"/>
    </row>
    <row r="269" ht="15.75" customHeight="1">
      <c r="B269" s="2"/>
      <c r="C269" s="2"/>
      <c r="D269" s="2"/>
      <c r="E269" s="2"/>
      <c r="L269" s="2"/>
      <c r="M269" s="2"/>
    </row>
    <row r="270" ht="15.75" customHeight="1">
      <c r="B270" s="2"/>
      <c r="C270" s="2"/>
      <c r="D270" s="2"/>
      <c r="E270" s="2"/>
      <c r="L270" s="2"/>
      <c r="M270" s="2"/>
    </row>
    <row r="271" ht="15.75" customHeight="1">
      <c r="B271" s="2"/>
      <c r="C271" s="2"/>
      <c r="D271" s="2"/>
      <c r="E271" s="2"/>
      <c r="L271" s="2"/>
      <c r="M271" s="2"/>
    </row>
    <row r="272" ht="15.75" customHeight="1">
      <c r="B272" s="2"/>
      <c r="C272" s="2"/>
      <c r="D272" s="2"/>
      <c r="E272" s="2"/>
      <c r="L272" s="2"/>
      <c r="M272" s="2"/>
    </row>
    <row r="273" ht="15.75" customHeight="1">
      <c r="B273" s="2"/>
      <c r="C273" s="2"/>
      <c r="D273" s="2"/>
      <c r="E273" s="2"/>
      <c r="L273" s="2"/>
      <c r="M273" s="2"/>
    </row>
    <row r="274" ht="15.75" customHeight="1">
      <c r="B274" s="2"/>
      <c r="C274" s="2"/>
      <c r="D274" s="2"/>
      <c r="E274" s="2"/>
      <c r="L274" s="2"/>
      <c r="M274" s="2"/>
    </row>
    <row r="275" ht="15.75" customHeight="1">
      <c r="B275" s="2"/>
      <c r="C275" s="2"/>
      <c r="D275" s="2"/>
      <c r="E275" s="2"/>
      <c r="L275" s="2"/>
      <c r="M275" s="2"/>
    </row>
    <row r="276" ht="15.75" customHeight="1">
      <c r="B276" s="2"/>
      <c r="C276" s="2"/>
      <c r="D276" s="2"/>
      <c r="E276" s="2"/>
      <c r="L276" s="2"/>
      <c r="M276" s="2"/>
    </row>
    <row r="277" ht="15.75" customHeight="1">
      <c r="B277" s="2"/>
      <c r="C277" s="2"/>
      <c r="D277" s="2"/>
      <c r="E277" s="2"/>
      <c r="L277" s="2"/>
      <c r="M277" s="2"/>
    </row>
    <row r="278" ht="15.75" customHeight="1">
      <c r="B278" s="2"/>
      <c r="C278" s="2"/>
      <c r="D278" s="2"/>
      <c r="E278" s="2"/>
      <c r="L278" s="2"/>
      <c r="M278" s="2"/>
    </row>
    <row r="279" ht="15.75" customHeight="1">
      <c r="B279" s="2"/>
      <c r="C279" s="2"/>
      <c r="D279" s="2"/>
      <c r="E279" s="2"/>
      <c r="L279" s="2"/>
      <c r="M279" s="2"/>
    </row>
    <row r="280" ht="15.75" customHeight="1">
      <c r="B280" s="2"/>
      <c r="C280" s="2"/>
      <c r="D280" s="2"/>
      <c r="E280" s="2"/>
      <c r="L280" s="2"/>
      <c r="M280" s="2"/>
    </row>
    <row r="281" ht="15.75" customHeight="1">
      <c r="B281" s="2"/>
      <c r="C281" s="2"/>
      <c r="D281" s="2"/>
      <c r="E281" s="2"/>
      <c r="L281" s="2"/>
      <c r="M281" s="2"/>
    </row>
    <row r="282" ht="15.75" customHeight="1">
      <c r="B282" s="2"/>
      <c r="C282" s="2"/>
      <c r="D282" s="2"/>
      <c r="E282" s="2"/>
      <c r="L282" s="2"/>
      <c r="M282" s="2"/>
    </row>
    <row r="283" ht="15.75" customHeight="1">
      <c r="B283" s="2"/>
      <c r="C283" s="2"/>
      <c r="D283" s="2"/>
      <c r="E283" s="2"/>
      <c r="L283" s="2"/>
      <c r="M283" s="2"/>
    </row>
    <row r="284" ht="15.75" customHeight="1">
      <c r="B284" s="2"/>
      <c r="C284" s="2"/>
      <c r="D284" s="2"/>
      <c r="E284" s="2"/>
      <c r="L284" s="2"/>
      <c r="M284" s="2"/>
    </row>
    <row r="285" ht="15.75" customHeight="1">
      <c r="B285" s="2"/>
      <c r="C285" s="2"/>
      <c r="D285" s="2"/>
      <c r="E285" s="2"/>
      <c r="L285" s="2"/>
      <c r="M285" s="2"/>
    </row>
    <row r="286" ht="15.75" customHeight="1">
      <c r="B286" s="2"/>
      <c r="C286" s="2"/>
      <c r="D286" s="2"/>
      <c r="E286" s="2"/>
      <c r="L286" s="2"/>
      <c r="M286" s="2"/>
    </row>
    <row r="287" ht="15.75" customHeight="1">
      <c r="B287" s="2"/>
      <c r="C287" s="2"/>
      <c r="D287" s="2"/>
      <c r="E287" s="2"/>
      <c r="L287" s="2"/>
      <c r="M287" s="2"/>
    </row>
    <row r="288" ht="15.75" customHeight="1">
      <c r="B288" s="2"/>
      <c r="C288" s="2"/>
      <c r="D288" s="2"/>
      <c r="E288" s="2"/>
      <c r="L288" s="2"/>
      <c r="M288" s="2"/>
    </row>
    <row r="289" ht="15.75" customHeight="1">
      <c r="B289" s="2"/>
      <c r="C289" s="2"/>
      <c r="D289" s="2"/>
      <c r="E289" s="2"/>
      <c r="L289" s="2"/>
      <c r="M289" s="2"/>
    </row>
    <row r="290" ht="15.75" customHeight="1">
      <c r="B290" s="2"/>
      <c r="C290" s="2"/>
      <c r="D290" s="2"/>
      <c r="E290" s="2"/>
      <c r="L290" s="2"/>
      <c r="M290" s="2"/>
    </row>
    <row r="291" ht="15.75" customHeight="1">
      <c r="B291" s="2"/>
      <c r="C291" s="2"/>
      <c r="D291" s="2"/>
      <c r="E291" s="2"/>
      <c r="L291" s="2"/>
      <c r="M291" s="2"/>
    </row>
    <row r="292" ht="15.75" customHeight="1">
      <c r="B292" s="2"/>
      <c r="C292" s="2"/>
      <c r="D292" s="2"/>
      <c r="E292" s="2"/>
      <c r="L292" s="2"/>
      <c r="M292" s="2"/>
    </row>
    <row r="293" ht="15.75" customHeight="1">
      <c r="B293" s="2"/>
      <c r="C293" s="2"/>
      <c r="D293" s="2"/>
      <c r="E293" s="2"/>
      <c r="L293" s="2"/>
      <c r="M293" s="2"/>
    </row>
    <row r="294" ht="15.75" customHeight="1">
      <c r="B294" s="2"/>
      <c r="C294" s="2"/>
      <c r="D294" s="2"/>
      <c r="E294" s="2"/>
      <c r="L294" s="2"/>
      <c r="M294" s="2"/>
    </row>
    <row r="295" ht="15.75" customHeight="1">
      <c r="B295" s="2"/>
      <c r="C295" s="2"/>
      <c r="D295" s="2"/>
      <c r="E295" s="2"/>
      <c r="L295" s="2"/>
      <c r="M295" s="2"/>
    </row>
    <row r="296" ht="15.75" customHeight="1">
      <c r="B296" s="2"/>
      <c r="C296" s="2"/>
      <c r="D296" s="2"/>
      <c r="E296" s="2"/>
      <c r="L296" s="2"/>
      <c r="M296" s="2"/>
    </row>
    <row r="297" ht="15.75" customHeight="1">
      <c r="B297" s="2"/>
      <c r="C297" s="2"/>
      <c r="D297" s="2"/>
      <c r="E297" s="2"/>
      <c r="L297" s="2"/>
      <c r="M297" s="2"/>
    </row>
    <row r="298" ht="15.75" customHeight="1">
      <c r="B298" s="2"/>
      <c r="C298" s="2"/>
      <c r="D298" s="2"/>
      <c r="E298" s="2"/>
      <c r="L298" s="2"/>
      <c r="M298" s="2"/>
    </row>
    <row r="299" ht="15.75" customHeight="1">
      <c r="B299" s="2"/>
      <c r="C299" s="2"/>
      <c r="D299" s="2"/>
      <c r="E299" s="2"/>
      <c r="L299" s="2"/>
      <c r="M299" s="2"/>
    </row>
    <row r="300" ht="15.75" customHeight="1">
      <c r="B300" s="2"/>
      <c r="C300" s="2"/>
      <c r="D300" s="2"/>
      <c r="E300" s="2"/>
      <c r="L300" s="2"/>
      <c r="M300" s="2"/>
    </row>
    <row r="301" ht="15.75" customHeight="1">
      <c r="B301" s="2"/>
      <c r="C301" s="2"/>
      <c r="D301" s="2"/>
      <c r="E301" s="2"/>
      <c r="L301" s="2"/>
      <c r="M301" s="2"/>
    </row>
    <row r="302" ht="15.75" customHeight="1">
      <c r="B302" s="2"/>
      <c r="C302" s="2"/>
      <c r="D302" s="2"/>
      <c r="E302" s="2"/>
      <c r="L302" s="2"/>
      <c r="M302" s="2"/>
    </row>
    <row r="303" ht="15.75" customHeight="1">
      <c r="B303" s="2"/>
      <c r="C303" s="2"/>
      <c r="D303" s="2"/>
      <c r="E303" s="2"/>
      <c r="L303" s="2"/>
      <c r="M303" s="2"/>
    </row>
    <row r="304" ht="15.75" customHeight="1">
      <c r="B304" s="2"/>
      <c r="C304" s="2"/>
      <c r="D304" s="2"/>
      <c r="E304" s="2"/>
      <c r="L304" s="2"/>
      <c r="M304" s="2"/>
    </row>
    <row r="305" ht="15.75" customHeight="1">
      <c r="B305" s="2"/>
      <c r="C305" s="2"/>
      <c r="D305" s="2"/>
      <c r="E305" s="2"/>
      <c r="L305" s="2"/>
      <c r="M305" s="2"/>
    </row>
    <row r="306" ht="15.75" customHeight="1">
      <c r="B306" s="2"/>
      <c r="C306" s="2"/>
      <c r="D306" s="2"/>
      <c r="E306" s="2"/>
      <c r="L306" s="2"/>
      <c r="M306" s="2"/>
    </row>
    <row r="307" ht="15.75" customHeight="1">
      <c r="B307" s="2"/>
      <c r="C307" s="2"/>
      <c r="D307" s="2"/>
      <c r="E307" s="2"/>
      <c r="L307" s="2"/>
      <c r="M307" s="2"/>
    </row>
    <row r="308" ht="15.75" customHeight="1">
      <c r="B308" s="2"/>
      <c r="C308" s="2"/>
      <c r="D308" s="2"/>
      <c r="E308" s="2"/>
      <c r="L308" s="2"/>
      <c r="M308" s="2"/>
    </row>
    <row r="309" ht="15.75" customHeight="1">
      <c r="B309" s="2"/>
      <c r="C309" s="2"/>
      <c r="D309" s="2"/>
      <c r="E309" s="2"/>
      <c r="L309" s="2"/>
      <c r="M309" s="2"/>
    </row>
    <row r="310" ht="15.75" customHeight="1">
      <c r="B310" s="2"/>
      <c r="C310" s="2"/>
      <c r="D310" s="2"/>
      <c r="E310" s="2"/>
      <c r="L310" s="2"/>
      <c r="M310" s="2"/>
    </row>
    <row r="311" ht="15.75" customHeight="1">
      <c r="B311" s="2"/>
      <c r="C311" s="2"/>
      <c r="D311" s="2"/>
      <c r="E311" s="2"/>
      <c r="L311" s="2"/>
      <c r="M311" s="2"/>
    </row>
    <row r="312" ht="15.75" customHeight="1">
      <c r="B312" s="2"/>
      <c r="C312" s="2"/>
      <c r="D312" s="2"/>
      <c r="E312" s="2"/>
      <c r="L312" s="2"/>
      <c r="M312" s="2"/>
    </row>
    <row r="313" ht="15.75" customHeight="1">
      <c r="B313" s="2"/>
      <c r="C313" s="2"/>
      <c r="D313" s="2"/>
      <c r="E313" s="2"/>
      <c r="L313" s="2"/>
      <c r="M313" s="2"/>
    </row>
    <row r="314" ht="15.75" customHeight="1">
      <c r="B314" s="2"/>
      <c r="C314" s="2"/>
      <c r="D314" s="2"/>
      <c r="E314" s="2"/>
      <c r="L314" s="2"/>
      <c r="M314" s="2"/>
    </row>
    <row r="315" ht="15.75" customHeight="1">
      <c r="B315" s="2"/>
      <c r="C315" s="2"/>
      <c r="D315" s="2"/>
      <c r="E315" s="2"/>
      <c r="L315" s="2"/>
      <c r="M315" s="2"/>
    </row>
    <row r="316" ht="15.75" customHeight="1">
      <c r="B316" s="2"/>
      <c r="C316" s="2"/>
      <c r="D316" s="2"/>
      <c r="E316" s="2"/>
      <c r="L316" s="2"/>
      <c r="M316" s="2"/>
    </row>
    <row r="317" ht="15.75" customHeight="1">
      <c r="B317" s="2"/>
      <c r="C317" s="2"/>
      <c r="D317" s="2"/>
      <c r="E317" s="2"/>
      <c r="L317" s="2"/>
      <c r="M317" s="2"/>
    </row>
    <row r="318" ht="15.75" customHeight="1">
      <c r="B318" s="2"/>
      <c r="C318" s="2"/>
      <c r="D318" s="2"/>
      <c r="E318" s="2"/>
      <c r="L318" s="2"/>
      <c r="M318" s="2"/>
    </row>
    <row r="319" ht="15.75" customHeight="1">
      <c r="B319" s="2"/>
      <c r="C319" s="2"/>
      <c r="D319" s="2"/>
      <c r="E319" s="2"/>
      <c r="L319" s="2"/>
      <c r="M319" s="2"/>
    </row>
    <row r="320" ht="15.75" customHeight="1">
      <c r="B320" s="2"/>
      <c r="C320" s="2"/>
      <c r="D320" s="2"/>
      <c r="E320" s="2"/>
      <c r="L320" s="2"/>
      <c r="M320" s="2"/>
    </row>
    <row r="321" ht="15.75" customHeight="1">
      <c r="B321" s="2"/>
      <c r="C321" s="2"/>
      <c r="D321" s="2"/>
      <c r="E321" s="2"/>
      <c r="L321" s="2"/>
      <c r="M321" s="2"/>
    </row>
    <row r="322" ht="15.75" customHeight="1">
      <c r="B322" s="2"/>
      <c r="C322" s="2"/>
      <c r="D322" s="2"/>
      <c r="E322" s="2"/>
      <c r="L322" s="2"/>
      <c r="M322" s="2"/>
    </row>
    <row r="323" ht="15.75" customHeight="1">
      <c r="B323" s="2"/>
      <c r="C323" s="2"/>
      <c r="D323" s="2"/>
      <c r="E323" s="2"/>
      <c r="L323" s="2"/>
      <c r="M323" s="2"/>
    </row>
    <row r="324" ht="15.75" customHeight="1">
      <c r="B324" s="2"/>
      <c r="C324" s="2"/>
      <c r="D324" s="2"/>
      <c r="E324" s="2"/>
      <c r="L324" s="2"/>
      <c r="M324" s="2"/>
    </row>
    <row r="325" ht="15.75" customHeight="1">
      <c r="B325" s="2"/>
      <c r="C325" s="2"/>
      <c r="D325" s="2"/>
      <c r="E325" s="2"/>
      <c r="L325" s="2"/>
      <c r="M325" s="2"/>
    </row>
    <row r="326" ht="15.75" customHeight="1">
      <c r="B326" s="2"/>
      <c r="C326" s="2"/>
      <c r="D326" s="2"/>
      <c r="E326" s="2"/>
      <c r="L326" s="2"/>
      <c r="M326" s="2"/>
    </row>
    <row r="327" ht="15.75" customHeight="1">
      <c r="B327" s="2"/>
      <c r="C327" s="2"/>
      <c r="D327" s="2"/>
      <c r="E327" s="2"/>
      <c r="L327" s="2"/>
      <c r="M327" s="2"/>
    </row>
    <row r="328" ht="15.75" customHeight="1">
      <c r="B328" s="2"/>
      <c r="C328" s="2"/>
      <c r="D328" s="2"/>
      <c r="E328" s="2"/>
      <c r="L328" s="2"/>
      <c r="M328" s="2"/>
    </row>
    <row r="329" ht="15.75" customHeight="1">
      <c r="B329" s="2"/>
      <c r="C329" s="2"/>
      <c r="D329" s="2"/>
      <c r="E329" s="2"/>
      <c r="L329" s="2"/>
      <c r="M329" s="2"/>
    </row>
    <row r="330" ht="15.75" customHeight="1">
      <c r="B330" s="2"/>
      <c r="C330" s="2"/>
      <c r="D330" s="2"/>
      <c r="E330" s="2"/>
      <c r="L330" s="2"/>
      <c r="M330" s="2"/>
    </row>
    <row r="331" ht="15.75" customHeight="1">
      <c r="B331" s="2"/>
      <c r="C331" s="2"/>
      <c r="D331" s="2"/>
      <c r="E331" s="2"/>
      <c r="L331" s="2"/>
      <c r="M331" s="2"/>
    </row>
    <row r="332" ht="15.75" customHeight="1">
      <c r="B332" s="2"/>
      <c r="C332" s="2"/>
      <c r="D332" s="2"/>
      <c r="E332" s="2"/>
      <c r="L332" s="2"/>
      <c r="M332" s="2"/>
    </row>
    <row r="333" ht="15.75" customHeight="1">
      <c r="B333" s="2"/>
      <c r="C333" s="2"/>
      <c r="D333" s="2"/>
      <c r="E333" s="2"/>
      <c r="L333" s="2"/>
      <c r="M333" s="2"/>
    </row>
    <row r="334" ht="15.75" customHeight="1">
      <c r="B334" s="2"/>
      <c r="C334" s="2"/>
      <c r="D334" s="2"/>
      <c r="E334" s="2"/>
      <c r="L334" s="2"/>
      <c r="M334" s="2"/>
    </row>
    <row r="335" ht="15.75" customHeight="1">
      <c r="B335" s="2"/>
      <c r="C335" s="2"/>
      <c r="D335" s="2"/>
      <c r="E335" s="2"/>
      <c r="L335" s="2"/>
      <c r="M335" s="2"/>
    </row>
    <row r="336" ht="15.75" customHeight="1">
      <c r="B336" s="2"/>
      <c r="C336" s="2"/>
      <c r="D336" s="2"/>
      <c r="E336" s="2"/>
      <c r="L336" s="2"/>
      <c r="M336" s="2"/>
    </row>
    <row r="337" ht="15.75" customHeight="1">
      <c r="B337" s="2"/>
      <c r="C337" s="2"/>
      <c r="D337" s="2"/>
      <c r="E337" s="2"/>
      <c r="L337" s="2"/>
      <c r="M337" s="2"/>
    </row>
    <row r="338" ht="15.75" customHeight="1">
      <c r="B338" s="2"/>
      <c r="C338" s="2"/>
      <c r="D338" s="2"/>
      <c r="E338" s="2"/>
      <c r="L338" s="2"/>
      <c r="M338" s="2"/>
    </row>
    <row r="339" ht="15.75" customHeight="1">
      <c r="B339" s="2"/>
      <c r="C339" s="2"/>
      <c r="D339" s="2"/>
      <c r="E339" s="2"/>
      <c r="L339" s="2"/>
      <c r="M339" s="2"/>
    </row>
    <row r="340" ht="15.75" customHeight="1">
      <c r="B340" s="2"/>
      <c r="C340" s="2"/>
      <c r="D340" s="2"/>
      <c r="E340" s="2"/>
      <c r="L340" s="2"/>
      <c r="M340" s="2"/>
    </row>
    <row r="341" ht="15.75" customHeight="1">
      <c r="B341" s="2"/>
      <c r="C341" s="2"/>
      <c r="D341" s="2"/>
      <c r="E341" s="2"/>
      <c r="L341" s="2"/>
      <c r="M341" s="2"/>
    </row>
    <row r="342" ht="15.75" customHeight="1">
      <c r="B342" s="2"/>
      <c r="C342" s="2"/>
      <c r="D342" s="2"/>
      <c r="E342" s="2"/>
      <c r="L342" s="2"/>
      <c r="M342" s="2"/>
    </row>
    <row r="343" ht="15.75" customHeight="1">
      <c r="B343" s="2"/>
      <c r="C343" s="2"/>
      <c r="D343" s="2"/>
      <c r="E343" s="2"/>
      <c r="L343" s="2"/>
      <c r="M343" s="2"/>
    </row>
    <row r="344" ht="15.75" customHeight="1">
      <c r="B344" s="2"/>
      <c r="C344" s="2"/>
      <c r="D344" s="2"/>
      <c r="E344" s="2"/>
      <c r="L344" s="2"/>
      <c r="M344" s="2"/>
    </row>
    <row r="345" ht="15.75" customHeight="1">
      <c r="B345" s="2"/>
      <c r="C345" s="2"/>
      <c r="D345" s="2"/>
      <c r="E345" s="2"/>
      <c r="L345" s="2"/>
      <c r="M345" s="2"/>
    </row>
    <row r="346" ht="15.75" customHeight="1">
      <c r="B346" s="2"/>
      <c r="C346" s="2"/>
      <c r="D346" s="2"/>
      <c r="E346" s="2"/>
      <c r="L346" s="2"/>
      <c r="M346" s="2"/>
    </row>
    <row r="347" ht="15.75" customHeight="1">
      <c r="B347" s="2"/>
      <c r="C347" s="2"/>
      <c r="D347" s="2"/>
      <c r="E347" s="2"/>
      <c r="L347" s="2"/>
      <c r="M347" s="2"/>
    </row>
    <row r="348" ht="15.75" customHeight="1">
      <c r="B348" s="2"/>
      <c r="C348" s="2"/>
      <c r="D348" s="2"/>
      <c r="E348" s="2"/>
      <c r="L348" s="2"/>
      <c r="M348" s="2"/>
    </row>
    <row r="349" ht="15.75" customHeight="1">
      <c r="B349" s="2"/>
      <c r="C349" s="2"/>
      <c r="D349" s="2"/>
      <c r="E349" s="2"/>
      <c r="L349" s="2"/>
      <c r="M349" s="2"/>
    </row>
    <row r="350" ht="15.75" customHeight="1">
      <c r="B350" s="2"/>
      <c r="C350" s="2"/>
      <c r="D350" s="2"/>
      <c r="E350" s="2"/>
      <c r="L350" s="2"/>
      <c r="M350" s="2"/>
    </row>
    <row r="351" ht="15.75" customHeight="1">
      <c r="B351" s="2"/>
      <c r="C351" s="2"/>
      <c r="D351" s="2"/>
      <c r="E351" s="2"/>
      <c r="L351" s="2"/>
      <c r="M351" s="2"/>
    </row>
    <row r="352" ht="15.75" customHeight="1">
      <c r="B352" s="2"/>
      <c r="C352" s="2"/>
      <c r="D352" s="2"/>
      <c r="E352" s="2"/>
      <c r="L352" s="2"/>
      <c r="M352" s="2"/>
    </row>
    <row r="353" ht="15.75" customHeight="1">
      <c r="B353" s="2"/>
      <c r="C353" s="2"/>
      <c r="D353" s="2"/>
      <c r="E353" s="2"/>
      <c r="L353" s="2"/>
      <c r="M353" s="2"/>
    </row>
    <row r="354" ht="15.75" customHeight="1">
      <c r="B354" s="2"/>
      <c r="C354" s="2"/>
      <c r="D354" s="2"/>
      <c r="E354" s="2"/>
      <c r="L354" s="2"/>
      <c r="M354" s="2"/>
    </row>
    <row r="355" ht="15.75" customHeight="1">
      <c r="B355" s="2"/>
      <c r="C355" s="2"/>
      <c r="D355" s="2"/>
      <c r="E355" s="2"/>
      <c r="L355" s="2"/>
      <c r="M355" s="2"/>
    </row>
    <row r="356" ht="15.75" customHeight="1">
      <c r="B356" s="2"/>
      <c r="C356" s="2"/>
      <c r="D356" s="2"/>
      <c r="E356" s="2"/>
      <c r="L356" s="2"/>
      <c r="M356" s="2"/>
    </row>
    <row r="357" ht="15.75" customHeight="1">
      <c r="B357" s="2"/>
      <c r="C357" s="2"/>
      <c r="D357" s="2"/>
      <c r="E357" s="2"/>
      <c r="L357" s="2"/>
      <c r="M357" s="2"/>
    </row>
    <row r="358" ht="15.75" customHeight="1">
      <c r="B358" s="2"/>
      <c r="C358" s="2"/>
      <c r="D358" s="2"/>
      <c r="E358" s="2"/>
      <c r="L358" s="2"/>
      <c r="M358" s="2"/>
    </row>
    <row r="359" ht="15.75" customHeight="1">
      <c r="B359" s="2"/>
      <c r="C359" s="2"/>
      <c r="D359" s="2"/>
      <c r="E359" s="2"/>
      <c r="L359" s="2"/>
      <c r="M359" s="2"/>
    </row>
    <row r="360" ht="15.75" customHeight="1">
      <c r="B360" s="2"/>
      <c r="C360" s="2"/>
      <c r="D360" s="2"/>
      <c r="E360" s="2"/>
      <c r="L360" s="2"/>
      <c r="M360" s="2"/>
    </row>
    <row r="361" ht="15.75" customHeight="1">
      <c r="B361" s="2"/>
      <c r="C361" s="2"/>
      <c r="D361" s="2"/>
      <c r="E361" s="2"/>
      <c r="L361" s="2"/>
      <c r="M361" s="2"/>
    </row>
    <row r="362" ht="15.75" customHeight="1">
      <c r="B362" s="2"/>
      <c r="C362" s="2"/>
      <c r="D362" s="2"/>
      <c r="E362" s="2"/>
      <c r="L362" s="2"/>
      <c r="M362" s="2"/>
    </row>
    <row r="363" ht="15.75" customHeight="1">
      <c r="B363" s="2"/>
      <c r="C363" s="2"/>
      <c r="D363" s="2"/>
      <c r="E363" s="2"/>
      <c r="L363" s="2"/>
      <c r="M363" s="2"/>
    </row>
    <row r="364" ht="15.75" customHeight="1">
      <c r="B364" s="2"/>
      <c r="C364" s="2"/>
      <c r="D364" s="2"/>
      <c r="E364" s="2"/>
      <c r="L364" s="2"/>
      <c r="M364" s="2"/>
    </row>
    <row r="365" ht="15.75" customHeight="1">
      <c r="B365" s="2"/>
      <c r="C365" s="2"/>
      <c r="D365" s="2"/>
      <c r="E365" s="2"/>
      <c r="L365" s="2"/>
      <c r="M365" s="2"/>
    </row>
    <row r="366" ht="15.75" customHeight="1">
      <c r="B366" s="2"/>
      <c r="C366" s="2"/>
      <c r="D366" s="2"/>
      <c r="E366" s="2"/>
      <c r="L366" s="2"/>
      <c r="M366" s="2"/>
    </row>
    <row r="367" ht="15.75" customHeight="1">
      <c r="B367" s="2"/>
      <c r="C367" s="2"/>
      <c r="D367" s="2"/>
      <c r="E367" s="2"/>
      <c r="L367" s="2"/>
      <c r="M367" s="2"/>
    </row>
    <row r="368" ht="15.75" customHeight="1">
      <c r="B368" s="2"/>
      <c r="C368" s="2"/>
      <c r="D368" s="2"/>
      <c r="E368" s="2"/>
      <c r="L368" s="2"/>
      <c r="M368" s="2"/>
    </row>
    <row r="369" ht="15.75" customHeight="1">
      <c r="B369" s="2"/>
      <c r="C369" s="2"/>
      <c r="D369" s="2"/>
      <c r="E369" s="2"/>
      <c r="L369" s="2"/>
      <c r="M369" s="2"/>
    </row>
    <row r="370" ht="15.75" customHeight="1">
      <c r="B370" s="2"/>
      <c r="C370" s="2"/>
      <c r="D370" s="2"/>
      <c r="E370" s="2"/>
      <c r="L370" s="2"/>
      <c r="M370" s="2"/>
    </row>
    <row r="371" ht="15.75" customHeight="1">
      <c r="B371" s="2"/>
      <c r="C371" s="2"/>
      <c r="D371" s="2"/>
      <c r="E371" s="2"/>
      <c r="L371" s="2"/>
      <c r="M371" s="2"/>
    </row>
    <row r="372" ht="15.75" customHeight="1">
      <c r="B372" s="2"/>
      <c r="C372" s="2"/>
      <c r="D372" s="2"/>
      <c r="E372" s="2"/>
      <c r="L372" s="2"/>
      <c r="M372" s="2"/>
    </row>
    <row r="373" ht="15.75" customHeight="1">
      <c r="B373" s="2"/>
      <c r="C373" s="2"/>
      <c r="D373" s="2"/>
      <c r="E373" s="2"/>
      <c r="L373" s="2"/>
      <c r="M373" s="2"/>
    </row>
    <row r="374" ht="15.75" customHeight="1">
      <c r="B374" s="2"/>
      <c r="C374" s="2"/>
      <c r="D374" s="2"/>
      <c r="E374" s="2"/>
      <c r="L374" s="2"/>
      <c r="M374" s="2"/>
    </row>
    <row r="375" ht="15.75" customHeight="1">
      <c r="B375" s="2"/>
      <c r="C375" s="2"/>
      <c r="D375" s="2"/>
      <c r="E375" s="2"/>
      <c r="L375" s="2"/>
      <c r="M375" s="2"/>
    </row>
    <row r="376" ht="15.75" customHeight="1">
      <c r="B376" s="2"/>
      <c r="C376" s="2"/>
      <c r="D376" s="2"/>
      <c r="E376" s="2"/>
      <c r="L376" s="2"/>
      <c r="M376" s="2"/>
    </row>
    <row r="377" ht="15.75" customHeight="1">
      <c r="B377" s="2"/>
      <c r="C377" s="2"/>
      <c r="D377" s="2"/>
      <c r="E377" s="2"/>
      <c r="L377" s="2"/>
      <c r="M377" s="2"/>
    </row>
    <row r="378" ht="15.75" customHeight="1">
      <c r="B378" s="2"/>
      <c r="C378" s="2"/>
      <c r="D378" s="2"/>
      <c r="E378" s="2"/>
      <c r="L378" s="2"/>
      <c r="M378" s="2"/>
    </row>
    <row r="379" ht="15.75" customHeight="1">
      <c r="B379" s="2"/>
      <c r="C379" s="2"/>
      <c r="D379" s="2"/>
      <c r="E379" s="2"/>
      <c r="L379" s="2"/>
      <c r="M379" s="2"/>
    </row>
    <row r="380" ht="15.75" customHeight="1">
      <c r="B380" s="2"/>
      <c r="C380" s="2"/>
      <c r="D380" s="2"/>
      <c r="E380" s="2"/>
      <c r="L380" s="2"/>
      <c r="M380" s="2"/>
    </row>
    <row r="381" ht="15.75" customHeight="1">
      <c r="B381" s="2"/>
      <c r="C381" s="2"/>
      <c r="D381" s="2"/>
      <c r="E381" s="2"/>
      <c r="L381" s="2"/>
      <c r="M381" s="2"/>
    </row>
    <row r="382" ht="15.75" customHeight="1">
      <c r="B382" s="2"/>
      <c r="C382" s="2"/>
      <c r="D382" s="2"/>
      <c r="E382" s="2"/>
      <c r="L382" s="2"/>
      <c r="M382" s="2"/>
    </row>
    <row r="383" ht="15.75" customHeight="1">
      <c r="B383" s="2"/>
      <c r="C383" s="2"/>
      <c r="D383" s="2"/>
      <c r="E383" s="2"/>
      <c r="L383" s="2"/>
      <c r="M383" s="2"/>
    </row>
    <row r="384" ht="15.75" customHeight="1">
      <c r="B384" s="2"/>
      <c r="C384" s="2"/>
      <c r="D384" s="2"/>
      <c r="E384" s="2"/>
      <c r="L384" s="2"/>
      <c r="M384" s="2"/>
    </row>
    <row r="385" ht="15.75" customHeight="1">
      <c r="B385" s="2"/>
      <c r="C385" s="2"/>
      <c r="D385" s="2"/>
      <c r="E385" s="2"/>
      <c r="L385" s="2"/>
      <c r="M385" s="2"/>
    </row>
    <row r="386" ht="15.75" customHeight="1">
      <c r="B386" s="2"/>
      <c r="C386" s="2"/>
      <c r="D386" s="2"/>
      <c r="E386" s="2"/>
      <c r="L386" s="2"/>
      <c r="M386" s="2"/>
    </row>
    <row r="387" ht="15.75" customHeight="1">
      <c r="B387" s="2"/>
      <c r="C387" s="2"/>
      <c r="D387" s="2"/>
      <c r="E387" s="2"/>
      <c r="L387" s="2"/>
      <c r="M387" s="2"/>
    </row>
    <row r="388" ht="15.75" customHeight="1">
      <c r="B388" s="2"/>
      <c r="C388" s="2"/>
      <c r="D388" s="2"/>
      <c r="E388" s="2"/>
      <c r="L388" s="2"/>
      <c r="M388" s="2"/>
    </row>
    <row r="389" ht="15.75" customHeight="1">
      <c r="B389" s="2"/>
      <c r="C389" s="2"/>
      <c r="D389" s="2"/>
      <c r="E389" s="2"/>
      <c r="L389" s="2"/>
      <c r="M389" s="2"/>
    </row>
    <row r="390" ht="15.75" customHeight="1">
      <c r="B390" s="2"/>
      <c r="C390" s="2"/>
      <c r="D390" s="2"/>
      <c r="E390" s="2"/>
      <c r="L390" s="2"/>
      <c r="M390" s="2"/>
    </row>
    <row r="391" ht="15.75" customHeight="1">
      <c r="B391" s="2"/>
      <c r="C391" s="2"/>
      <c r="D391" s="2"/>
      <c r="E391" s="2"/>
      <c r="L391" s="2"/>
      <c r="M391" s="2"/>
    </row>
    <row r="392" ht="15.75" customHeight="1">
      <c r="B392" s="2"/>
      <c r="C392" s="2"/>
      <c r="D392" s="2"/>
      <c r="E392" s="2"/>
      <c r="L392" s="2"/>
      <c r="M392" s="2"/>
    </row>
    <row r="393" ht="15.75" customHeight="1">
      <c r="B393" s="2"/>
      <c r="C393" s="2"/>
      <c r="D393" s="2"/>
      <c r="E393" s="2"/>
      <c r="L393" s="2"/>
      <c r="M393" s="2"/>
    </row>
    <row r="394" ht="15.75" customHeight="1">
      <c r="B394" s="2"/>
      <c r="C394" s="2"/>
      <c r="D394" s="2"/>
      <c r="E394" s="2"/>
      <c r="L394" s="2"/>
      <c r="M394" s="2"/>
    </row>
    <row r="395" ht="15.75" customHeight="1">
      <c r="B395" s="2"/>
      <c r="C395" s="2"/>
      <c r="D395" s="2"/>
      <c r="E395" s="2"/>
      <c r="L395" s="2"/>
      <c r="M395" s="2"/>
    </row>
    <row r="396" ht="15.75" customHeight="1">
      <c r="B396" s="2"/>
      <c r="C396" s="2"/>
      <c r="D396" s="2"/>
      <c r="E396" s="2"/>
      <c r="L396" s="2"/>
      <c r="M396" s="2"/>
    </row>
    <row r="397" ht="15.75" customHeight="1">
      <c r="B397" s="2"/>
      <c r="C397" s="2"/>
      <c r="D397" s="2"/>
      <c r="E397" s="2"/>
      <c r="L397" s="2"/>
      <c r="M397" s="2"/>
    </row>
    <row r="398" ht="15.75" customHeight="1">
      <c r="B398" s="2"/>
      <c r="C398" s="2"/>
      <c r="D398" s="2"/>
      <c r="E398" s="2"/>
      <c r="L398" s="2"/>
      <c r="M398" s="2"/>
    </row>
    <row r="399" ht="15.75" customHeight="1">
      <c r="B399" s="2"/>
      <c r="C399" s="2"/>
      <c r="D399" s="2"/>
      <c r="E399" s="2"/>
      <c r="L399" s="2"/>
      <c r="M399" s="2"/>
    </row>
    <row r="400" ht="15.75" customHeight="1">
      <c r="B400" s="2"/>
      <c r="C400" s="2"/>
      <c r="D400" s="2"/>
      <c r="E400" s="2"/>
      <c r="L400" s="2"/>
      <c r="M400" s="2"/>
    </row>
    <row r="401" ht="15.75" customHeight="1">
      <c r="B401" s="2"/>
      <c r="C401" s="2"/>
      <c r="D401" s="2"/>
      <c r="E401" s="2"/>
      <c r="L401" s="2"/>
      <c r="M401" s="2"/>
    </row>
    <row r="402" ht="15.75" customHeight="1">
      <c r="B402" s="2"/>
      <c r="C402" s="2"/>
      <c r="D402" s="2"/>
      <c r="E402" s="2"/>
      <c r="L402" s="2"/>
      <c r="M402" s="2"/>
    </row>
    <row r="403" ht="15.75" customHeight="1">
      <c r="B403" s="2"/>
      <c r="C403" s="2"/>
      <c r="D403" s="2"/>
      <c r="E403" s="2"/>
      <c r="L403" s="2"/>
      <c r="M403" s="2"/>
    </row>
    <row r="404" ht="15.75" customHeight="1">
      <c r="B404" s="2"/>
      <c r="C404" s="2"/>
      <c r="D404" s="2"/>
      <c r="E404" s="2"/>
      <c r="L404" s="2"/>
      <c r="M404" s="2"/>
    </row>
    <row r="405" ht="15.75" customHeight="1">
      <c r="B405" s="2"/>
      <c r="C405" s="2"/>
      <c r="D405" s="2"/>
      <c r="E405" s="2"/>
      <c r="L405" s="2"/>
      <c r="M405" s="2"/>
    </row>
    <row r="406" ht="15.75" customHeight="1">
      <c r="B406" s="2"/>
      <c r="C406" s="2"/>
      <c r="D406" s="2"/>
      <c r="E406" s="2"/>
      <c r="L406" s="2"/>
      <c r="M406" s="2"/>
    </row>
    <row r="407" ht="15.75" customHeight="1">
      <c r="B407" s="2"/>
      <c r="C407" s="2"/>
      <c r="D407" s="2"/>
      <c r="E407" s="2"/>
      <c r="L407" s="2"/>
      <c r="M407" s="2"/>
    </row>
    <row r="408" ht="15.75" customHeight="1">
      <c r="B408" s="2"/>
      <c r="C408" s="2"/>
      <c r="D408" s="2"/>
      <c r="E408" s="2"/>
      <c r="L408" s="2"/>
      <c r="M408" s="2"/>
    </row>
    <row r="409" ht="15.75" customHeight="1">
      <c r="B409" s="2"/>
      <c r="C409" s="2"/>
      <c r="D409" s="2"/>
      <c r="E409" s="2"/>
      <c r="L409" s="2"/>
      <c r="M409" s="2"/>
    </row>
    <row r="410" ht="15.75" customHeight="1">
      <c r="B410" s="2"/>
      <c r="C410" s="2"/>
      <c r="D410" s="2"/>
      <c r="E410" s="2"/>
      <c r="L410" s="2"/>
      <c r="M410" s="2"/>
    </row>
    <row r="411" ht="15.75" customHeight="1">
      <c r="B411" s="2"/>
      <c r="C411" s="2"/>
      <c r="D411" s="2"/>
      <c r="E411" s="2"/>
      <c r="L411" s="2"/>
      <c r="M411" s="2"/>
    </row>
    <row r="412" ht="15.75" customHeight="1">
      <c r="B412" s="2"/>
      <c r="C412" s="2"/>
      <c r="D412" s="2"/>
      <c r="E412" s="2"/>
      <c r="L412" s="2"/>
      <c r="M412" s="2"/>
    </row>
    <row r="413" ht="15.75" customHeight="1">
      <c r="B413" s="2"/>
      <c r="C413" s="2"/>
      <c r="D413" s="2"/>
      <c r="E413" s="2"/>
      <c r="L413" s="2"/>
      <c r="M413" s="2"/>
    </row>
    <row r="414" ht="15.75" customHeight="1">
      <c r="B414" s="2"/>
      <c r="C414" s="2"/>
      <c r="D414" s="2"/>
      <c r="E414" s="2"/>
      <c r="L414" s="2"/>
      <c r="M414" s="2"/>
    </row>
    <row r="415" ht="15.75" customHeight="1">
      <c r="B415" s="2"/>
      <c r="C415" s="2"/>
      <c r="D415" s="2"/>
      <c r="E415" s="2"/>
      <c r="L415" s="2"/>
      <c r="M415" s="2"/>
    </row>
    <row r="416" ht="15.75" customHeight="1">
      <c r="B416" s="2"/>
      <c r="C416" s="2"/>
      <c r="D416" s="2"/>
      <c r="E416" s="2"/>
      <c r="L416" s="2"/>
      <c r="M416" s="2"/>
    </row>
    <row r="417" ht="15.75" customHeight="1">
      <c r="B417" s="2"/>
      <c r="C417" s="2"/>
      <c r="D417" s="2"/>
      <c r="E417" s="2"/>
      <c r="L417" s="2"/>
      <c r="M417" s="2"/>
    </row>
    <row r="418" ht="15.75" customHeight="1">
      <c r="B418" s="2"/>
      <c r="C418" s="2"/>
      <c r="D418" s="2"/>
      <c r="E418" s="2"/>
      <c r="L418" s="2"/>
      <c r="M418" s="2"/>
    </row>
    <row r="419" ht="15.75" customHeight="1">
      <c r="B419" s="2"/>
      <c r="C419" s="2"/>
      <c r="D419" s="2"/>
      <c r="E419" s="2"/>
      <c r="L419" s="2"/>
      <c r="M419" s="2"/>
    </row>
    <row r="420" ht="15.75" customHeight="1">
      <c r="B420" s="2"/>
      <c r="C420" s="2"/>
      <c r="D420" s="2"/>
      <c r="E420" s="2"/>
      <c r="L420" s="2"/>
      <c r="M420" s="2"/>
    </row>
    <row r="421" ht="15.75" customHeight="1">
      <c r="B421" s="2"/>
      <c r="C421" s="2"/>
      <c r="D421" s="2"/>
      <c r="E421" s="2"/>
      <c r="L421" s="2"/>
      <c r="M421" s="2"/>
    </row>
    <row r="422" ht="15.75" customHeight="1">
      <c r="B422" s="2"/>
      <c r="C422" s="2"/>
      <c r="D422" s="2"/>
      <c r="E422" s="2"/>
      <c r="L422" s="2"/>
      <c r="M422" s="2"/>
    </row>
    <row r="423" ht="15.75" customHeight="1">
      <c r="B423" s="2"/>
      <c r="C423" s="2"/>
      <c r="D423" s="2"/>
      <c r="E423" s="2"/>
      <c r="L423" s="2"/>
      <c r="M423" s="2"/>
    </row>
    <row r="424" ht="15.75" customHeight="1">
      <c r="B424" s="2"/>
      <c r="C424" s="2"/>
      <c r="D424" s="2"/>
      <c r="E424" s="2"/>
      <c r="L424" s="2"/>
      <c r="M424" s="2"/>
    </row>
    <row r="425" ht="15.75" customHeight="1">
      <c r="B425" s="2"/>
      <c r="C425" s="2"/>
      <c r="D425" s="2"/>
      <c r="E425" s="2"/>
      <c r="L425" s="2"/>
      <c r="M425" s="2"/>
    </row>
    <row r="426" ht="15.75" customHeight="1">
      <c r="B426" s="2"/>
      <c r="C426" s="2"/>
      <c r="D426" s="2"/>
      <c r="E426" s="2"/>
      <c r="L426" s="2"/>
      <c r="M426" s="2"/>
    </row>
    <row r="427" ht="15.75" customHeight="1">
      <c r="B427" s="2"/>
      <c r="C427" s="2"/>
      <c r="D427" s="2"/>
      <c r="E427" s="2"/>
      <c r="L427" s="2"/>
      <c r="M427" s="2"/>
    </row>
    <row r="428" ht="15.75" customHeight="1">
      <c r="B428" s="2"/>
      <c r="C428" s="2"/>
      <c r="D428" s="2"/>
      <c r="E428" s="2"/>
      <c r="L428" s="2"/>
      <c r="M428" s="2"/>
    </row>
    <row r="429" ht="15.75" customHeight="1">
      <c r="B429" s="2"/>
      <c r="C429" s="2"/>
      <c r="D429" s="2"/>
      <c r="E429" s="2"/>
      <c r="L429" s="2"/>
      <c r="M429" s="2"/>
    </row>
    <row r="430" ht="15.75" customHeight="1">
      <c r="B430" s="2"/>
      <c r="C430" s="2"/>
      <c r="D430" s="2"/>
      <c r="E430" s="2"/>
      <c r="L430" s="2"/>
      <c r="M430" s="2"/>
    </row>
    <row r="431" ht="15.75" customHeight="1">
      <c r="B431" s="2"/>
      <c r="C431" s="2"/>
      <c r="D431" s="2"/>
      <c r="E431" s="2"/>
      <c r="L431" s="2"/>
      <c r="M431" s="2"/>
    </row>
    <row r="432" ht="15.75" customHeight="1">
      <c r="B432" s="2"/>
      <c r="C432" s="2"/>
      <c r="D432" s="2"/>
      <c r="E432" s="2"/>
      <c r="L432" s="2"/>
      <c r="M432" s="2"/>
    </row>
    <row r="433" ht="15.75" customHeight="1">
      <c r="B433" s="2"/>
      <c r="C433" s="2"/>
      <c r="D433" s="2"/>
      <c r="E433" s="2"/>
      <c r="L433" s="2"/>
      <c r="M433" s="2"/>
    </row>
    <row r="434" ht="15.75" customHeight="1">
      <c r="B434" s="2"/>
      <c r="C434" s="2"/>
      <c r="D434" s="2"/>
      <c r="E434" s="2"/>
      <c r="L434" s="2"/>
      <c r="M434" s="2"/>
    </row>
    <row r="435" ht="15.75" customHeight="1">
      <c r="B435" s="2"/>
      <c r="C435" s="2"/>
      <c r="D435" s="2"/>
      <c r="E435" s="2"/>
      <c r="L435" s="2"/>
      <c r="M435" s="2"/>
    </row>
    <row r="436" ht="15.75" customHeight="1">
      <c r="B436" s="2"/>
      <c r="C436" s="2"/>
      <c r="D436" s="2"/>
      <c r="E436" s="2"/>
      <c r="L436" s="2"/>
      <c r="M436" s="2"/>
    </row>
    <row r="437" ht="15.75" customHeight="1">
      <c r="B437" s="2"/>
      <c r="C437" s="2"/>
      <c r="D437" s="2"/>
      <c r="E437" s="2"/>
      <c r="L437" s="2"/>
      <c r="M437" s="2"/>
    </row>
    <row r="438" ht="15.75" customHeight="1">
      <c r="B438" s="2"/>
      <c r="C438" s="2"/>
      <c r="D438" s="2"/>
      <c r="E438" s="2"/>
      <c r="L438" s="2"/>
      <c r="M438" s="2"/>
    </row>
    <row r="439" ht="15.75" customHeight="1">
      <c r="B439" s="2"/>
      <c r="C439" s="2"/>
      <c r="D439" s="2"/>
      <c r="E439" s="2"/>
      <c r="L439" s="2"/>
      <c r="M439" s="2"/>
    </row>
    <row r="440" ht="15.75" customHeight="1">
      <c r="B440" s="2"/>
      <c r="C440" s="2"/>
      <c r="D440" s="2"/>
      <c r="E440" s="2"/>
      <c r="L440" s="2"/>
      <c r="M440" s="2"/>
    </row>
    <row r="441" ht="15.75" customHeight="1">
      <c r="B441" s="2"/>
      <c r="C441" s="2"/>
      <c r="D441" s="2"/>
      <c r="E441" s="2"/>
      <c r="L441" s="2"/>
      <c r="M441" s="2"/>
    </row>
    <row r="442" ht="15.75" customHeight="1">
      <c r="B442" s="2"/>
      <c r="C442" s="2"/>
      <c r="D442" s="2"/>
      <c r="E442" s="2"/>
      <c r="L442" s="2"/>
      <c r="M442" s="2"/>
    </row>
    <row r="443" ht="15.75" customHeight="1">
      <c r="B443" s="2"/>
      <c r="C443" s="2"/>
      <c r="D443" s="2"/>
      <c r="E443" s="2"/>
      <c r="L443" s="2"/>
      <c r="M443" s="2"/>
    </row>
    <row r="444" ht="15.75" customHeight="1">
      <c r="B444" s="2"/>
      <c r="C444" s="2"/>
      <c r="D444" s="2"/>
      <c r="E444" s="2"/>
      <c r="L444" s="2"/>
      <c r="M444" s="2"/>
    </row>
    <row r="445" ht="15.75" customHeight="1">
      <c r="B445" s="2"/>
      <c r="C445" s="2"/>
      <c r="D445" s="2"/>
      <c r="E445" s="2"/>
      <c r="L445" s="2"/>
      <c r="M445" s="2"/>
    </row>
    <row r="446" ht="15.75" customHeight="1">
      <c r="B446" s="2"/>
      <c r="C446" s="2"/>
      <c r="D446" s="2"/>
      <c r="E446" s="2"/>
      <c r="L446" s="2"/>
      <c r="M446" s="2"/>
    </row>
    <row r="447" ht="15.75" customHeight="1">
      <c r="B447" s="2"/>
      <c r="C447" s="2"/>
      <c r="D447" s="2"/>
      <c r="E447" s="2"/>
      <c r="L447" s="2"/>
      <c r="M447" s="2"/>
    </row>
    <row r="448" ht="15.75" customHeight="1">
      <c r="B448" s="2"/>
      <c r="C448" s="2"/>
      <c r="D448" s="2"/>
      <c r="E448" s="2"/>
      <c r="L448" s="2"/>
      <c r="M448" s="2"/>
    </row>
    <row r="449" ht="15.75" customHeight="1">
      <c r="B449" s="2"/>
      <c r="C449" s="2"/>
      <c r="D449" s="2"/>
      <c r="E449" s="2"/>
      <c r="L449" s="2"/>
      <c r="M449" s="2"/>
    </row>
    <row r="450" ht="15.75" customHeight="1">
      <c r="B450" s="2"/>
      <c r="C450" s="2"/>
      <c r="D450" s="2"/>
      <c r="E450" s="2"/>
      <c r="L450" s="2"/>
      <c r="M450" s="2"/>
    </row>
    <row r="451" ht="15.75" customHeight="1">
      <c r="B451" s="2"/>
      <c r="C451" s="2"/>
      <c r="D451" s="2"/>
      <c r="E451" s="2"/>
      <c r="L451" s="2"/>
      <c r="M451" s="2"/>
    </row>
    <row r="452" ht="15.75" customHeight="1">
      <c r="B452" s="2"/>
      <c r="C452" s="2"/>
      <c r="D452" s="2"/>
      <c r="E452" s="2"/>
      <c r="L452" s="2"/>
      <c r="M452" s="2"/>
    </row>
    <row r="453" ht="15.75" customHeight="1">
      <c r="B453" s="2"/>
      <c r="C453" s="2"/>
      <c r="D453" s="2"/>
      <c r="E453" s="2"/>
      <c r="L453" s="2"/>
      <c r="M453" s="2"/>
    </row>
    <row r="454" ht="15.75" customHeight="1">
      <c r="B454" s="2"/>
      <c r="C454" s="2"/>
      <c r="D454" s="2"/>
      <c r="E454" s="2"/>
      <c r="L454" s="2"/>
      <c r="M454" s="2"/>
    </row>
    <row r="455" ht="15.75" customHeight="1">
      <c r="B455" s="2"/>
      <c r="C455" s="2"/>
      <c r="D455" s="2"/>
      <c r="E455" s="2"/>
      <c r="L455" s="2"/>
      <c r="M455" s="2"/>
    </row>
    <row r="456" ht="15.75" customHeight="1">
      <c r="B456" s="2"/>
      <c r="C456" s="2"/>
      <c r="D456" s="2"/>
      <c r="E456" s="2"/>
      <c r="L456" s="2"/>
      <c r="M456" s="2"/>
    </row>
    <row r="457" ht="15.75" customHeight="1">
      <c r="B457" s="2"/>
      <c r="C457" s="2"/>
      <c r="D457" s="2"/>
      <c r="E457" s="2"/>
      <c r="L457" s="2"/>
      <c r="M457" s="2"/>
    </row>
    <row r="458" ht="15.75" customHeight="1">
      <c r="B458" s="2"/>
      <c r="C458" s="2"/>
      <c r="D458" s="2"/>
      <c r="E458" s="2"/>
      <c r="L458" s="2"/>
      <c r="M458" s="2"/>
    </row>
    <row r="459" ht="15.75" customHeight="1">
      <c r="B459" s="2"/>
      <c r="C459" s="2"/>
      <c r="D459" s="2"/>
      <c r="E459" s="2"/>
      <c r="L459" s="2"/>
      <c r="M459" s="2"/>
    </row>
    <row r="460" ht="15.75" customHeight="1">
      <c r="B460" s="2"/>
      <c r="C460" s="2"/>
      <c r="D460" s="2"/>
      <c r="E460" s="2"/>
      <c r="L460" s="2"/>
      <c r="M460" s="2"/>
    </row>
    <row r="461" ht="15.75" customHeight="1">
      <c r="B461" s="2"/>
      <c r="C461" s="2"/>
      <c r="D461" s="2"/>
      <c r="E461" s="2"/>
      <c r="L461" s="2"/>
      <c r="M461" s="2"/>
    </row>
    <row r="462" ht="15.75" customHeight="1">
      <c r="B462" s="2"/>
      <c r="C462" s="2"/>
      <c r="D462" s="2"/>
      <c r="E462" s="2"/>
      <c r="L462" s="2"/>
      <c r="M462" s="2"/>
    </row>
    <row r="463" ht="15.75" customHeight="1">
      <c r="B463" s="2"/>
      <c r="C463" s="2"/>
      <c r="D463" s="2"/>
      <c r="E463" s="2"/>
      <c r="L463" s="2"/>
      <c r="M463" s="2"/>
    </row>
    <row r="464" ht="15.75" customHeight="1">
      <c r="B464" s="2"/>
      <c r="C464" s="2"/>
      <c r="D464" s="2"/>
      <c r="E464" s="2"/>
      <c r="L464" s="2"/>
      <c r="M464" s="2"/>
    </row>
    <row r="465" ht="15.75" customHeight="1">
      <c r="B465" s="2"/>
      <c r="C465" s="2"/>
      <c r="D465" s="2"/>
      <c r="E465" s="2"/>
      <c r="L465" s="2"/>
      <c r="M465" s="2"/>
    </row>
    <row r="466" ht="15.75" customHeight="1">
      <c r="B466" s="2"/>
      <c r="C466" s="2"/>
      <c r="D466" s="2"/>
      <c r="E466" s="2"/>
      <c r="L466" s="2"/>
      <c r="M466" s="2"/>
    </row>
    <row r="467" ht="15.75" customHeight="1">
      <c r="B467" s="2"/>
      <c r="C467" s="2"/>
      <c r="D467" s="2"/>
      <c r="E467" s="2"/>
      <c r="L467" s="2"/>
      <c r="M467" s="2"/>
    </row>
    <row r="468" ht="15.75" customHeight="1">
      <c r="B468" s="2"/>
      <c r="C468" s="2"/>
      <c r="D468" s="2"/>
      <c r="E468" s="2"/>
      <c r="L468" s="2"/>
      <c r="M468" s="2"/>
    </row>
    <row r="469" ht="15.75" customHeight="1">
      <c r="B469" s="2"/>
      <c r="C469" s="2"/>
      <c r="D469" s="2"/>
      <c r="E469" s="2"/>
      <c r="L469" s="2"/>
      <c r="M469" s="2"/>
    </row>
    <row r="470" ht="15.75" customHeight="1">
      <c r="B470" s="2"/>
      <c r="C470" s="2"/>
      <c r="D470" s="2"/>
      <c r="E470" s="2"/>
      <c r="L470" s="2"/>
      <c r="M470" s="2"/>
    </row>
    <row r="471" ht="15.75" customHeight="1">
      <c r="B471" s="2"/>
      <c r="C471" s="2"/>
      <c r="D471" s="2"/>
      <c r="E471" s="2"/>
      <c r="L471" s="2"/>
      <c r="M471" s="2"/>
    </row>
    <row r="472" ht="15.75" customHeight="1">
      <c r="B472" s="2"/>
      <c r="C472" s="2"/>
      <c r="D472" s="2"/>
      <c r="E472" s="2"/>
      <c r="L472" s="2"/>
      <c r="M472" s="2"/>
    </row>
    <row r="473" ht="15.75" customHeight="1">
      <c r="B473" s="2"/>
      <c r="C473" s="2"/>
      <c r="D473" s="2"/>
      <c r="E473" s="2"/>
      <c r="L473" s="2"/>
      <c r="M473" s="2"/>
    </row>
    <row r="474" ht="15.75" customHeight="1">
      <c r="B474" s="2"/>
      <c r="C474" s="2"/>
      <c r="D474" s="2"/>
      <c r="E474" s="2"/>
      <c r="L474" s="2"/>
      <c r="M474" s="2"/>
    </row>
    <row r="475" ht="15.75" customHeight="1">
      <c r="B475" s="2"/>
      <c r="C475" s="2"/>
      <c r="D475" s="2"/>
      <c r="E475" s="2"/>
      <c r="L475" s="2"/>
      <c r="M475" s="2"/>
    </row>
    <row r="476" ht="15.75" customHeight="1">
      <c r="B476" s="2"/>
      <c r="C476" s="2"/>
      <c r="D476" s="2"/>
      <c r="E476" s="2"/>
      <c r="L476" s="2"/>
      <c r="M476" s="2"/>
    </row>
    <row r="477" ht="15.75" customHeight="1">
      <c r="B477" s="2"/>
      <c r="C477" s="2"/>
      <c r="D477" s="2"/>
      <c r="E477" s="2"/>
      <c r="L477" s="2"/>
      <c r="M477" s="2"/>
    </row>
    <row r="478" ht="15.75" customHeight="1">
      <c r="B478" s="2"/>
      <c r="C478" s="2"/>
      <c r="D478" s="2"/>
      <c r="E478" s="2"/>
      <c r="L478" s="2"/>
      <c r="M478" s="2"/>
    </row>
    <row r="479" ht="15.75" customHeight="1">
      <c r="B479" s="2"/>
      <c r="C479" s="2"/>
      <c r="D479" s="2"/>
      <c r="E479" s="2"/>
      <c r="L479" s="2"/>
      <c r="M479" s="2"/>
    </row>
    <row r="480" ht="15.75" customHeight="1">
      <c r="B480" s="2"/>
      <c r="C480" s="2"/>
      <c r="D480" s="2"/>
      <c r="E480" s="2"/>
      <c r="L480" s="2"/>
      <c r="M480" s="2"/>
    </row>
    <row r="481" ht="15.75" customHeight="1">
      <c r="B481" s="2"/>
      <c r="C481" s="2"/>
      <c r="D481" s="2"/>
      <c r="E481" s="2"/>
      <c r="L481" s="2"/>
      <c r="M481" s="2"/>
    </row>
    <row r="482" ht="15.75" customHeight="1">
      <c r="B482" s="2"/>
      <c r="C482" s="2"/>
      <c r="D482" s="2"/>
      <c r="E482" s="2"/>
      <c r="L482" s="2"/>
      <c r="M482" s="2"/>
    </row>
    <row r="483" ht="15.75" customHeight="1">
      <c r="B483" s="2"/>
      <c r="C483" s="2"/>
      <c r="D483" s="2"/>
      <c r="E483" s="2"/>
      <c r="L483" s="2"/>
      <c r="M483" s="2"/>
    </row>
    <row r="484" ht="15.75" customHeight="1">
      <c r="B484" s="2"/>
      <c r="C484" s="2"/>
      <c r="D484" s="2"/>
      <c r="E484" s="2"/>
      <c r="L484" s="2"/>
      <c r="M484" s="2"/>
    </row>
    <row r="485" ht="15.75" customHeight="1">
      <c r="B485" s="2"/>
      <c r="C485" s="2"/>
      <c r="D485" s="2"/>
      <c r="E485" s="2"/>
      <c r="L485" s="2"/>
      <c r="M485" s="2"/>
    </row>
    <row r="486" ht="15.75" customHeight="1">
      <c r="B486" s="2"/>
      <c r="C486" s="2"/>
      <c r="D486" s="2"/>
      <c r="E486" s="2"/>
      <c r="L486" s="2"/>
      <c r="M486" s="2"/>
    </row>
    <row r="487" ht="15.75" customHeight="1">
      <c r="B487" s="2"/>
      <c r="C487" s="2"/>
      <c r="D487" s="2"/>
      <c r="E487" s="2"/>
      <c r="L487" s="2"/>
      <c r="M487" s="2"/>
    </row>
    <row r="488" ht="15.75" customHeight="1">
      <c r="B488" s="2"/>
      <c r="C488" s="2"/>
      <c r="D488" s="2"/>
      <c r="E488" s="2"/>
      <c r="L488" s="2"/>
      <c r="M488" s="2"/>
    </row>
    <row r="489" ht="15.75" customHeight="1">
      <c r="B489" s="2"/>
      <c r="C489" s="2"/>
      <c r="D489" s="2"/>
      <c r="E489" s="2"/>
      <c r="L489" s="2"/>
      <c r="M489" s="2"/>
    </row>
    <row r="490" ht="15.75" customHeight="1">
      <c r="B490" s="2"/>
      <c r="C490" s="2"/>
      <c r="D490" s="2"/>
      <c r="E490" s="2"/>
      <c r="L490" s="2"/>
      <c r="M490" s="2"/>
    </row>
    <row r="491" ht="15.75" customHeight="1">
      <c r="B491" s="2"/>
      <c r="C491" s="2"/>
      <c r="D491" s="2"/>
      <c r="E491" s="2"/>
      <c r="L491" s="2"/>
      <c r="M491" s="2"/>
    </row>
    <row r="492" ht="15.75" customHeight="1">
      <c r="B492" s="2"/>
      <c r="C492" s="2"/>
      <c r="D492" s="2"/>
      <c r="E492" s="2"/>
      <c r="L492" s="2"/>
      <c r="M492" s="2"/>
    </row>
    <row r="493" ht="15.75" customHeight="1">
      <c r="B493" s="2"/>
      <c r="C493" s="2"/>
      <c r="D493" s="2"/>
      <c r="E493" s="2"/>
      <c r="L493" s="2"/>
      <c r="M493" s="2"/>
    </row>
    <row r="494" ht="15.75" customHeight="1">
      <c r="B494" s="2"/>
      <c r="C494" s="2"/>
      <c r="D494" s="2"/>
      <c r="E494" s="2"/>
      <c r="L494" s="2"/>
      <c r="M494" s="2"/>
    </row>
    <row r="495" ht="15.75" customHeight="1">
      <c r="B495" s="2"/>
      <c r="C495" s="2"/>
      <c r="D495" s="2"/>
      <c r="E495" s="2"/>
      <c r="L495" s="2"/>
      <c r="M495" s="2"/>
    </row>
    <row r="496" ht="15.75" customHeight="1">
      <c r="B496" s="2"/>
      <c r="C496" s="2"/>
      <c r="D496" s="2"/>
      <c r="E496" s="2"/>
      <c r="L496" s="2"/>
      <c r="M496" s="2"/>
    </row>
    <row r="497" ht="15.75" customHeight="1">
      <c r="B497" s="2"/>
      <c r="C497" s="2"/>
      <c r="D497" s="2"/>
      <c r="E497" s="2"/>
      <c r="L497" s="2"/>
      <c r="M497" s="2"/>
    </row>
    <row r="498" ht="15.75" customHeight="1">
      <c r="B498" s="2"/>
      <c r="C498" s="2"/>
      <c r="D498" s="2"/>
      <c r="E498" s="2"/>
      <c r="L498" s="2"/>
      <c r="M498" s="2"/>
    </row>
    <row r="499" ht="15.75" customHeight="1">
      <c r="B499" s="2"/>
      <c r="C499" s="2"/>
      <c r="D499" s="2"/>
      <c r="E499" s="2"/>
      <c r="L499" s="2"/>
      <c r="M499" s="2"/>
    </row>
    <row r="500" ht="15.75" customHeight="1">
      <c r="B500" s="2"/>
      <c r="C500" s="2"/>
      <c r="D500" s="2"/>
      <c r="E500" s="2"/>
      <c r="L500" s="2"/>
      <c r="M500" s="2"/>
    </row>
    <row r="501" ht="15.75" customHeight="1">
      <c r="B501" s="2"/>
      <c r="C501" s="2"/>
      <c r="D501" s="2"/>
      <c r="E501" s="2"/>
      <c r="L501" s="2"/>
      <c r="M501" s="2"/>
    </row>
    <row r="502" ht="15.75" customHeight="1">
      <c r="B502" s="2"/>
      <c r="C502" s="2"/>
      <c r="D502" s="2"/>
      <c r="E502" s="2"/>
      <c r="L502" s="2"/>
      <c r="M502" s="2"/>
    </row>
    <row r="503" ht="15.75" customHeight="1">
      <c r="B503" s="2"/>
      <c r="C503" s="2"/>
      <c r="D503" s="2"/>
      <c r="E503" s="2"/>
      <c r="L503" s="2"/>
      <c r="M503" s="2"/>
    </row>
    <row r="504" ht="15.75" customHeight="1">
      <c r="B504" s="2"/>
      <c r="C504" s="2"/>
      <c r="D504" s="2"/>
      <c r="E504" s="2"/>
      <c r="L504" s="2"/>
      <c r="M504" s="2"/>
    </row>
    <row r="505" ht="15.75" customHeight="1">
      <c r="B505" s="2"/>
      <c r="C505" s="2"/>
      <c r="D505" s="2"/>
      <c r="E505" s="2"/>
      <c r="L505" s="2"/>
      <c r="M505" s="2"/>
    </row>
    <row r="506" ht="15.75" customHeight="1">
      <c r="B506" s="2"/>
      <c r="C506" s="2"/>
      <c r="D506" s="2"/>
      <c r="E506" s="2"/>
      <c r="L506" s="2"/>
      <c r="M506" s="2"/>
    </row>
    <row r="507" ht="15.75" customHeight="1">
      <c r="B507" s="2"/>
      <c r="C507" s="2"/>
      <c r="D507" s="2"/>
      <c r="E507" s="2"/>
      <c r="L507" s="2"/>
      <c r="M507" s="2"/>
    </row>
    <row r="508" ht="15.75" customHeight="1">
      <c r="B508" s="2"/>
      <c r="C508" s="2"/>
      <c r="D508" s="2"/>
      <c r="E508" s="2"/>
      <c r="L508" s="2"/>
      <c r="M508" s="2"/>
    </row>
    <row r="509" ht="15.75" customHeight="1">
      <c r="B509" s="2"/>
      <c r="C509" s="2"/>
      <c r="D509" s="2"/>
      <c r="E509" s="2"/>
      <c r="L509" s="2"/>
      <c r="M509" s="2"/>
    </row>
    <row r="510" ht="15.75" customHeight="1">
      <c r="B510" s="2"/>
      <c r="C510" s="2"/>
      <c r="D510" s="2"/>
      <c r="E510" s="2"/>
      <c r="L510" s="2"/>
      <c r="M510" s="2"/>
    </row>
    <row r="511" ht="15.75" customHeight="1">
      <c r="B511" s="2"/>
      <c r="C511" s="2"/>
      <c r="D511" s="2"/>
      <c r="E511" s="2"/>
      <c r="L511" s="2"/>
      <c r="M511" s="2"/>
    </row>
    <row r="512" ht="15.75" customHeight="1">
      <c r="B512" s="2"/>
      <c r="C512" s="2"/>
      <c r="D512" s="2"/>
      <c r="E512" s="2"/>
      <c r="L512" s="2"/>
      <c r="M512" s="2"/>
    </row>
    <row r="513" ht="15.75" customHeight="1">
      <c r="B513" s="2"/>
      <c r="C513" s="2"/>
      <c r="D513" s="2"/>
      <c r="E513" s="2"/>
      <c r="L513" s="2"/>
      <c r="M513" s="2"/>
    </row>
    <row r="514" ht="15.75" customHeight="1">
      <c r="B514" s="2"/>
      <c r="C514" s="2"/>
      <c r="D514" s="2"/>
      <c r="E514" s="2"/>
      <c r="L514" s="2"/>
      <c r="M514" s="2"/>
    </row>
    <row r="515" ht="15.75" customHeight="1">
      <c r="B515" s="2"/>
      <c r="C515" s="2"/>
      <c r="D515" s="2"/>
      <c r="E515" s="2"/>
      <c r="L515" s="2"/>
      <c r="M515" s="2"/>
    </row>
    <row r="516" ht="15.75" customHeight="1">
      <c r="B516" s="2"/>
      <c r="C516" s="2"/>
      <c r="D516" s="2"/>
      <c r="E516" s="2"/>
      <c r="L516" s="2"/>
      <c r="M516" s="2"/>
    </row>
    <row r="517" ht="15.75" customHeight="1">
      <c r="B517" s="2"/>
      <c r="C517" s="2"/>
      <c r="D517" s="2"/>
      <c r="E517" s="2"/>
      <c r="L517" s="2"/>
      <c r="M517" s="2"/>
    </row>
    <row r="518" ht="15.75" customHeight="1">
      <c r="B518" s="2"/>
      <c r="C518" s="2"/>
      <c r="D518" s="2"/>
      <c r="E518" s="2"/>
      <c r="L518" s="2"/>
      <c r="M518" s="2"/>
    </row>
    <row r="519" ht="15.75" customHeight="1">
      <c r="B519" s="2"/>
      <c r="C519" s="2"/>
      <c r="D519" s="2"/>
      <c r="E519" s="2"/>
      <c r="L519" s="2"/>
      <c r="M519" s="2"/>
    </row>
    <row r="520" ht="15.75" customHeight="1">
      <c r="B520" s="2"/>
      <c r="C520" s="2"/>
      <c r="D520" s="2"/>
      <c r="E520" s="2"/>
      <c r="L520" s="2"/>
      <c r="M520" s="2"/>
    </row>
    <row r="521" ht="15.75" customHeight="1">
      <c r="B521" s="2"/>
      <c r="C521" s="2"/>
      <c r="D521" s="2"/>
      <c r="E521" s="2"/>
      <c r="L521" s="2"/>
      <c r="M521" s="2"/>
    </row>
    <row r="522" ht="15.75" customHeight="1">
      <c r="B522" s="2"/>
      <c r="C522" s="2"/>
      <c r="D522" s="2"/>
      <c r="E522" s="2"/>
      <c r="L522" s="2"/>
      <c r="M522" s="2"/>
    </row>
    <row r="523" ht="15.75" customHeight="1">
      <c r="B523" s="2"/>
      <c r="C523" s="2"/>
      <c r="D523" s="2"/>
      <c r="E523" s="2"/>
      <c r="L523" s="2"/>
      <c r="M523" s="2"/>
    </row>
    <row r="524" ht="15.75" customHeight="1">
      <c r="B524" s="2"/>
      <c r="C524" s="2"/>
      <c r="D524" s="2"/>
      <c r="E524" s="2"/>
      <c r="L524" s="2"/>
      <c r="M524" s="2"/>
    </row>
    <row r="525" ht="15.75" customHeight="1">
      <c r="B525" s="2"/>
      <c r="C525" s="2"/>
      <c r="D525" s="2"/>
      <c r="E525" s="2"/>
      <c r="L525" s="2"/>
      <c r="M525" s="2"/>
    </row>
    <row r="526" ht="15.75" customHeight="1">
      <c r="B526" s="2"/>
      <c r="C526" s="2"/>
      <c r="D526" s="2"/>
      <c r="E526" s="2"/>
      <c r="L526" s="2"/>
      <c r="M526" s="2"/>
    </row>
    <row r="527" ht="15.75" customHeight="1">
      <c r="B527" s="2"/>
      <c r="C527" s="2"/>
      <c r="D527" s="2"/>
      <c r="E527" s="2"/>
      <c r="L527" s="2"/>
      <c r="M527" s="2"/>
    </row>
    <row r="528" ht="15.75" customHeight="1">
      <c r="B528" s="2"/>
      <c r="C528" s="2"/>
      <c r="D528" s="2"/>
      <c r="E528" s="2"/>
      <c r="L528" s="2"/>
      <c r="M528" s="2"/>
    </row>
    <row r="529" ht="15.75" customHeight="1">
      <c r="B529" s="2"/>
      <c r="C529" s="2"/>
      <c r="D529" s="2"/>
      <c r="E529" s="2"/>
      <c r="L529" s="2"/>
      <c r="M529" s="2"/>
    </row>
    <row r="530" ht="15.75" customHeight="1">
      <c r="B530" s="2"/>
      <c r="C530" s="2"/>
      <c r="D530" s="2"/>
      <c r="E530" s="2"/>
      <c r="L530" s="2"/>
      <c r="M530" s="2"/>
    </row>
    <row r="531" ht="15.75" customHeight="1">
      <c r="B531" s="2"/>
      <c r="C531" s="2"/>
      <c r="D531" s="2"/>
      <c r="E531" s="2"/>
      <c r="L531" s="2"/>
      <c r="M531" s="2"/>
    </row>
    <row r="532" ht="15.75" customHeight="1">
      <c r="B532" s="2"/>
      <c r="C532" s="2"/>
      <c r="D532" s="2"/>
      <c r="E532" s="2"/>
      <c r="L532" s="2"/>
      <c r="M532" s="2"/>
    </row>
    <row r="533" ht="15.75" customHeight="1">
      <c r="B533" s="2"/>
      <c r="C533" s="2"/>
      <c r="D533" s="2"/>
      <c r="E533" s="2"/>
      <c r="L533" s="2"/>
      <c r="M533" s="2"/>
    </row>
    <row r="534" ht="15.75" customHeight="1">
      <c r="B534" s="2"/>
      <c r="C534" s="2"/>
      <c r="D534" s="2"/>
      <c r="E534" s="2"/>
      <c r="L534" s="2"/>
      <c r="M534" s="2"/>
    </row>
    <row r="535" ht="15.75" customHeight="1">
      <c r="B535" s="2"/>
      <c r="C535" s="2"/>
      <c r="D535" s="2"/>
      <c r="E535" s="2"/>
      <c r="L535" s="2"/>
      <c r="M535" s="2"/>
    </row>
    <row r="536" ht="15.75" customHeight="1">
      <c r="B536" s="2"/>
      <c r="C536" s="2"/>
      <c r="D536" s="2"/>
      <c r="E536" s="2"/>
      <c r="L536" s="2"/>
      <c r="M536" s="2"/>
    </row>
    <row r="537" ht="15.75" customHeight="1">
      <c r="B537" s="2"/>
      <c r="C537" s="2"/>
      <c r="D537" s="2"/>
      <c r="E537" s="2"/>
      <c r="L537" s="2"/>
      <c r="M537" s="2"/>
    </row>
    <row r="538" ht="15.75" customHeight="1">
      <c r="B538" s="2"/>
      <c r="C538" s="2"/>
      <c r="D538" s="2"/>
      <c r="E538" s="2"/>
      <c r="L538" s="2"/>
      <c r="M538" s="2"/>
    </row>
    <row r="539" ht="15.75" customHeight="1">
      <c r="B539" s="2"/>
      <c r="C539" s="2"/>
      <c r="D539" s="2"/>
      <c r="E539" s="2"/>
      <c r="L539" s="2"/>
      <c r="M539" s="2"/>
    </row>
    <row r="540" ht="15.75" customHeight="1">
      <c r="B540" s="2"/>
      <c r="C540" s="2"/>
      <c r="D540" s="2"/>
      <c r="E540" s="2"/>
      <c r="L540" s="2"/>
      <c r="M540" s="2"/>
    </row>
    <row r="541" ht="15.75" customHeight="1">
      <c r="B541" s="2"/>
      <c r="C541" s="2"/>
      <c r="D541" s="2"/>
      <c r="E541" s="2"/>
      <c r="L541" s="2"/>
      <c r="M541" s="2"/>
    </row>
    <row r="542" ht="15.75" customHeight="1">
      <c r="B542" s="2"/>
      <c r="C542" s="2"/>
      <c r="D542" s="2"/>
      <c r="E542" s="2"/>
      <c r="L542" s="2"/>
      <c r="M542" s="2"/>
    </row>
    <row r="543" ht="15.75" customHeight="1">
      <c r="B543" s="2"/>
      <c r="C543" s="2"/>
      <c r="D543" s="2"/>
      <c r="E543" s="2"/>
      <c r="L543" s="2"/>
      <c r="M543" s="2"/>
    </row>
    <row r="544" ht="15.75" customHeight="1">
      <c r="B544" s="2"/>
      <c r="C544" s="2"/>
      <c r="D544" s="2"/>
      <c r="E544" s="2"/>
      <c r="L544" s="2"/>
      <c r="M544" s="2"/>
    </row>
    <row r="545" ht="15.75" customHeight="1">
      <c r="B545" s="2"/>
      <c r="C545" s="2"/>
      <c r="D545" s="2"/>
      <c r="E545" s="2"/>
      <c r="L545" s="2"/>
      <c r="M545" s="2"/>
    </row>
    <row r="546" ht="15.75" customHeight="1">
      <c r="B546" s="2"/>
      <c r="C546" s="2"/>
      <c r="D546" s="2"/>
      <c r="E546" s="2"/>
      <c r="L546" s="2"/>
      <c r="M546" s="2"/>
    </row>
    <row r="547" ht="15.75" customHeight="1">
      <c r="B547" s="2"/>
      <c r="C547" s="2"/>
      <c r="D547" s="2"/>
      <c r="E547" s="2"/>
      <c r="L547" s="2"/>
      <c r="M547" s="2"/>
    </row>
    <row r="548" ht="15.75" customHeight="1">
      <c r="B548" s="2"/>
      <c r="C548" s="2"/>
      <c r="D548" s="2"/>
      <c r="E548" s="2"/>
      <c r="L548" s="2"/>
      <c r="M548" s="2"/>
    </row>
    <row r="549" ht="15.75" customHeight="1">
      <c r="B549" s="2"/>
      <c r="C549" s="2"/>
      <c r="D549" s="2"/>
      <c r="E549" s="2"/>
      <c r="L549" s="2"/>
      <c r="M549" s="2"/>
    </row>
    <row r="550" ht="15.75" customHeight="1">
      <c r="B550" s="2"/>
      <c r="C550" s="2"/>
      <c r="D550" s="2"/>
      <c r="E550" s="2"/>
      <c r="L550" s="2"/>
      <c r="M550" s="2"/>
    </row>
    <row r="551" ht="15.75" customHeight="1">
      <c r="B551" s="2"/>
      <c r="C551" s="2"/>
      <c r="D551" s="2"/>
      <c r="E551" s="2"/>
      <c r="L551" s="2"/>
      <c r="M551" s="2"/>
    </row>
    <row r="552" ht="15.75" customHeight="1">
      <c r="B552" s="2"/>
      <c r="C552" s="2"/>
      <c r="D552" s="2"/>
      <c r="E552" s="2"/>
      <c r="L552" s="2"/>
      <c r="M552" s="2"/>
    </row>
    <row r="553" ht="15.75" customHeight="1">
      <c r="B553" s="2"/>
      <c r="C553" s="2"/>
      <c r="D553" s="2"/>
      <c r="E553" s="2"/>
      <c r="L553" s="2"/>
      <c r="M553" s="2"/>
    </row>
    <row r="554" ht="15.75" customHeight="1">
      <c r="B554" s="2"/>
      <c r="C554" s="2"/>
      <c r="D554" s="2"/>
      <c r="E554" s="2"/>
      <c r="L554" s="2"/>
      <c r="M554" s="2"/>
    </row>
    <row r="555" ht="15.75" customHeight="1">
      <c r="B555" s="2"/>
      <c r="C555" s="2"/>
      <c r="D555" s="2"/>
      <c r="E555" s="2"/>
      <c r="L555" s="2"/>
      <c r="M555" s="2"/>
    </row>
    <row r="556" ht="15.75" customHeight="1">
      <c r="B556" s="2"/>
      <c r="C556" s="2"/>
      <c r="D556" s="2"/>
      <c r="E556" s="2"/>
      <c r="L556" s="2"/>
      <c r="M556" s="2"/>
    </row>
    <row r="557" ht="15.75" customHeight="1">
      <c r="B557" s="2"/>
      <c r="C557" s="2"/>
      <c r="D557" s="2"/>
      <c r="E557" s="2"/>
      <c r="L557" s="2"/>
      <c r="M557" s="2"/>
    </row>
    <row r="558" ht="15.75" customHeight="1">
      <c r="B558" s="2"/>
      <c r="C558" s="2"/>
      <c r="D558" s="2"/>
      <c r="E558" s="2"/>
      <c r="L558" s="2"/>
      <c r="M558" s="2"/>
    </row>
    <row r="559" ht="15.75" customHeight="1">
      <c r="B559" s="2"/>
      <c r="C559" s="2"/>
      <c r="D559" s="2"/>
      <c r="E559" s="2"/>
      <c r="L559" s="2"/>
      <c r="M559" s="2"/>
    </row>
    <row r="560" ht="15.75" customHeight="1">
      <c r="B560" s="2"/>
      <c r="C560" s="2"/>
      <c r="D560" s="2"/>
      <c r="E560" s="2"/>
      <c r="L560" s="2"/>
      <c r="M560" s="2"/>
    </row>
    <row r="561" ht="15.75" customHeight="1">
      <c r="B561" s="2"/>
      <c r="C561" s="2"/>
      <c r="D561" s="2"/>
      <c r="E561" s="2"/>
      <c r="L561" s="2"/>
      <c r="M561" s="2"/>
    </row>
    <row r="562" ht="15.75" customHeight="1">
      <c r="B562" s="2"/>
      <c r="C562" s="2"/>
      <c r="D562" s="2"/>
      <c r="E562" s="2"/>
      <c r="L562" s="2"/>
      <c r="M562" s="2"/>
    </row>
    <row r="563" ht="15.75" customHeight="1">
      <c r="B563" s="2"/>
      <c r="C563" s="2"/>
      <c r="D563" s="2"/>
      <c r="E563" s="2"/>
      <c r="L563" s="2"/>
      <c r="M563" s="2"/>
    </row>
    <row r="564" ht="15.75" customHeight="1">
      <c r="B564" s="2"/>
      <c r="C564" s="2"/>
      <c r="D564" s="2"/>
      <c r="E564" s="2"/>
      <c r="L564" s="2"/>
      <c r="M564" s="2"/>
    </row>
    <row r="565" ht="15.75" customHeight="1">
      <c r="B565" s="2"/>
      <c r="C565" s="2"/>
      <c r="D565" s="2"/>
      <c r="E565" s="2"/>
      <c r="L565" s="2"/>
      <c r="M565" s="2"/>
    </row>
    <row r="566" ht="15.75" customHeight="1">
      <c r="B566" s="2"/>
      <c r="C566" s="2"/>
      <c r="D566" s="2"/>
      <c r="E566" s="2"/>
      <c r="L566" s="2"/>
      <c r="M566" s="2"/>
    </row>
    <row r="567" ht="15.75" customHeight="1">
      <c r="B567" s="2"/>
      <c r="C567" s="2"/>
      <c r="D567" s="2"/>
      <c r="E567" s="2"/>
      <c r="L567" s="2"/>
      <c r="M567" s="2"/>
    </row>
    <row r="568" ht="15.75" customHeight="1">
      <c r="B568" s="2"/>
      <c r="C568" s="2"/>
      <c r="D568" s="2"/>
      <c r="E568" s="2"/>
      <c r="L568" s="2"/>
      <c r="M568" s="2"/>
    </row>
    <row r="569" ht="15.75" customHeight="1">
      <c r="B569" s="2"/>
      <c r="C569" s="2"/>
      <c r="D569" s="2"/>
      <c r="E569" s="2"/>
      <c r="L569" s="2"/>
      <c r="M569" s="2"/>
    </row>
    <row r="570" ht="15.75" customHeight="1">
      <c r="B570" s="2"/>
      <c r="C570" s="2"/>
      <c r="D570" s="2"/>
      <c r="E570" s="2"/>
      <c r="L570" s="2"/>
      <c r="M570" s="2"/>
    </row>
    <row r="571" ht="15.75" customHeight="1">
      <c r="B571" s="2"/>
      <c r="C571" s="2"/>
      <c r="D571" s="2"/>
      <c r="E571" s="2"/>
      <c r="L571" s="2"/>
      <c r="M571" s="2"/>
    </row>
    <row r="572" ht="15.75" customHeight="1">
      <c r="B572" s="2"/>
      <c r="C572" s="2"/>
      <c r="D572" s="2"/>
      <c r="E572" s="2"/>
      <c r="L572" s="2"/>
      <c r="M572" s="2"/>
    </row>
    <row r="573" ht="15.75" customHeight="1">
      <c r="B573" s="2"/>
      <c r="C573" s="2"/>
      <c r="D573" s="2"/>
      <c r="E573" s="2"/>
      <c r="L573" s="2"/>
      <c r="M573" s="2"/>
    </row>
    <row r="574" ht="15.75" customHeight="1">
      <c r="B574" s="2"/>
      <c r="C574" s="2"/>
      <c r="D574" s="2"/>
      <c r="E574" s="2"/>
      <c r="L574" s="2"/>
      <c r="M574" s="2"/>
    </row>
    <row r="575" ht="15.75" customHeight="1">
      <c r="B575" s="2"/>
      <c r="C575" s="2"/>
      <c r="D575" s="2"/>
      <c r="E575" s="2"/>
      <c r="L575" s="2"/>
      <c r="M575" s="2"/>
    </row>
    <row r="576" ht="15.75" customHeight="1">
      <c r="B576" s="2"/>
      <c r="C576" s="2"/>
      <c r="D576" s="2"/>
      <c r="E576" s="2"/>
      <c r="L576" s="2"/>
      <c r="M576" s="2"/>
    </row>
    <row r="577" ht="15.75" customHeight="1">
      <c r="B577" s="2"/>
      <c r="C577" s="2"/>
      <c r="D577" s="2"/>
      <c r="E577" s="2"/>
      <c r="L577" s="2"/>
      <c r="M577" s="2"/>
    </row>
    <row r="578" ht="15.75" customHeight="1">
      <c r="B578" s="2"/>
      <c r="C578" s="2"/>
      <c r="D578" s="2"/>
      <c r="E578" s="2"/>
      <c r="L578" s="2"/>
      <c r="M578" s="2"/>
    </row>
    <row r="579" ht="15.75" customHeight="1">
      <c r="B579" s="2"/>
      <c r="C579" s="2"/>
      <c r="D579" s="2"/>
      <c r="E579" s="2"/>
      <c r="L579" s="2"/>
      <c r="M579" s="2"/>
    </row>
    <row r="580" ht="15.75" customHeight="1">
      <c r="B580" s="2"/>
      <c r="C580" s="2"/>
      <c r="D580" s="2"/>
      <c r="E580" s="2"/>
      <c r="L580" s="2"/>
      <c r="M580" s="2"/>
    </row>
    <row r="581" ht="15.75" customHeight="1">
      <c r="B581" s="2"/>
      <c r="C581" s="2"/>
      <c r="D581" s="2"/>
      <c r="E581" s="2"/>
      <c r="L581" s="2"/>
      <c r="M581" s="2"/>
    </row>
    <row r="582" ht="15.75" customHeight="1">
      <c r="B582" s="2"/>
      <c r="C582" s="2"/>
      <c r="D582" s="2"/>
      <c r="E582" s="2"/>
      <c r="L582" s="2"/>
      <c r="M582" s="2"/>
    </row>
    <row r="583" ht="15.75" customHeight="1">
      <c r="B583" s="2"/>
      <c r="C583" s="2"/>
      <c r="D583" s="2"/>
      <c r="E583" s="2"/>
      <c r="L583" s="2"/>
      <c r="M583" s="2"/>
    </row>
    <row r="584" ht="15.75" customHeight="1">
      <c r="B584" s="2"/>
      <c r="C584" s="2"/>
      <c r="D584" s="2"/>
      <c r="E584" s="2"/>
      <c r="L584" s="2"/>
      <c r="M584" s="2"/>
    </row>
    <row r="585" ht="15.75" customHeight="1">
      <c r="B585" s="2"/>
      <c r="C585" s="2"/>
      <c r="D585" s="2"/>
      <c r="E585" s="2"/>
      <c r="L585" s="2"/>
      <c r="M585" s="2"/>
    </row>
    <row r="586" ht="15.75" customHeight="1">
      <c r="B586" s="2"/>
      <c r="C586" s="2"/>
      <c r="D586" s="2"/>
      <c r="E586" s="2"/>
      <c r="L586" s="2"/>
      <c r="M586" s="2"/>
    </row>
    <row r="587" ht="15.75" customHeight="1">
      <c r="B587" s="2"/>
      <c r="C587" s="2"/>
      <c r="D587" s="2"/>
      <c r="E587" s="2"/>
      <c r="L587" s="2"/>
      <c r="M587" s="2"/>
    </row>
    <row r="588" ht="15.75" customHeight="1">
      <c r="B588" s="2"/>
      <c r="C588" s="2"/>
      <c r="D588" s="2"/>
      <c r="E588" s="2"/>
      <c r="L588" s="2"/>
      <c r="M588" s="2"/>
    </row>
    <row r="589" ht="15.75" customHeight="1">
      <c r="B589" s="2"/>
      <c r="C589" s="2"/>
      <c r="D589" s="2"/>
      <c r="E589" s="2"/>
      <c r="L589" s="2"/>
      <c r="M589" s="2"/>
    </row>
    <row r="590" ht="15.75" customHeight="1">
      <c r="B590" s="2"/>
      <c r="C590" s="2"/>
      <c r="D590" s="2"/>
      <c r="E590" s="2"/>
      <c r="L590" s="2"/>
      <c r="M590" s="2"/>
    </row>
    <row r="591" ht="15.75" customHeight="1">
      <c r="B591" s="2"/>
      <c r="C591" s="2"/>
      <c r="D591" s="2"/>
      <c r="E591" s="2"/>
      <c r="L591" s="2"/>
      <c r="M591" s="2"/>
    </row>
    <row r="592" ht="15.75" customHeight="1">
      <c r="B592" s="2"/>
      <c r="C592" s="2"/>
      <c r="D592" s="2"/>
      <c r="E592" s="2"/>
      <c r="L592" s="2"/>
      <c r="M592" s="2"/>
    </row>
    <row r="593" ht="15.75" customHeight="1">
      <c r="B593" s="2"/>
      <c r="C593" s="2"/>
      <c r="D593" s="2"/>
      <c r="E593" s="2"/>
      <c r="L593" s="2"/>
      <c r="M593" s="2"/>
    </row>
    <row r="594" ht="15.75" customHeight="1">
      <c r="B594" s="2"/>
      <c r="C594" s="2"/>
      <c r="D594" s="2"/>
      <c r="E594" s="2"/>
      <c r="L594" s="2"/>
      <c r="M594" s="2"/>
    </row>
    <row r="595" ht="15.75" customHeight="1">
      <c r="B595" s="2"/>
      <c r="C595" s="2"/>
      <c r="D595" s="2"/>
      <c r="E595" s="2"/>
      <c r="L595" s="2"/>
      <c r="M595" s="2"/>
    </row>
    <row r="596" ht="15.75" customHeight="1">
      <c r="B596" s="2"/>
      <c r="C596" s="2"/>
      <c r="D596" s="2"/>
      <c r="E596" s="2"/>
      <c r="L596" s="2"/>
      <c r="M596" s="2"/>
    </row>
    <row r="597" ht="15.75" customHeight="1">
      <c r="B597" s="2"/>
      <c r="C597" s="2"/>
      <c r="D597" s="2"/>
      <c r="E597" s="2"/>
      <c r="L597" s="2"/>
      <c r="M597" s="2"/>
    </row>
    <row r="598" ht="15.75" customHeight="1">
      <c r="B598" s="2"/>
      <c r="C598" s="2"/>
      <c r="D598" s="2"/>
      <c r="E598" s="2"/>
      <c r="L598" s="2"/>
      <c r="M598" s="2"/>
    </row>
    <row r="599" ht="15.75" customHeight="1">
      <c r="B599" s="2"/>
      <c r="C599" s="2"/>
      <c r="D599" s="2"/>
      <c r="E599" s="2"/>
      <c r="L599" s="2"/>
      <c r="M599" s="2"/>
    </row>
    <row r="600" ht="15.75" customHeight="1">
      <c r="B600" s="2"/>
      <c r="C600" s="2"/>
      <c r="D600" s="2"/>
      <c r="E600" s="2"/>
      <c r="L600" s="2"/>
      <c r="M600" s="2"/>
    </row>
    <row r="601" ht="15.75" customHeight="1">
      <c r="B601" s="2"/>
      <c r="C601" s="2"/>
      <c r="D601" s="2"/>
      <c r="E601" s="2"/>
      <c r="L601" s="2"/>
      <c r="M601" s="2"/>
    </row>
    <row r="602" ht="15.75" customHeight="1">
      <c r="B602" s="2"/>
      <c r="C602" s="2"/>
      <c r="D602" s="2"/>
      <c r="E602" s="2"/>
      <c r="L602" s="2"/>
      <c r="M602" s="2"/>
    </row>
    <row r="603" ht="15.75" customHeight="1">
      <c r="B603" s="2"/>
      <c r="C603" s="2"/>
      <c r="D603" s="2"/>
      <c r="E603" s="2"/>
      <c r="L603" s="2"/>
      <c r="M603" s="2"/>
    </row>
    <row r="604" ht="15.75" customHeight="1">
      <c r="B604" s="2"/>
      <c r="C604" s="2"/>
      <c r="D604" s="2"/>
      <c r="E604" s="2"/>
      <c r="L604" s="2"/>
      <c r="M604" s="2"/>
    </row>
    <row r="605" ht="15.75" customHeight="1">
      <c r="B605" s="2"/>
      <c r="C605" s="2"/>
      <c r="D605" s="2"/>
      <c r="E605" s="2"/>
      <c r="L605" s="2"/>
      <c r="M605" s="2"/>
    </row>
    <row r="606" ht="15.75" customHeight="1">
      <c r="B606" s="2"/>
      <c r="C606" s="2"/>
      <c r="D606" s="2"/>
      <c r="E606" s="2"/>
      <c r="L606" s="2"/>
      <c r="M606" s="2"/>
    </row>
    <row r="607" ht="15.75" customHeight="1">
      <c r="B607" s="2"/>
      <c r="C607" s="2"/>
      <c r="D607" s="2"/>
      <c r="E607" s="2"/>
      <c r="L607" s="2"/>
      <c r="M607" s="2"/>
    </row>
    <row r="608" ht="15.75" customHeight="1">
      <c r="B608" s="2"/>
      <c r="C608" s="2"/>
      <c r="D608" s="2"/>
      <c r="E608" s="2"/>
      <c r="L608" s="2"/>
      <c r="M608" s="2"/>
    </row>
    <row r="609" ht="15.75" customHeight="1">
      <c r="B609" s="2"/>
      <c r="C609" s="2"/>
      <c r="D609" s="2"/>
      <c r="E609" s="2"/>
      <c r="L609" s="2"/>
      <c r="M609" s="2"/>
    </row>
    <row r="610" ht="15.75" customHeight="1">
      <c r="B610" s="2"/>
      <c r="C610" s="2"/>
      <c r="D610" s="2"/>
      <c r="E610" s="2"/>
      <c r="L610" s="2"/>
      <c r="M610" s="2"/>
    </row>
    <row r="611" ht="15.75" customHeight="1">
      <c r="B611" s="2"/>
      <c r="C611" s="2"/>
      <c r="D611" s="2"/>
      <c r="E611" s="2"/>
      <c r="L611" s="2"/>
      <c r="M611" s="2"/>
    </row>
    <row r="612" ht="15.75" customHeight="1">
      <c r="B612" s="2"/>
      <c r="C612" s="2"/>
      <c r="D612" s="2"/>
      <c r="E612" s="2"/>
      <c r="L612" s="2"/>
      <c r="M612" s="2"/>
    </row>
    <row r="613" ht="15.75" customHeight="1">
      <c r="B613" s="2"/>
      <c r="C613" s="2"/>
      <c r="D613" s="2"/>
      <c r="E613" s="2"/>
      <c r="L613" s="2"/>
      <c r="M613" s="2"/>
    </row>
    <row r="614" ht="15.75" customHeight="1">
      <c r="B614" s="2"/>
      <c r="C614" s="2"/>
      <c r="D614" s="2"/>
      <c r="E614" s="2"/>
      <c r="L614" s="2"/>
      <c r="M614" s="2"/>
    </row>
    <row r="615" ht="15.75" customHeight="1">
      <c r="B615" s="2"/>
      <c r="C615" s="2"/>
      <c r="D615" s="2"/>
      <c r="E615" s="2"/>
      <c r="L615" s="2"/>
      <c r="M615" s="2"/>
    </row>
    <row r="616" ht="15.75" customHeight="1">
      <c r="B616" s="2"/>
      <c r="C616" s="2"/>
      <c r="D616" s="2"/>
      <c r="E616" s="2"/>
      <c r="L616" s="2"/>
      <c r="M616" s="2"/>
    </row>
    <row r="617" ht="15.75" customHeight="1">
      <c r="B617" s="2"/>
      <c r="C617" s="2"/>
      <c r="D617" s="2"/>
      <c r="E617" s="2"/>
      <c r="L617" s="2"/>
      <c r="M617" s="2"/>
    </row>
    <row r="618" ht="15.75" customHeight="1">
      <c r="B618" s="2"/>
      <c r="C618" s="2"/>
      <c r="D618" s="2"/>
      <c r="E618" s="2"/>
      <c r="L618" s="2"/>
      <c r="M618" s="2"/>
    </row>
    <row r="619" ht="15.75" customHeight="1">
      <c r="B619" s="2"/>
      <c r="C619" s="2"/>
      <c r="D619" s="2"/>
      <c r="E619" s="2"/>
      <c r="L619" s="2"/>
      <c r="M619" s="2"/>
    </row>
    <row r="620" ht="15.75" customHeight="1">
      <c r="B620" s="2"/>
      <c r="C620" s="2"/>
      <c r="D620" s="2"/>
      <c r="E620" s="2"/>
      <c r="L620" s="2"/>
      <c r="M620" s="2"/>
    </row>
    <row r="621" ht="15.75" customHeight="1">
      <c r="B621" s="2"/>
      <c r="C621" s="2"/>
      <c r="D621" s="2"/>
      <c r="E621" s="2"/>
      <c r="L621" s="2"/>
      <c r="M621" s="2"/>
    </row>
    <row r="622" ht="15.75" customHeight="1">
      <c r="B622" s="2"/>
      <c r="C622" s="2"/>
      <c r="D622" s="2"/>
      <c r="E622" s="2"/>
      <c r="L622" s="2"/>
      <c r="M622" s="2"/>
    </row>
    <row r="623" ht="15.75" customHeight="1">
      <c r="B623" s="2"/>
      <c r="C623" s="2"/>
      <c r="D623" s="2"/>
      <c r="E623" s="2"/>
      <c r="L623" s="2"/>
      <c r="M623" s="2"/>
    </row>
    <row r="624" ht="15.75" customHeight="1">
      <c r="B624" s="2"/>
      <c r="C624" s="2"/>
      <c r="D624" s="2"/>
      <c r="E624" s="2"/>
      <c r="L624" s="2"/>
      <c r="M624" s="2"/>
    </row>
    <row r="625" ht="15.75" customHeight="1">
      <c r="B625" s="2"/>
      <c r="C625" s="2"/>
      <c r="D625" s="2"/>
      <c r="E625" s="2"/>
      <c r="L625" s="2"/>
      <c r="M625" s="2"/>
    </row>
    <row r="626" ht="15.75" customHeight="1">
      <c r="B626" s="2"/>
      <c r="C626" s="2"/>
      <c r="D626" s="2"/>
      <c r="E626" s="2"/>
      <c r="L626" s="2"/>
      <c r="M626" s="2"/>
    </row>
    <row r="627" ht="15.75" customHeight="1">
      <c r="B627" s="2"/>
      <c r="C627" s="2"/>
      <c r="D627" s="2"/>
      <c r="E627" s="2"/>
      <c r="L627" s="2"/>
      <c r="M627" s="2"/>
    </row>
    <row r="628" ht="15.75" customHeight="1">
      <c r="B628" s="2"/>
      <c r="C628" s="2"/>
      <c r="D628" s="2"/>
      <c r="E628" s="2"/>
      <c r="L628" s="2"/>
      <c r="M628" s="2"/>
    </row>
    <row r="629" ht="15.75" customHeight="1">
      <c r="B629" s="2"/>
      <c r="C629" s="2"/>
      <c r="D629" s="2"/>
      <c r="E629" s="2"/>
      <c r="L629" s="2"/>
      <c r="M629" s="2"/>
    </row>
    <row r="630" ht="15.75" customHeight="1">
      <c r="B630" s="2"/>
      <c r="C630" s="2"/>
      <c r="D630" s="2"/>
      <c r="E630" s="2"/>
      <c r="L630" s="2"/>
      <c r="M630" s="2"/>
    </row>
    <row r="631" ht="15.75" customHeight="1">
      <c r="B631" s="2"/>
      <c r="C631" s="2"/>
      <c r="D631" s="2"/>
      <c r="E631" s="2"/>
      <c r="L631" s="2"/>
      <c r="M631" s="2"/>
    </row>
    <row r="632" ht="15.75" customHeight="1">
      <c r="B632" s="2"/>
      <c r="C632" s="2"/>
      <c r="D632" s="2"/>
      <c r="E632" s="2"/>
      <c r="L632" s="2"/>
      <c r="M632" s="2"/>
    </row>
    <row r="633" ht="15.75" customHeight="1">
      <c r="B633" s="2"/>
      <c r="C633" s="2"/>
      <c r="D633" s="2"/>
      <c r="E633" s="2"/>
      <c r="L633" s="2"/>
      <c r="M633" s="2"/>
    </row>
    <row r="634" ht="15.75" customHeight="1">
      <c r="B634" s="2"/>
      <c r="C634" s="2"/>
      <c r="D634" s="2"/>
      <c r="E634" s="2"/>
      <c r="L634" s="2"/>
      <c r="M634" s="2"/>
    </row>
    <row r="635" ht="15.75" customHeight="1">
      <c r="B635" s="2"/>
      <c r="C635" s="2"/>
      <c r="D635" s="2"/>
      <c r="E635" s="2"/>
      <c r="L635" s="2"/>
      <c r="M635" s="2"/>
    </row>
    <row r="636" ht="15.75" customHeight="1">
      <c r="B636" s="2"/>
      <c r="C636" s="2"/>
      <c r="D636" s="2"/>
      <c r="E636" s="2"/>
      <c r="L636" s="2"/>
      <c r="M636" s="2"/>
    </row>
    <row r="637" ht="15.75" customHeight="1">
      <c r="B637" s="2"/>
      <c r="C637" s="2"/>
      <c r="D637" s="2"/>
      <c r="E637" s="2"/>
      <c r="L637" s="2"/>
      <c r="M637" s="2"/>
    </row>
    <row r="638" ht="15.75" customHeight="1">
      <c r="B638" s="2"/>
      <c r="C638" s="2"/>
      <c r="D638" s="2"/>
      <c r="E638" s="2"/>
      <c r="L638" s="2"/>
      <c r="M638" s="2"/>
    </row>
    <row r="639" ht="15.75" customHeight="1">
      <c r="B639" s="2"/>
      <c r="C639" s="2"/>
      <c r="D639" s="2"/>
      <c r="E639" s="2"/>
      <c r="L639" s="2"/>
      <c r="M639" s="2"/>
    </row>
    <row r="640" ht="15.75" customHeight="1">
      <c r="B640" s="2"/>
      <c r="C640" s="2"/>
      <c r="D640" s="2"/>
      <c r="E640" s="2"/>
      <c r="L640" s="2"/>
      <c r="M640" s="2"/>
    </row>
    <row r="641" ht="15.75" customHeight="1">
      <c r="B641" s="2"/>
      <c r="C641" s="2"/>
      <c r="D641" s="2"/>
      <c r="E641" s="2"/>
      <c r="L641" s="2"/>
      <c r="M641" s="2"/>
    </row>
    <row r="642" ht="15.75" customHeight="1">
      <c r="B642" s="2"/>
      <c r="C642" s="2"/>
      <c r="D642" s="2"/>
      <c r="E642" s="2"/>
      <c r="L642" s="2"/>
      <c r="M642" s="2"/>
    </row>
    <row r="643" ht="15.75" customHeight="1">
      <c r="B643" s="2"/>
      <c r="C643" s="2"/>
      <c r="D643" s="2"/>
      <c r="E643" s="2"/>
      <c r="L643" s="2"/>
      <c r="M643" s="2"/>
    </row>
    <row r="644" ht="15.75" customHeight="1">
      <c r="B644" s="2"/>
      <c r="C644" s="2"/>
      <c r="D644" s="2"/>
      <c r="E644" s="2"/>
      <c r="L644" s="2"/>
      <c r="M644" s="2"/>
    </row>
    <row r="645" ht="15.75" customHeight="1">
      <c r="B645" s="2"/>
      <c r="C645" s="2"/>
      <c r="D645" s="2"/>
      <c r="E645" s="2"/>
      <c r="L645" s="2"/>
      <c r="M645" s="2"/>
    </row>
    <row r="646" ht="15.75" customHeight="1">
      <c r="B646" s="2"/>
      <c r="C646" s="2"/>
      <c r="D646" s="2"/>
      <c r="E646" s="2"/>
      <c r="L646" s="2"/>
      <c r="M646" s="2"/>
    </row>
    <row r="647" ht="15.75" customHeight="1">
      <c r="B647" s="2"/>
      <c r="C647" s="2"/>
      <c r="D647" s="2"/>
      <c r="E647" s="2"/>
      <c r="L647" s="2"/>
      <c r="M647" s="2"/>
    </row>
    <row r="648" ht="15.75" customHeight="1">
      <c r="B648" s="2"/>
      <c r="C648" s="2"/>
      <c r="D648" s="2"/>
      <c r="E648" s="2"/>
      <c r="L648" s="2"/>
      <c r="M648" s="2"/>
    </row>
    <row r="649" ht="15.75" customHeight="1">
      <c r="B649" s="2"/>
      <c r="C649" s="2"/>
      <c r="D649" s="2"/>
      <c r="E649" s="2"/>
      <c r="L649" s="2"/>
      <c r="M649" s="2"/>
    </row>
    <row r="650" ht="15.75" customHeight="1">
      <c r="B650" s="2"/>
      <c r="C650" s="2"/>
      <c r="D650" s="2"/>
      <c r="E650" s="2"/>
      <c r="L650" s="2"/>
      <c r="M650" s="2"/>
    </row>
    <row r="651" ht="15.75" customHeight="1">
      <c r="B651" s="2"/>
      <c r="C651" s="2"/>
      <c r="D651" s="2"/>
      <c r="E651" s="2"/>
      <c r="L651" s="2"/>
      <c r="M651" s="2"/>
    </row>
    <row r="652" ht="15.75" customHeight="1">
      <c r="B652" s="2"/>
      <c r="C652" s="2"/>
      <c r="D652" s="2"/>
      <c r="E652" s="2"/>
      <c r="L652" s="2"/>
      <c r="M652" s="2"/>
    </row>
    <row r="653" ht="15.75" customHeight="1">
      <c r="B653" s="2"/>
      <c r="C653" s="2"/>
      <c r="D653" s="2"/>
      <c r="E653" s="2"/>
      <c r="L653" s="2"/>
      <c r="M653" s="2"/>
    </row>
    <row r="654" ht="15.75" customHeight="1">
      <c r="B654" s="2"/>
      <c r="C654" s="2"/>
      <c r="D654" s="2"/>
      <c r="E654" s="2"/>
      <c r="L654" s="2"/>
      <c r="M654" s="2"/>
    </row>
    <row r="655" ht="15.75" customHeight="1">
      <c r="B655" s="2"/>
      <c r="C655" s="2"/>
      <c r="D655" s="2"/>
      <c r="E655" s="2"/>
      <c r="L655" s="2"/>
      <c r="M655" s="2"/>
    </row>
    <row r="656" ht="15.75" customHeight="1">
      <c r="B656" s="2"/>
      <c r="C656" s="2"/>
      <c r="D656" s="2"/>
      <c r="E656" s="2"/>
      <c r="L656" s="2"/>
      <c r="M656" s="2"/>
    </row>
    <row r="657" ht="15.75" customHeight="1">
      <c r="B657" s="2"/>
      <c r="C657" s="2"/>
      <c r="D657" s="2"/>
      <c r="E657" s="2"/>
      <c r="L657" s="2"/>
      <c r="M657" s="2"/>
    </row>
    <row r="658" ht="15.75" customHeight="1">
      <c r="B658" s="2"/>
      <c r="C658" s="2"/>
      <c r="D658" s="2"/>
      <c r="E658" s="2"/>
      <c r="L658" s="2"/>
      <c r="M658" s="2"/>
    </row>
    <row r="659" ht="15.75" customHeight="1">
      <c r="B659" s="2"/>
      <c r="C659" s="2"/>
      <c r="D659" s="2"/>
      <c r="E659" s="2"/>
      <c r="L659" s="2"/>
      <c r="M659" s="2"/>
    </row>
    <row r="660" ht="15.75" customHeight="1">
      <c r="B660" s="2"/>
      <c r="C660" s="2"/>
      <c r="D660" s="2"/>
      <c r="E660" s="2"/>
      <c r="L660" s="2"/>
      <c r="M660" s="2"/>
    </row>
    <row r="661" ht="15.75" customHeight="1">
      <c r="B661" s="2"/>
      <c r="C661" s="2"/>
      <c r="D661" s="2"/>
      <c r="E661" s="2"/>
      <c r="L661" s="2"/>
      <c r="M661" s="2"/>
    </row>
    <row r="662" ht="15.75" customHeight="1">
      <c r="B662" s="2"/>
      <c r="C662" s="2"/>
      <c r="D662" s="2"/>
      <c r="E662" s="2"/>
      <c r="L662" s="2"/>
      <c r="M662" s="2"/>
    </row>
    <row r="663" ht="15.75" customHeight="1">
      <c r="B663" s="2"/>
      <c r="C663" s="2"/>
      <c r="D663" s="2"/>
      <c r="E663" s="2"/>
      <c r="L663" s="2"/>
      <c r="M663" s="2"/>
    </row>
    <row r="664" ht="15.75" customHeight="1">
      <c r="B664" s="2"/>
      <c r="C664" s="2"/>
      <c r="D664" s="2"/>
      <c r="E664" s="2"/>
      <c r="L664" s="2"/>
      <c r="M664" s="2"/>
    </row>
    <row r="665" ht="15.75" customHeight="1">
      <c r="B665" s="2"/>
      <c r="C665" s="2"/>
      <c r="D665" s="2"/>
      <c r="E665" s="2"/>
      <c r="L665" s="2"/>
      <c r="M665" s="2"/>
    </row>
    <row r="666" ht="15.75" customHeight="1">
      <c r="B666" s="2"/>
      <c r="C666" s="2"/>
      <c r="D666" s="2"/>
      <c r="E666" s="2"/>
      <c r="L666" s="2"/>
      <c r="M666" s="2"/>
    </row>
    <row r="667" ht="15.75" customHeight="1">
      <c r="B667" s="2"/>
      <c r="C667" s="2"/>
      <c r="D667" s="2"/>
      <c r="E667" s="2"/>
      <c r="L667" s="2"/>
      <c r="M667" s="2"/>
    </row>
    <row r="668" ht="15.75" customHeight="1">
      <c r="B668" s="2"/>
      <c r="C668" s="2"/>
      <c r="D668" s="2"/>
      <c r="E668" s="2"/>
      <c r="L668" s="2"/>
      <c r="M668" s="2"/>
    </row>
    <row r="669" ht="15.75" customHeight="1">
      <c r="B669" s="2"/>
      <c r="C669" s="2"/>
      <c r="D669" s="2"/>
      <c r="E669" s="2"/>
      <c r="L669" s="2"/>
      <c r="M669" s="2"/>
    </row>
    <row r="670" ht="15.75" customHeight="1">
      <c r="B670" s="2"/>
      <c r="C670" s="2"/>
      <c r="D670" s="2"/>
      <c r="E670" s="2"/>
      <c r="L670" s="2"/>
      <c r="M670" s="2"/>
    </row>
    <row r="671" ht="15.75" customHeight="1">
      <c r="B671" s="2"/>
      <c r="C671" s="2"/>
      <c r="D671" s="2"/>
      <c r="E671" s="2"/>
      <c r="L671" s="2"/>
      <c r="M671" s="2"/>
    </row>
    <row r="672" ht="15.75" customHeight="1">
      <c r="B672" s="2"/>
      <c r="C672" s="2"/>
      <c r="D672" s="2"/>
      <c r="E672" s="2"/>
      <c r="L672" s="2"/>
      <c r="M672" s="2"/>
    </row>
    <row r="673" ht="15.75" customHeight="1">
      <c r="B673" s="2"/>
      <c r="C673" s="2"/>
      <c r="D673" s="2"/>
      <c r="E673" s="2"/>
      <c r="L673" s="2"/>
      <c r="M673" s="2"/>
    </row>
    <row r="674" ht="15.75" customHeight="1">
      <c r="B674" s="2"/>
      <c r="C674" s="2"/>
      <c r="D674" s="2"/>
      <c r="E674" s="2"/>
      <c r="L674" s="2"/>
      <c r="M674" s="2"/>
    </row>
    <row r="675" ht="15.75" customHeight="1">
      <c r="B675" s="2"/>
      <c r="C675" s="2"/>
      <c r="D675" s="2"/>
      <c r="E675" s="2"/>
      <c r="L675" s="2"/>
      <c r="M675" s="2"/>
    </row>
    <row r="676" ht="15.75" customHeight="1">
      <c r="B676" s="2"/>
      <c r="C676" s="2"/>
      <c r="D676" s="2"/>
      <c r="E676" s="2"/>
      <c r="L676" s="2"/>
      <c r="M676" s="2"/>
    </row>
    <row r="677" ht="15.75" customHeight="1">
      <c r="B677" s="2"/>
      <c r="C677" s="2"/>
      <c r="D677" s="2"/>
      <c r="E677" s="2"/>
      <c r="L677" s="2"/>
      <c r="M677" s="2"/>
    </row>
    <row r="678" ht="15.75" customHeight="1">
      <c r="B678" s="2"/>
      <c r="C678" s="2"/>
      <c r="D678" s="2"/>
      <c r="E678" s="2"/>
      <c r="L678" s="2"/>
      <c r="M678" s="2"/>
    </row>
    <row r="679" ht="15.75" customHeight="1">
      <c r="B679" s="2"/>
      <c r="C679" s="2"/>
      <c r="D679" s="2"/>
      <c r="E679" s="2"/>
      <c r="L679" s="2"/>
      <c r="M679" s="2"/>
    </row>
    <row r="680" ht="15.75" customHeight="1">
      <c r="B680" s="2"/>
      <c r="C680" s="2"/>
      <c r="D680" s="2"/>
      <c r="E680" s="2"/>
      <c r="L680" s="2"/>
      <c r="M680" s="2"/>
    </row>
    <row r="681" ht="15.75" customHeight="1">
      <c r="B681" s="2"/>
      <c r="C681" s="2"/>
      <c r="D681" s="2"/>
      <c r="E681" s="2"/>
      <c r="L681" s="2"/>
      <c r="M681" s="2"/>
    </row>
    <row r="682" ht="15.75" customHeight="1">
      <c r="B682" s="2"/>
      <c r="C682" s="2"/>
      <c r="D682" s="2"/>
      <c r="E682" s="2"/>
      <c r="L682" s="2"/>
      <c r="M682" s="2"/>
    </row>
    <row r="683" ht="15.75" customHeight="1">
      <c r="B683" s="2"/>
      <c r="C683" s="2"/>
      <c r="D683" s="2"/>
      <c r="E683" s="2"/>
      <c r="L683" s="2"/>
      <c r="M683" s="2"/>
    </row>
    <row r="684" ht="15.75" customHeight="1">
      <c r="B684" s="2"/>
      <c r="C684" s="2"/>
      <c r="D684" s="2"/>
      <c r="E684" s="2"/>
      <c r="L684" s="2"/>
      <c r="M684" s="2"/>
    </row>
    <row r="685" ht="15.75" customHeight="1">
      <c r="B685" s="2"/>
      <c r="C685" s="2"/>
      <c r="D685" s="2"/>
      <c r="E685" s="2"/>
      <c r="L685" s="2"/>
      <c r="M685" s="2"/>
    </row>
    <row r="686" ht="15.75" customHeight="1">
      <c r="B686" s="2"/>
      <c r="C686" s="2"/>
      <c r="D686" s="2"/>
      <c r="E686" s="2"/>
      <c r="L686" s="2"/>
      <c r="M686" s="2"/>
    </row>
    <row r="687" ht="15.75" customHeight="1">
      <c r="B687" s="2"/>
      <c r="C687" s="2"/>
      <c r="D687" s="2"/>
      <c r="E687" s="2"/>
      <c r="L687" s="2"/>
      <c r="M687" s="2"/>
    </row>
    <row r="688" ht="15.75" customHeight="1">
      <c r="B688" s="2"/>
      <c r="C688" s="2"/>
      <c r="D688" s="2"/>
      <c r="E688" s="2"/>
      <c r="L688" s="2"/>
      <c r="M688" s="2"/>
    </row>
    <row r="689" ht="15.75" customHeight="1">
      <c r="B689" s="2"/>
      <c r="C689" s="2"/>
      <c r="D689" s="2"/>
      <c r="E689" s="2"/>
      <c r="L689" s="2"/>
      <c r="M689" s="2"/>
    </row>
    <row r="690" ht="15.75" customHeight="1">
      <c r="B690" s="2"/>
      <c r="C690" s="2"/>
      <c r="D690" s="2"/>
      <c r="E690" s="2"/>
      <c r="L690" s="2"/>
      <c r="M690" s="2"/>
    </row>
    <row r="691" ht="15.75" customHeight="1">
      <c r="B691" s="2"/>
      <c r="C691" s="2"/>
      <c r="D691" s="2"/>
      <c r="E691" s="2"/>
      <c r="L691" s="2"/>
      <c r="M691" s="2"/>
    </row>
    <row r="692" ht="15.75" customHeight="1">
      <c r="B692" s="2"/>
      <c r="C692" s="2"/>
      <c r="D692" s="2"/>
      <c r="E692" s="2"/>
      <c r="L692" s="2"/>
      <c r="M692" s="2"/>
    </row>
    <row r="693" ht="15.75" customHeight="1">
      <c r="B693" s="2"/>
      <c r="C693" s="2"/>
      <c r="D693" s="2"/>
      <c r="E693" s="2"/>
      <c r="L693" s="2"/>
      <c r="M693" s="2"/>
    </row>
    <row r="694" ht="15.75" customHeight="1">
      <c r="B694" s="2"/>
      <c r="C694" s="2"/>
      <c r="D694" s="2"/>
      <c r="E694" s="2"/>
      <c r="L694" s="2"/>
      <c r="M694" s="2"/>
    </row>
    <row r="695" ht="15.75" customHeight="1">
      <c r="B695" s="2"/>
      <c r="C695" s="2"/>
      <c r="D695" s="2"/>
      <c r="E695" s="2"/>
      <c r="L695" s="2"/>
      <c r="M695" s="2"/>
    </row>
    <row r="696" ht="15.75" customHeight="1">
      <c r="B696" s="2"/>
      <c r="C696" s="2"/>
      <c r="D696" s="2"/>
      <c r="E696" s="2"/>
      <c r="L696" s="2"/>
      <c r="M696" s="2"/>
    </row>
    <row r="697" ht="15.75" customHeight="1">
      <c r="B697" s="2"/>
      <c r="C697" s="2"/>
      <c r="D697" s="2"/>
      <c r="E697" s="2"/>
      <c r="L697" s="2"/>
      <c r="M697" s="2"/>
    </row>
    <row r="698" ht="15.75" customHeight="1">
      <c r="B698" s="2"/>
      <c r="C698" s="2"/>
      <c r="D698" s="2"/>
      <c r="E698" s="2"/>
      <c r="L698" s="2"/>
      <c r="M698" s="2"/>
    </row>
    <row r="699" ht="15.75" customHeight="1">
      <c r="B699" s="2"/>
      <c r="C699" s="2"/>
      <c r="D699" s="2"/>
      <c r="E699" s="2"/>
      <c r="L699" s="2"/>
      <c r="M699" s="2"/>
    </row>
    <row r="700" ht="15.75" customHeight="1">
      <c r="B700" s="2"/>
      <c r="C700" s="2"/>
      <c r="D700" s="2"/>
      <c r="E700" s="2"/>
      <c r="L700" s="2"/>
      <c r="M700" s="2"/>
    </row>
    <row r="701" ht="15.75" customHeight="1">
      <c r="B701" s="2"/>
      <c r="C701" s="2"/>
      <c r="D701" s="2"/>
      <c r="E701" s="2"/>
      <c r="L701" s="2"/>
      <c r="M701" s="2"/>
    </row>
    <row r="702" ht="15.75" customHeight="1">
      <c r="B702" s="2"/>
      <c r="C702" s="2"/>
      <c r="D702" s="2"/>
      <c r="E702" s="2"/>
      <c r="L702" s="2"/>
      <c r="M702" s="2"/>
    </row>
    <row r="703" ht="15.75" customHeight="1">
      <c r="B703" s="2"/>
      <c r="C703" s="2"/>
      <c r="D703" s="2"/>
      <c r="E703" s="2"/>
      <c r="L703" s="2"/>
      <c r="M703" s="2"/>
    </row>
    <row r="704" ht="15.75" customHeight="1">
      <c r="B704" s="2"/>
      <c r="C704" s="2"/>
      <c r="D704" s="2"/>
      <c r="E704" s="2"/>
      <c r="L704" s="2"/>
      <c r="M704" s="2"/>
    </row>
    <row r="705" ht="15.75" customHeight="1">
      <c r="B705" s="2"/>
      <c r="C705" s="2"/>
      <c r="D705" s="2"/>
      <c r="E705" s="2"/>
      <c r="L705" s="2"/>
      <c r="M705" s="2"/>
    </row>
    <row r="706" ht="15.75" customHeight="1">
      <c r="B706" s="2"/>
      <c r="C706" s="2"/>
      <c r="D706" s="2"/>
      <c r="E706" s="2"/>
      <c r="L706" s="2"/>
      <c r="M706" s="2"/>
    </row>
    <row r="707" ht="15.75" customHeight="1">
      <c r="B707" s="2"/>
      <c r="C707" s="2"/>
      <c r="D707" s="2"/>
      <c r="E707" s="2"/>
      <c r="L707" s="2"/>
      <c r="M707" s="2"/>
    </row>
    <row r="708" ht="15.75" customHeight="1">
      <c r="B708" s="2"/>
      <c r="C708" s="2"/>
      <c r="D708" s="2"/>
      <c r="E708" s="2"/>
      <c r="L708" s="2"/>
      <c r="M708" s="2"/>
    </row>
    <row r="709" ht="15.75" customHeight="1">
      <c r="B709" s="2"/>
      <c r="C709" s="2"/>
      <c r="D709" s="2"/>
      <c r="E709" s="2"/>
      <c r="L709" s="2"/>
      <c r="M709" s="2"/>
    </row>
    <row r="710" ht="15.75" customHeight="1">
      <c r="B710" s="2"/>
      <c r="C710" s="2"/>
      <c r="D710" s="2"/>
      <c r="E710" s="2"/>
      <c r="L710" s="2"/>
      <c r="M710" s="2"/>
    </row>
    <row r="711" ht="15.75" customHeight="1">
      <c r="B711" s="2"/>
      <c r="C711" s="2"/>
      <c r="D711" s="2"/>
      <c r="E711" s="2"/>
      <c r="L711" s="2"/>
      <c r="M711" s="2"/>
    </row>
    <row r="712" ht="15.75" customHeight="1">
      <c r="B712" s="2"/>
      <c r="C712" s="2"/>
      <c r="D712" s="2"/>
      <c r="E712" s="2"/>
      <c r="L712" s="2"/>
      <c r="M712" s="2"/>
    </row>
    <row r="713" ht="15.75" customHeight="1">
      <c r="B713" s="2"/>
      <c r="C713" s="2"/>
      <c r="D713" s="2"/>
      <c r="E713" s="2"/>
      <c r="L713" s="2"/>
      <c r="M713" s="2"/>
    </row>
    <row r="714" ht="15.75" customHeight="1">
      <c r="B714" s="2"/>
      <c r="C714" s="2"/>
      <c r="D714" s="2"/>
      <c r="E714" s="2"/>
      <c r="L714" s="2"/>
      <c r="M714" s="2"/>
    </row>
    <row r="715" ht="15.75" customHeight="1">
      <c r="B715" s="2"/>
      <c r="C715" s="2"/>
      <c r="D715" s="2"/>
      <c r="E715" s="2"/>
      <c r="L715" s="2"/>
      <c r="M715" s="2"/>
    </row>
    <row r="716" ht="15.75" customHeight="1">
      <c r="B716" s="2"/>
      <c r="C716" s="2"/>
      <c r="D716" s="2"/>
      <c r="E716" s="2"/>
      <c r="L716" s="2"/>
      <c r="M716" s="2"/>
    </row>
    <row r="717" ht="15.75" customHeight="1">
      <c r="B717" s="2"/>
      <c r="C717" s="2"/>
      <c r="D717" s="2"/>
      <c r="E717" s="2"/>
      <c r="L717" s="2"/>
      <c r="M717" s="2"/>
    </row>
    <row r="718" ht="15.75" customHeight="1">
      <c r="B718" s="2"/>
      <c r="C718" s="2"/>
      <c r="D718" s="2"/>
      <c r="E718" s="2"/>
      <c r="L718" s="2"/>
      <c r="M718" s="2"/>
    </row>
    <row r="719" ht="15.75" customHeight="1">
      <c r="B719" s="2"/>
      <c r="C719" s="2"/>
      <c r="D719" s="2"/>
      <c r="E719" s="2"/>
      <c r="L719" s="2"/>
      <c r="M719" s="2"/>
    </row>
    <row r="720" ht="15.75" customHeight="1">
      <c r="B720" s="2"/>
      <c r="C720" s="2"/>
      <c r="D720" s="2"/>
      <c r="E720" s="2"/>
      <c r="L720" s="2"/>
      <c r="M720" s="2"/>
    </row>
    <row r="721" ht="15.75" customHeight="1">
      <c r="B721" s="2"/>
      <c r="C721" s="2"/>
      <c r="D721" s="2"/>
      <c r="E721" s="2"/>
      <c r="L721" s="2"/>
      <c r="M721" s="2"/>
    </row>
    <row r="722" ht="15.75" customHeight="1">
      <c r="B722" s="2"/>
      <c r="C722" s="2"/>
      <c r="D722" s="2"/>
      <c r="E722" s="2"/>
      <c r="L722" s="2"/>
      <c r="M722" s="2"/>
    </row>
    <row r="723" ht="15.75" customHeight="1">
      <c r="B723" s="2"/>
      <c r="C723" s="2"/>
      <c r="D723" s="2"/>
      <c r="E723" s="2"/>
      <c r="L723" s="2"/>
      <c r="M723" s="2"/>
    </row>
    <row r="724" ht="15.75" customHeight="1">
      <c r="B724" s="2"/>
      <c r="C724" s="2"/>
      <c r="D724" s="2"/>
      <c r="E724" s="2"/>
      <c r="L724" s="2"/>
      <c r="M724" s="2"/>
    </row>
    <row r="725" ht="15.75" customHeight="1">
      <c r="B725" s="2"/>
      <c r="C725" s="2"/>
      <c r="D725" s="2"/>
      <c r="E725" s="2"/>
      <c r="L725" s="2"/>
      <c r="M725" s="2"/>
    </row>
    <row r="726" ht="15.75" customHeight="1">
      <c r="B726" s="2"/>
      <c r="C726" s="2"/>
      <c r="D726" s="2"/>
      <c r="E726" s="2"/>
      <c r="L726" s="2"/>
      <c r="M726" s="2"/>
    </row>
    <row r="727" ht="15.75" customHeight="1">
      <c r="B727" s="2"/>
      <c r="C727" s="2"/>
      <c r="D727" s="2"/>
      <c r="E727" s="2"/>
      <c r="L727" s="2"/>
      <c r="M727" s="2"/>
    </row>
    <row r="728" ht="15.75" customHeight="1">
      <c r="B728" s="2"/>
      <c r="C728" s="2"/>
      <c r="D728" s="2"/>
      <c r="E728" s="2"/>
      <c r="L728" s="2"/>
      <c r="M728" s="2"/>
    </row>
    <row r="729" ht="15.75" customHeight="1">
      <c r="B729" s="2"/>
      <c r="C729" s="2"/>
      <c r="D729" s="2"/>
      <c r="E729" s="2"/>
      <c r="L729" s="2"/>
      <c r="M729" s="2"/>
    </row>
    <row r="730" ht="15.75" customHeight="1">
      <c r="B730" s="2"/>
      <c r="C730" s="2"/>
      <c r="D730" s="2"/>
      <c r="E730" s="2"/>
      <c r="L730" s="2"/>
      <c r="M730" s="2"/>
    </row>
    <row r="731" ht="15.75" customHeight="1">
      <c r="B731" s="2"/>
      <c r="C731" s="2"/>
      <c r="D731" s="2"/>
      <c r="E731" s="2"/>
      <c r="L731" s="2"/>
      <c r="M731" s="2"/>
    </row>
    <row r="732" ht="15.75" customHeight="1">
      <c r="B732" s="2"/>
      <c r="C732" s="2"/>
      <c r="D732" s="2"/>
      <c r="E732" s="2"/>
      <c r="L732" s="2"/>
      <c r="M732" s="2"/>
    </row>
    <row r="733" ht="15.75" customHeight="1">
      <c r="B733" s="2"/>
      <c r="C733" s="2"/>
      <c r="D733" s="2"/>
      <c r="E733" s="2"/>
      <c r="L733" s="2"/>
      <c r="M733" s="2"/>
    </row>
    <row r="734" ht="15.75" customHeight="1">
      <c r="B734" s="2"/>
      <c r="C734" s="2"/>
      <c r="D734" s="2"/>
      <c r="E734" s="2"/>
      <c r="L734" s="2"/>
      <c r="M734" s="2"/>
    </row>
    <row r="735" ht="15.75" customHeight="1">
      <c r="B735" s="2"/>
      <c r="C735" s="2"/>
      <c r="D735" s="2"/>
      <c r="E735" s="2"/>
      <c r="L735" s="2"/>
      <c r="M735" s="2"/>
    </row>
    <row r="736" ht="15.75" customHeight="1">
      <c r="B736" s="2"/>
      <c r="C736" s="2"/>
      <c r="D736" s="2"/>
      <c r="E736" s="2"/>
      <c r="L736" s="2"/>
      <c r="M736" s="2"/>
    </row>
    <row r="737" ht="15.75" customHeight="1">
      <c r="B737" s="2"/>
      <c r="C737" s="2"/>
      <c r="D737" s="2"/>
      <c r="E737" s="2"/>
      <c r="L737" s="2"/>
      <c r="M737" s="2"/>
    </row>
    <row r="738" ht="15.75" customHeight="1">
      <c r="B738" s="2"/>
      <c r="C738" s="2"/>
      <c r="D738" s="2"/>
      <c r="E738" s="2"/>
      <c r="L738" s="2"/>
      <c r="M738" s="2"/>
    </row>
    <row r="739" ht="15.75" customHeight="1">
      <c r="B739" s="2"/>
      <c r="C739" s="2"/>
      <c r="D739" s="2"/>
      <c r="E739" s="2"/>
      <c r="L739" s="2"/>
      <c r="M739" s="2"/>
    </row>
    <row r="740" ht="15.75" customHeight="1">
      <c r="B740" s="2"/>
      <c r="C740" s="2"/>
      <c r="D740" s="2"/>
      <c r="E740" s="2"/>
      <c r="L740" s="2"/>
      <c r="M740" s="2"/>
    </row>
    <row r="741" ht="15.75" customHeight="1">
      <c r="B741" s="2"/>
      <c r="C741" s="2"/>
      <c r="D741" s="2"/>
      <c r="E741" s="2"/>
      <c r="L741" s="2"/>
      <c r="M741" s="2"/>
    </row>
    <row r="742" ht="15.75" customHeight="1">
      <c r="B742" s="2"/>
      <c r="C742" s="2"/>
      <c r="D742" s="2"/>
      <c r="E742" s="2"/>
      <c r="L742" s="2"/>
      <c r="M742" s="2"/>
    </row>
    <row r="743" ht="15.75" customHeight="1">
      <c r="B743" s="2"/>
      <c r="C743" s="2"/>
      <c r="D743" s="2"/>
      <c r="E743" s="2"/>
      <c r="L743" s="2"/>
      <c r="M743" s="2"/>
    </row>
    <row r="744" ht="15.75" customHeight="1">
      <c r="B744" s="2"/>
      <c r="C744" s="2"/>
      <c r="D744" s="2"/>
      <c r="E744" s="2"/>
      <c r="L744" s="2"/>
      <c r="M744" s="2"/>
    </row>
    <row r="745" ht="15.75" customHeight="1">
      <c r="B745" s="2"/>
      <c r="C745" s="2"/>
      <c r="D745" s="2"/>
      <c r="E745" s="2"/>
      <c r="L745" s="2"/>
      <c r="M745" s="2"/>
    </row>
    <row r="746" ht="15.75" customHeight="1">
      <c r="B746" s="2"/>
      <c r="C746" s="2"/>
      <c r="D746" s="2"/>
      <c r="E746" s="2"/>
      <c r="L746" s="2"/>
      <c r="M746" s="2"/>
    </row>
    <row r="747" ht="15.75" customHeight="1">
      <c r="B747" s="2"/>
      <c r="C747" s="2"/>
      <c r="D747" s="2"/>
      <c r="E747" s="2"/>
      <c r="L747" s="2"/>
      <c r="M747" s="2"/>
    </row>
    <row r="748" ht="15.75" customHeight="1">
      <c r="B748" s="2"/>
      <c r="C748" s="2"/>
      <c r="D748" s="2"/>
      <c r="E748" s="2"/>
      <c r="L748" s="2"/>
      <c r="M748" s="2"/>
    </row>
    <row r="749" ht="15.75" customHeight="1">
      <c r="B749" s="2"/>
      <c r="C749" s="2"/>
      <c r="D749" s="2"/>
      <c r="E749" s="2"/>
      <c r="L749" s="2"/>
      <c r="M749" s="2"/>
    </row>
    <row r="750" ht="15.75" customHeight="1">
      <c r="B750" s="2"/>
      <c r="C750" s="2"/>
      <c r="D750" s="2"/>
      <c r="E750" s="2"/>
      <c r="L750" s="2"/>
      <c r="M750" s="2"/>
    </row>
    <row r="751" ht="15.75" customHeight="1">
      <c r="B751" s="2"/>
      <c r="C751" s="2"/>
      <c r="D751" s="2"/>
      <c r="E751" s="2"/>
      <c r="L751" s="2"/>
      <c r="M751" s="2"/>
    </row>
    <row r="752" ht="15.75" customHeight="1">
      <c r="B752" s="2"/>
      <c r="C752" s="2"/>
      <c r="D752" s="2"/>
      <c r="E752" s="2"/>
      <c r="L752" s="2"/>
      <c r="M752" s="2"/>
    </row>
    <row r="753" ht="15.75" customHeight="1">
      <c r="B753" s="2"/>
      <c r="C753" s="2"/>
      <c r="D753" s="2"/>
      <c r="E753" s="2"/>
      <c r="L753" s="2"/>
      <c r="M753" s="2"/>
    </row>
    <row r="754" ht="15.75" customHeight="1">
      <c r="B754" s="2"/>
      <c r="C754" s="2"/>
      <c r="D754" s="2"/>
      <c r="E754" s="2"/>
      <c r="L754" s="2"/>
      <c r="M754" s="2"/>
    </row>
    <row r="755" ht="15.75" customHeight="1">
      <c r="B755" s="2"/>
      <c r="C755" s="2"/>
      <c r="D755" s="2"/>
      <c r="E755" s="2"/>
      <c r="L755" s="2"/>
      <c r="M755" s="2"/>
    </row>
    <row r="756" ht="15.75" customHeight="1">
      <c r="B756" s="2"/>
      <c r="C756" s="2"/>
      <c r="D756" s="2"/>
      <c r="E756" s="2"/>
      <c r="L756" s="2"/>
      <c r="M756" s="2"/>
    </row>
    <row r="757" ht="15.75" customHeight="1">
      <c r="B757" s="2"/>
      <c r="C757" s="2"/>
      <c r="D757" s="2"/>
      <c r="E757" s="2"/>
      <c r="L757" s="2"/>
      <c r="M757" s="2"/>
    </row>
    <row r="758" ht="15.75" customHeight="1">
      <c r="B758" s="2"/>
      <c r="C758" s="2"/>
      <c r="D758" s="2"/>
      <c r="E758" s="2"/>
      <c r="L758" s="2"/>
      <c r="M758" s="2"/>
    </row>
    <row r="759" ht="15.75" customHeight="1">
      <c r="B759" s="2"/>
      <c r="C759" s="2"/>
      <c r="D759" s="2"/>
      <c r="E759" s="2"/>
      <c r="L759" s="2"/>
      <c r="M759" s="2"/>
    </row>
    <row r="760" ht="15.75" customHeight="1">
      <c r="B760" s="2"/>
      <c r="C760" s="2"/>
      <c r="D760" s="2"/>
      <c r="E760" s="2"/>
      <c r="L760" s="2"/>
      <c r="M760" s="2"/>
    </row>
    <row r="761" ht="15.75" customHeight="1">
      <c r="B761" s="2"/>
      <c r="C761" s="2"/>
      <c r="D761" s="2"/>
      <c r="E761" s="2"/>
      <c r="L761" s="2"/>
      <c r="M761" s="2"/>
    </row>
    <row r="762" ht="15.75" customHeight="1">
      <c r="B762" s="2"/>
      <c r="C762" s="2"/>
      <c r="D762" s="2"/>
      <c r="E762" s="2"/>
      <c r="L762" s="2"/>
      <c r="M762" s="2"/>
    </row>
    <row r="763" ht="15.75" customHeight="1">
      <c r="B763" s="2"/>
      <c r="C763" s="2"/>
      <c r="D763" s="2"/>
      <c r="E763" s="2"/>
      <c r="L763" s="2"/>
      <c r="M763" s="2"/>
    </row>
    <row r="764" ht="15.75" customHeight="1">
      <c r="B764" s="2"/>
      <c r="C764" s="2"/>
      <c r="D764" s="2"/>
      <c r="E764" s="2"/>
      <c r="L764" s="2"/>
      <c r="M764" s="2"/>
    </row>
    <row r="765" ht="15.75" customHeight="1">
      <c r="B765" s="2"/>
      <c r="C765" s="2"/>
      <c r="D765" s="2"/>
      <c r="E765" s="2"/>
      <c r="L765" s="2"/>
      <c r="M765" s="2"/>
    </row>
    <row r="766" ht="15.75" customHeight="1">
      <c r="B766" s="2"/>
      <c r="C766" s="2"/>
      <c r="D766" s="2"/>
      <c r="E766" s="2"/>
      <c r="L766" s="2"/>
      <c r="M766" s="2"/>
    </row>
    <row r="767" ht="15.75" customHeight="1">
      <c r="B767" s="2"/>
      <c r="C767" s="2"/>
      <c r="D767" s="2"/>
      <c r="E767" s="2"/>
      <c r="L767" s="2"/>
      <c r="M767" s="2"/>
    </row>
    <row r="768" ht="15.75" customHeight="1">
      <c r="B768" s="2"/>
      <c r="C768" s="2"/>
      <c r="D768" s="2"/>
      <c r="E768" s="2"/>
      <c r="L768" s="2"/>
      <c r="M768" s="2"/>
    </row>
    <row r="769" ht="15.75" customHeight="1">
      <c r="B769" s="2"/>
      <c r="C769" s="2"/>
      <c r="D769" s="2"/>
      <c r="E769" s="2"/>
      <c r="L769" s="2"/>
      <c r="M769" s="2"/>
    </row>
    <row r="770" ht="15.75" customHeight="1">
      <c r="B770" s="2"/>
      <c r="C770" s="2"/>
      <c r="D770" s="2"/>
      <c r="E770" s="2"/>
      <c r="L770" s="2"/>
      <c r="M770" s="2"/>
    </row>
    <row r="771" ht="15.75" customHeight="1">
      <c r="B771" s="2"/>
      <c r="C771" s="2"/>
      <c r="D771" s="2"/>
      <c r="E771" s="2"/>
      <c r="L771" s="2"/>
      <c r="M771" s="2"/>
    </row>
    <row r="772" ht="15.75" customHeight="1">
      <c r="B772" s="2"/>
      <c r="C772" s="2"/>
      <c r="D772" s="2"/>
      <c r="E772" s="2"/>
      <c r="L772" s="2"/>
      <c r="M772" s="2"/>
    </row>
    <row r="773" ht="15.75" customHeight="1">
      <c r="B773" s="2"/>
      <c r="C773" s="2"/>
      <c r="D773" s="2"/>
      <c r="E773" s="2"/>
      <c r="L773" s="2"/>
      <c r="M773" s="2"/>
    </row>
    <row r="774" ht="15.75" customHeight="1">
      <c r="B774" s="2"/>
      <c r="C774" s="2"/>
      <c r="D774" s="2"/>
      <c r="E774" s="2"/>
      <c r="L774" s="2"/>
      <c r="M774" s="2"/>
    </row>
    <row r="775" ht="15.75" customHeight="1">
      <c r="B775" s="2"/>
      <c r="C775" s="2"/>
      <c r="D775" s="2"/>
      <c r="E775" s="2"/>
      <c r="L775" s="2"/>
      <c r="M775" s="2"/>
    </row>
    <row r="776" ht="15.75" customHeight="1">
      <c r="B776" s="2"/>
      <c r="C776" s="2"/>
      <c r="D776" s="2"/>
      <c r="E776" s="2"/>
      <c r="L776" s="2"/>
      <c r="M776" s="2"/>
    </row>
    <row r="777" ht="15.75" customHeight="1">
      <c r="B777" s="2"/>
      <c r="C777" s="2"/>
      <c r="D777" s="2"/>
      <c r="E777" s="2"/>
      <c r="L777" s="2"/>
      <c r="M777" s="2"/>
    </row>
    <row r="778" ht="15.75" customHeight="1">
      <c r="B778" s="2"/>
      <c r="C778" s="2"/>
      <c r="D778" s="2"/>
      <c r="E778" s="2"/>
      <c r="L778" s="2"/>
      <c r="M778" s="2"/>
    </row>
    <row r="779" ht="15.75" customHeight="1">
      <c r="B779" s="2"/>
      <c r="C779" s="2"/>
      <c r="D779" s="2"/>
      <c r="E779" s="2"/>
      <c r="L779" s="2"/>
      <c r="M779" s="2"/>
    </row>
    <row r="780" ht="15.75" customHeight="1">
      <c r="B780" s="2"/>
      <c r="C780" s="2"/>
      <c r="D780" s="2"/>
      <c r="E780" s="2"/>
      <c r="L780" s="2"/>
      <c r="M780" s="2"/>
    </row>
    <row r="781" ht="15.75" customHeight="1">
      <c r="B781" s="2"/>
      <c r="C781" s="2"/>
      <c r="D781" s="2"/>
      <c r="E781" s="2"/>
      <c r="L781" s="2"/>
      <c r="M781" s="2"/>
    </row>
    <row r="782" ht="15.75" customHeight="1">
      <c r="B782" s="2"/>
      <c r="C782" s="2"/>
      <c r="D782" s="2"/>
      <c r="E782" s="2"/>
      <c r="L782" s="2"/>
      <c r="M782" s="2"/>
    </row>
    <row r="783" ht="15.75" customHeight="1">
      <c r="B783" s="2"/>
      <c r="C783" s="2"/>
      <c r="D783" s="2"/>
      <c r="E783" s="2"/>
      <c r="L783" s="2"/>
      <c r="M783" s="2"/>
    </row>
    <row r="784" ht="15.75" customHeight="1">
      <c r="B784" s="2"/>
      <c r="C784" s="2"/>
      <c r="D784" s="2"/>
      <c r="E784" s="2"/>
      <c r="L784" s="2"/>
      <c r="M784" s="2"/>
    </row>
    <row r="785" ht="15.75" customHeight="1">
      <c r="B785" s="2"/>
      <c r="C785" s="2"/>
      <c r="D785" s="2"/>
      <c r="E785" s="2"/>
      <c r="L785" s="2"/>
      <c r="M785" s="2"/>
    </row>
    <row r="786" ht="15.75" customHeight="1">
      <c r="B786" s="2"/>
      <c r="C786" s="2"/>
      <c r="D786" s="2"/>
      <c r="E786" s="2"/>
      <c r="L786" s="2"/>
      <c r="M786" s="2"/>
    </row>
    <row r="787" ht="15.75" customHeight="1">
      <c r="B787" s="2"/>
      <c r="C787" s="2"/>
      <c r="D787" s="2"/>
      <c r="E787" s="2"/>
      <c r="L787" s="2"/>
      <c r="M787" s="2"/>
    </row>
    <row r="788" ht="15.75" customHeight="1">
      <c r="B788" s="2"/>
      <c r="C788" s="2"/>
      <c r="D788" s="2"/>
      <c r="E788" s="2"/>
      <c r="L788" s="2"/>
      <c r="M788" s="2"/>
    </row>
    <row r="789" ht="15.75" customHeight="1">
      <c r="B789" s="2"/>
      <c r="C789" s="2"/>
      <c r="D789" s="2"/>
      <c r="E789" s="2"/>
      <c r="L789" s="2"/>
      <c r="M789" s="2"/>
    </row>
    <row r="790" ht="15.75" customHeight="1">
      <c r="B790" s="2"/>
      <c r="C790" s="2"/>
      <c r="D790" s="2"/>
      <c r="E790" s="2"/>
      <c r="L790" s="2"/>
      <c r="M790" s="2"/>
    </row>
    <row r="791" ht="15.75" customHeight="1">
      <c r="B791" s="2"/>
      <c r="C791" s="2"/>
      <c r="D791" s="2"/>
      <c r="E791" s="2"/>
      <c r="L791" s="2"/>
      <c r="M791" s="2"/>
    </row>
    <row r="792" ht="15.75" customHeight="1">
      <c r="B792" s="2"/>
      <c r="C792" s="2"/>
      <c r="D792" s="2"/>
      <c r="E792" s="2"/>
      <c r="L792" s="2"/>
      <c r="M792" s="2"/>
    </row>
    <row r="793" ht="15.75" customHeight="1">
      <c r="B793" s="2"/>
      <c r="C793" s="2"/>
      <c r="D793" s="2"/>
      <c r="E793" s="2"/>
      <c r="L793" s="2"/>
      <c r="M793" s="2"/>
    </row>
    <row r="794" ht="15.75" customHeight="1">
      <c r="B794" s="2"/>
      <c r="C794" s="2"/>
      <c r="D794" s="2"/>
      <c r="E794" s="2"/>
      <c r="L794" s="2"/>
      <c r="M794" s="2"/>
    </row>
    <row r="795" ht="15.75" customHeight="1">
      <c r="B795" s="2"/>
      <c r="C795" s="2"/>
      <c r="D795" s="2"/>
      <c r="E795" s="2"/>
      <c r="L795" s="2"/>
      <c r="M795" s="2"/>
    </row>
    <row r="796" ht="15.75" customHeight="1">
      <c r="B796" s="2"/>
      <c r="C796" s="2"/>
      <c r="D796" s="2"/>
      <c r="E796" s="2"/>
      <c r="L796" s="2"/>
      <c r="M796" s="2"/>
    </row>
    <row r="797" ht="15.75" customHeight="1">
      <c r="B797" s="2"/>
      <c r="C797" s="2"/>
      <c r="D797" s="2"/>
      <c r="E797" s="2"/>
      <c r="L797" s="2"/>
      <c r="M797" s="2"/>
    </row>
    <row r="798" ht="15.75" customHeight="1">
      <c r="B798" s="2"/>
      <c r="C798" s="2"/>
      <c r="D798" s="2"/>
      <c r="E798" s="2"/>
      <c r="L798" s="2"/>
      <c r="M798" s="2"/>
    </row>
    <row r="799" ht="15.75" customHeight="1">
      <c r="B799" s="2"/>
      <c r="C799" s="2"/>
      <c r="D799" s="2"/>
      <c r="E799" s="2"/>
      <c r="L799" s="2"/>
      <c r="M799" s="2"/>
    </row>
    <row r="800" ht="15.75" customHeight="1">
      <c r="B800" s="2"/>
      <c r="C800" s="2"/>
      <c r="D800" s="2"/>
      <c r="E800" s="2"/>
      <c r="L800" s="2"/>
      <c r="M800" s="2"/>
    </row>
    <row r="801" ht="15.75" customHeight="1">
      <c r="B801" s="2"/>
      <c r="C801" s="2"/>
      <c r="D801" s="2"/>
      <c r="E801" s="2"/>
      <c r="L801" s="2"/>
      <c r="M801" s="2"/>
    </row>
    <row r="802" ht="15.75" customHeight="1">
      <c r="B802" s="2"/>
      <c r="C802" s="2"/>
      <c r="D802" s="2"/>
      <c r="E802" s="2"/>
      <c r="L802" s="2"/>
      <c r="M802" s="2"/>
    </row>
    <row r="803" ht="15.75" customHeight="1">
      <c r="B803" s="2"/>
      <c r="C803" s="2"/>
      <c r="D803" s="2"/>
      <c r="E803" s="2"/>
      <c r="L803" s="2"/>
      <c r="M803" s="2"/>
    </row>
    <row r="804" ht="15.75" customHeight="1">
      <c r="B804" s="2"/>
      <c r="C804" s="2"/>
      <c r="D804" s="2"/>
      <c r="E804" s="2"/>
      <c r="L804" s="2"/>
      <c r="M804" s="2"/>
    </row>
    <row r="805" ht="15.75" customHeight="1">
      <c r="B805" s="2"/>
      <c r="C805" s="2"/>
      <c r="D805" s="2"/>
      <c r="E805" s="2"/>
      <c r="L805" s="2"/>
      <c r="M805" s="2"/>
    </row>
    <row r="806" ht="15.75" customHeight="1">
      <c r="B806" s="2"/>
      <c r="C806" s="2"/>
      <c r="D806" s="2"/>
      <c r="E806" s="2"/>
      <c r="L806" s="2"/>
      <c r="M806" s="2"/>
    </row>
    <row r="807" ht="15.75" customHeight="1">
      <c r="B807" s="2"/>
      <c r="C807" s="2"/>
      <c r="D807" s="2"/>
      <c r="E807" s="2"/>
      <c r="L807" s="2"/>
      <c r="M807" s="2"/>
    </row>
    <row r="808" ht="15.75" customHeight="1">
      <c r="B808" s="2"/>
      <c r="C808" s="2"/>
      <c r="D808" s="2"/>
      <c r="E808" s="2"/>
      <c r="L808" s="2"/>
      <c r="M808" s="2"/>
    </row>
    <row r="809" ht="15.75" customHeight="1">
      <c r="B809" s="2"/>
      <c r="C809" s="2"/>
      <c r="D809" s="2"/>
      <c r="E809" s="2"/>
      <c r="L809" s="2"/>
      <c r="M809" s="2"/>
    </row>
    <row r="810" ht="15.75" customHeight="1">
      <c r="B810" s="2"/>
      <c r="C810" s="2"/>
      <c r="D810" s="2"/>
      <c r="E810" s="2"/>
      <c r="L810" s="2"/>
      <c r="M810" s="2"/>
    </row>
    <row r="811" ht="15.75" customHeight="1">
      <c r="B811" s="2"/>
      <c r="C811" s="2"/>
      <c r="D811" s="2"/>
      <c r="E811" s="2"/>
      <c r="L811" s="2"/>
      <c r="M811" s="2"/>
    </row>
    <row r="812" ht="15.75" customHeight="1">
      <c r="B812" s="2"/>
      <c r="C812" s="2"/>
      <c r="D812" s="2"/>
      <c r="E812" s="2"/>
      <c r="L812" s="2"/>
      <c r="M812" s="2"/>
    </row>
    <row r="813" ht="15.75" customHeight="1">
      <c r="B813" s="2"/>
      <c r="C813" s="2"/>
      <c r="D813" s="2"/>
      <c r="E813" s="2"/>
      <c r="L813" s="2"/>
      <c r="M813" s="2"/>
    </row>
    <row r="814" ht="15.75" customHeight="1">
      <c r="B814" s="2"/>
      <c r="C814" s="2"/>
      <c r="D814" s="2"/>
      <c r="E814" s="2"/>
      <c r="L814" s="2"/>
      <c r="M814" s="2"/>
    </row>
    <row r="815" ht="15.75" customHeight="1">
      <c r="B815" s="2"/>
      <c r="C815" s="2"/>
      <c r="D815" s="2"/>
      <c r="E815" s="2"/>
      <c r="L815" s="2"/>
      <c r="M815" s="2"/>
    </row>
    <row r="816" ht="15.75" customHeight="1">
      <c r="B816" s="2"/>
      <c r="C816" s="2"/>
      <c r="D816" s="2"/>
      <c r="E816" s="2"/>
      <c r="L816" s="2"/>
      <c r="M816" s="2"/>
    </row>
    <row r="817" ht="15.75" customHeight="1">
      <c r="B817" s="2"/>
      <c r="C817" s="2"/>
      <c r="D817" s="2"/>
      <c r="E817" s="2"/>
      <c r="L817" s="2"/>
      <c r="M817" s="2"/>
    </row>
    <row r="818" ht="15.75" customHeight="1">
      <c r="B818" s="2"/>
      <c r="C818" s="2"/>
      <c r="D818" s="2"/>
      <c r="E818" s="2"/>
      <c r="L818" s="2"/>
      <c r="M818" s="2"/>
    </row>
    <row r="819" ht="15.75" customHeight="1">
      <c r="B819" s="2"/>
      <c r="C819" s="2"/>
      <c r="D819" s="2"/>
      <c r="E819" s="2"/>
      <c r="L819" s="2"/>
      <c r="M819" s="2"/>
    </row>
    <row r="820" ht="15.75" customHeight="1">
      <c r="B820" s="2"/>
      <c r="C820" s="2"/>
      <c r="D820" s="2"/>
      <c r="E820" s="2"/>
      <c r="L820" s="2"/>
      <c r="M820" s="2"/>
    </row>
    <row r="821" ht="15.75" customHeight="1">
      <c r="B821" s="2"/>
      <c r="C821" s="2"/>
      <c r="D821" s="2"/>
      <c r="E821" s="2"/>
      <c r="L821" s="2"/>
      <c r="M821" s="2"/>
    </row>
    <row r="822" ht="15.75" customHeight="1">
      <c r="B822" s="2"/>
      <c r="C822" s="2"/>
      <c r="D822" s="2"/>
      <c r="E822" s="2"/>
      <c r="L822" s="2"/>
      <c r="M822" s="2"/>
    </row>
    <row r="823" ht="15.75" customHeight="1">
      <c r="B823" s="2"/>
      <c r="C823" s="2"/>
      <c r="D823" s="2"/>
      <c r="E823" s="2"/>
      <c r="L823" s="2"/>
      <c r="M823" s="2"/>
    </row>
    <row r="824" ht="15.75" customHeight="1">
      <c r="B824" s="2"/>
      <c r="C824" s="2"/>
      <c r="D824" s="2"/>
      <c r="E824" s="2"/>
      <c r="L824" s="2"/>
      <c r="M824" s="2"/>
    </row>
    <row r="825" ht="15.75" customHeight="1">
      <c r="B825" s="2"/>
      <c r="C825" s="2"/>
      <c r="D825" s="2"/>
      <c r="E825" s="2"/>
      <c r="L825" s="2"/>
      <c r="M825" s="2"/>
    </row>
    <row r="826" ht="15.75" customHeight="1">
      <c r="B826" s="2"/>
      <c r="C826" s="2"/>
      <c r="D826" s="2"/>
      <c r="E826" s="2"/>
      <c r="L826" s="2"/>
      <c r="M826" s="2"/>
    </row>
    <row r="827" ht="15.75" customHeight="1">
      <c r="B827" s="2"/>
      <c r="C827" s="2"/>
      <c r="D827" s="2"/>
      <c r="E827" s="2"/>
      <c r="L827" s="2"/>
      <c r="M827" s="2"/>
    </row>
    <row r="828" ht="15.75" customHeight="1">
      <c r="B828" s="2"/>
      <c r="C828" s="2"/>
      <c r="D828" s="2"/>
      <c r="E828" s="2"/>
      <c r="L828" s="2"/>
      <c r="M828" s="2"/>
    </row>
    <row r="829" ht="15.75" customHeight="1">
      <c r="B829" s="2"/>
      <c r="C829" s="2"/>
      <c r="D829" s="2"/>
      <c r="E829" s="2"/>
      <c r="L829" s="2"/>
      <c r="M829" s="2"/>
    </row>
    <row r="830" ht="15.75" customHeight="1">
      <c r="B830" s="2"/>
      <c r="C830" s="2"/>
      <c r="D830" s="2"/>
      <c r="E830" s="2"/>
      <c r="L830" s="2"/>
      <c r="M830" s="2"/>
    </row>
    <row r="831" ht="15.75" customHeight="1">
      <c r="B831" s="2"/>
      <c r="C831" s="2"/>
      <c r="D831" s="2"/>
      <c r="E831" s="2"/>
      <c r="L831" s="2"/>
      <c r="M831" s="2"/>
    </row>
    <row r="832" ht="15.75" customHeight="1">
      <c r="B832" s="2"/>
      <c r="C832" s="2"/>
      <c r="D832" s="2"/>
      <c r="E832" s="2"/>
      <c r="L832" s="2"/>
      <c r="M832" s="2"/>
    </row>
    <row r="833" ht="15.75" customHeight="1">
      <c r="B833" s="2"/>
      <c r="C833" s="2"/>
      <c r="D833" s="2"/>
      <c r="E833" s="2"/>
      <c r="L833" s="2"/>
      <c r="M833" s="2"/>
    </row>
    <row r="834" ht="15.75" customHeight="1">
      <c r="B834" s="2"/>
      <c r="C834" s="2"/>
      <c r="D834" s="2"/>
      <c r="E834" s="2"/>
      <c r="L834" s="2"/>
      <c r="M834" s="2"/>
    </row>
    <row r="835" ht="15.75" customHeight="1">
      <c r="B835" s="2"/>
      <c r="C835" s="2"/>
      <c r="D835" s="2"/>
      <c r="E835" s="2"/>
      <c r="L835" s="2"/>
      <c r="M835" s="2"/>
    </row>
    <row r="836" ht="15.75" customHeight="1">
      <c r="B836" s="2"/>
      <c r="C836" s="2"/>
      <c r="D836" s="2"/>
      <c r="E836" s="2"/>
      <c r="L836" s="2"/>
      <c r="M836" s="2"/>
    </row>
    <row r="837" ht="15.75" customHeight="1">
      <c r="B837" s="2"/>
      <c r="C837" s="2"/>
      <c r="D837" s="2"/>
      <c r="E837" s="2"/>
      <c r="L837" s="2"/>
      <c r="M837" s="2"/>
    </row>
    <row r="838" ht="15.75" customHeight="1">
      <c r="B838" s="2"/>
      <c r="C838" s="2"/>
      <c r="D838" s="2"/>
      <c r="E838" s="2"/>
      <c r="L838" s="2"/>
      <c r="M838" s="2"/>
    </row>
    <row r="839" ht="15.75" customHeight="1">
      <c r="B839" s="2"/>
      <c r="C839" s="2"/>
      <c r="D839" s="2"/>
      <c r="E839" s="2"/>
      <c r="L839" s="2"/>
      <c r="M839" s="2"/>
    </row>
    <row r="840" ht="15.75" customHeight="1">
      <c r="B840" s="2"/>
      <c r="C840" s="2"/>
      <c r="D840" s="2"/>
      <c r="E840" s="2"/>
      <c r="L840" s="2"/>
      <c r="M840" s="2"/>
    </row>
    <row r="841" ht="15.75" customHeight="1">
      <c r="B841" s="2"/>
      <c r="C841" s="2"/>
      <c r="D841" s="2"/>
      <c r="E841" s="2"/>
      <c r="L841" s="2"/>
      <c r="M841" s="2"/>
    </row>
    <row r="842" ht="15.75" customHeight="1">
      <c r="B842" s="2"/>
      <c r="C842" s="2"/>
      <c r="D842" s="2"/>
      <c r="E842" s="2"/>
      <c r="L842" s="2"/>
      <c r="M842" s="2"/>
    </row>
    <row r="843" ht="15.75" customHeight="1">
      <c r="B843" s="2"/>
      <c r="C843" s="2"/>
      <c r="D843" s="2"/>
      <c r="E843" s="2"/>
      <c r="L843" s="2"/>
      <c r="M843" s="2"/>
    </row>
    <row r="844" ht="15.75" customHeight="1">
      <c r="B844" s="2"/>
      <c r="C844" s="2"/>
      <c r="D844" s="2"/>
      <c r="E844" s="2"/>
      <c r="L844" s="2"/>
      <c r="M844" s="2"/>
    </row>
    <row r="845" ht="15.75" customHeight="1">
      <c r="B845" s="2"/>
      <c r="C845" s="2"/>
      <c r="D845" s="2"/>
      <c r="E845" s="2"/>
      <c r="L845" s="2"/>
      <c r="M845" s="2"/>
    </row>
    <row r="846" ht="15.75" customHeight="1">
      <c r="B846" s="2"/>
      <c r="C846" s="2"/>
      <c r="D846" s="2"/>
      <c r="E846" s="2"/>
      <c r="L846" s="2"/>
      <c r="M846" s="2"/>
    </row>
    <row r="847" ht="15.75" customHeight="1">
      <c r="B847" s="2"/>
      <c r="C847" s="2"/>
      <c r="D847" s="2"/>
      <c r="E847" s="2"/>
      <c r="L847" s="2"/>
      <c r="M847" s="2"/>
    </row>
    <row r="848" ht="15.75" customHeight="1">
      <c r="B848" s="2"/>
      <c r="C848" s="2"/>
      <c r="D848" s="2"/>
      <c r="E848" s="2"/>
      <c r="L848" s="2"/>
      <c r="M848" s="2"/>
    </row>
    <row r="849" ht="15.75" customHeight="1">
      <c r="B849" s="2"/>
      <c r="C849" s="2"/>
      <c r="D849" s="2"/>
      <c r="E849" s="2"/>
      <c r="L849" s="2"/>
      <c r="M849" s="2"/>
    </row>
    <row r="850" ht="15.75" customHeight="1">
      <c r="B850" s="2"/>
      <c r="C850" s="2"/>
      <c r="D850" s="2"/>
      <c r="E850" s="2"/>
      <c r="L850" s="2"/>
      <c r="M850" s="2"/>
    </row>
    <row r="851" ht="15.75" customHeight="1">
      <c r="B851" s="2"/>
      <c r="C851" s="2"/>
      <c r="D851" s="2"/>
      <c r="E851" s="2"/>
      <c r="L851" s="2"/>
      <c r="M851" s="2"/>
    </row>
    <row r="852" ht="15.75" customHeight="1">
      <c r="B852" s="2"/>
      <c r="C852" s="2"/>
      <c r="D852" s="2"/>
      <c r="E852" s="2"/>
      <c r="L852" s="2"/>
      <c r="M852" s="2"/>
    </row>
    <row r="853" ht="15.75" customHeight="1">
      <c r="B853" s="2"/>
      <c r="C853" s="2"/>
      <c r="D853" s="2"/>
      <c r="E853" s="2"/>
      <c r="L853" s="2"/>
      <c r="M853" s="2"/>
    </row>
    <row r="854" ht="15.75" customHeight="1">
      <c r="B854" s="2"/>
      <c r="C854" s="2"/>
      <c r="D854" s="2"/>
      <c r="E854" s="2"/>
      <c r="L854" s="2"/>
      <c r="M854" s="2"/>
    </row>
    <row r="855" ht="15.75" customHeight="1">
      <c r="B855" s="2"/>
      <c r="C855" s="2"/>
      <c r="D855" s="2"/>
      <c r="E855" s="2"/>
      <c r="L855" s="2"/>
      <c r="M855" s="2"/>
    </row>
    <row r="856" ht="15.75" customHeight="1">
      <c r="B856" s="2"/>
      <c r="C856" s="2"/>
      <c r="D856" s="2"/>
      <c r="E856" s="2"/>
      <c r="L856" s="2"/>
      <c r="M856" s="2"/>
    </row>
    <row r="857" ht="15.75" customHeight="1">
      <c r="B857" s="2"/>
      <c r="C857" s="2"/>
      <c r="D857" s="2"/>
      <c r="E857" s="2"/>
      <c r="L857" s="2"/>
      <c r="M857" s="2"/>
    </row>
    <row r="858" ht="15.75" customHeight="1">
      <c r="B858" s="2"/>
      <c r="C858" s="2"/>
      <c r="D858" s="2"/>
      <c r="E858" s="2"/>
      <c r="L858" s="2"/>
      <c r="M858" s="2"/>
    </row>
    <row r="859" ht="15.75" customHeight="1">
      <c r="B859" s="2"/>
      <c r="C859" s="2"/>
      <c r="D859" s="2"/>
      <c r="E859" s="2"/>
      <c r="L859" s="2"/>
      <c r="M859" s="2"/>
    </row>
    <row r="860" ht="15.75" customHeight="1">
      <c r="B860" s="2"/>
      <c r="C860" s="2"/>
      <c r="D860" s="2"/>
      <c r="E860" s="2"/>
      <c r="L860" s="2"/>
      <c r="M860" s="2"/>
    </row>
    <row r="861" ht="15.75" customHeight="1">
      <c r="B861" s="2"/>
      <c r="C861" s="2"/>
      <c r="D861" s="2"/>
      <c r="E861" s="2"/>
      <c r="L861" s="2"/>
      <c r="M861" s="2"/>
    </row>
    <row r="862" ht="15.75" customHeight="1">
      <c r="B862" s="2"/>
      <c r="C862" s="2"/>
      <c r="D862" s="2"/>
      <c r="E862" s="2"/>
      <c r="L862" s="2"/>
      <c r="M862" s="2"/>
    </row>
    <row r="863" ht="15.75" customHeight="1">
      <c r="B863" s="2"/>
      <c r="C863" s="2"/>
      <c r="D863" s="2"/>
      <c r="E863" s="2"/>
      <c r="L863" s="2"/>
      <c r="M863" s="2"/>
    </row>
    <row r="864" ht="15.75" customHeight="1">
      <c r="B864" s="2"/>
      <c r="C864" s="2"/>
      <c r="D864" s="2"/>
      <c r="E864" s="2"/>
      <c r="L864" s="2"/>
      <c r="M864" s="2"/>
    </row>
    <row r="865" ht="15.75" customHeight="1">
      <c r="B865" s="2"/>
      <c r="C865" s="2"/>
      <c r="D865" s="2"/>
      <c r="E865" s="2"/>
      <c r="L865" s="2"/>
      <c r="M865" s="2"/>
    </row>
    <row r="866" ht="15.75" customHeight="1">
      <c r="B866" s="2"/>
      <c r="C866" s="2"/>
      <c r="D866" s="2"/>
      <c r="E866" s="2"/>
      <c r="L866" s="2"/>
      <c r="M866" s="2"/>
    </row>
    <row r="867" ht="15.75" customHeight="1">
      <c r="B867" s="2"/>
      <c r="C867" s="2"/>
      <c r="D867" s="2"/>
      <c r="E867" s="2"/>
      <c r="L867" s="2"/>
      <c r="M867" s="2"/>
    </row>
    <row r="868" ht="15.75" customHeight="1">
      <c r="B868" s="2"/>
      <c r="C868" s="2"/>
      <c r="D868" s="2"/>
      <c r="E868" s="2"/>
      <c r="L868" s="2"/>
      <c r="M868" s="2"/>
    </row>
    <row r="869" ht="15.75" customHeight="1">
      <c r="B869" s="2"/>
      <c r="C869" s="2"/>
      <c r="D869" s="2"/>
      <c r="E869" s="2"/>
      <c r="L869" s="2"/>
      <c r="M869" s="2"/>
    </row>
    <row r="870" ht="15.75" customHeight="1">
      <c r="B870" s="2"/>
      <c r="C870" s="2"/>
      <c r="D870" s="2"/>
      <c r="E870" s="2"/>
      <c r="L870" s="2"/>
      <c r="M870" s="2"/>
    </row>
    <row r="871" ht="15.75" customHeight="1">
      <c r="B871" s="2"/>
      <c r="C871" s="2"/>
      <c r="D871" s="2"/>
      <c r="E871" s="2"/>
      <c r="L871" s="2"/>
      <c r="M871" s="2"/>
    </row>
    <row r="872" ht="15.75" customHeight="1">
      <c r="B872" s="2"/>
      <c r="C872" s="2"/>
      <c r="D872" s="2"/>
      <c r="E872" s="2"/>
      <c r="L872" s="2"/>
      <c r="M872" s="2"/>
    </row>
    <row r="873" ht="15.75" customHeight="1">
      <c r="B873" s="2"/>
      <c r="C873" s="2"/>
      <c r="D873" s="2"/>
      <c r="E873" s="2"/>
      <c r="L873" s="2"/>
      <c r="M873" s="2"/>
    </row>
    <row r="874" ht="15.75" customHeight="1">
      <c r="B874" s="2"/>
      <c r="C874" s="2"/>
      <c r="D874" s="2"/>
      <c r="E874" s="2"/>
      <c r="L874" s="2"/>
      <c r="M874" s="2"/>
    </row>
    <row r="875" ht="15.75" customHeight="1">
      <c r="B875" s="2"/>
      <c r="C875" s="2"/>
      <c r="D875" s="2"/>
      <c r="E875" s="2"/>
      <c r="L875" s="2"/>
      <c r="M875" s="2"/>
    </row>
    <row r="876" ht="15.75" customHeight="1">
      <c r="B876" s="2"/>
      <c r="C876" s="2"/>
      <c r="D876" s="2"/>
      <c r="E876" s="2"/>
      <c r="L876" s="2"/>
      <c r="M876" s="2"/>
    </row>
    <row r="877" ht="15.75" customHeight="1">
      <c r="B877" s="2"/>
      <c r="C877" s="2"/>
      <c r="D877" s="2"/>
      <c r="E877" s="2"/>
      <c r="L877" s="2"/>
      <c r="M877" s="2"/>
    </row>
    <row r="878" ht="15.75" customHeight="1">
      <c r="B878" s="2"/>
      <c r="C878" s="2"/>
      <c r="D878" s="2"/>
      <c r="E878" s="2"/>
      <c r="L878" s="2"/>
      <c r="M878" s="2"/>
    </row>
    <row r="879" ht="15.75" customHeight="1">
      <c r="B879" s="2"/>
      <c r="C879" s="2"/>
      <c r="D879" s="2"/>
      <c r="E879" s="2"/>
      <c r="L879" s="2"/>
      <c r="M879" s="2"/>
    </row>
    <row r="880" ht="15.75" customHeight="1">
      <c r="B880" s="2"/>
      <c r="C880" s="2"/>
      <c r="D880" s="2"/>
      <c r="E880" s="2"/>
      <c r="L880" s="2"/>
      <c r="M880" s="2"/>
    </row>
    <row r="881" ht="15.75" customHeight="1">
      <c r="B881" s="2"/>
      <c r="C881" s="2"/>
      <c r="D881" s="2"/>
      <c r="E881" s="2"/>
      <c r="L881" s="2"/>
      <c r="M881" s="2"/>
    </row>
    <row r="882" ht="15.75" customHeight="1">
      <c r="B882" s="2"/>
      <c r="C882" s="2"/>
      <c r="D882" s="2"/>
      <c r="E882" s="2"/>
      <c r="L882" s="2"/>
      <c r="M882" s="2"/>
    </row>
    <row r="883" ht="15.75" customHeight="1">
      <c r="B883" s="2"/>
      <c r="C883" s="2"/>
      <c r="D883" s="2"/>
      <c r="E883" s="2"/>
      <c r="L883" s="2"/>
      <c r="M883" s="2"/>
    </row>
    <row r="884" ht="15.75" customHeight="1">
      <c r="B884" s="2"/>
      <c r="C884" s="2"/>
      <c r="D884" s="2"/>
      <c r="E884" s="2"/>
      <c r="L884" s="2"/>
      <c r="M884" s="2"/>
    </row>
    <row r="885" ht="15.75" customHeight="1">
      <c r="B885" s="2"/>
      <c r="C885" s="2"/>
      <c r="D885" s="2"/>
      <c r="E885" s="2"/>
      <c r="L885" s="2"/>
      <c r="M885" s="2"/>
    </row>
    <row r="886" ht="15.75" customHeight="1">
      <c r="B886" s="2"/>
      <c r="C886" s="2"/>
      <c r="D886" s="2"/>
      <c r="E886" s="2"/>
      <c r="L886" s="2"/>
      <c r="M886" s="2"/>
    </row>
    <row r="887" ht="15.75" customHeight="1">
      <c r="B887" s="2"/>
      <c r="C887" s="2"/>
      <c r="D887" s="2"/>
      <c r="E887" s="2"/>
      <c r="L887" s="2"/>
      <c r="M887" s="2"/>
    </row>
    <row r="888" ht="15.75" customHeight="1">
      <c r="B888" s="2"/>
      <c r="C888" s="2"/>
      <c r="D888" s="2"/>
      <c r="E888" s="2"/>
      <c r="L888" s="2"/>
      <c r="M888" s="2"/>
    </row>
    <row r="889" ht="15.75" customHeight="1">
      <c r="B889" s="2"/>
      <c r="C889" s="2"/>
      <c r="D889" s="2"/>
      <c r="E889" s="2"/>
      <c r="L889" s="2"/>
      <c r="M889" s="2"/>
    </row>
    <row r="890" ht="15.75" customHeight="1">
      <c r="B890" s="2"/>
      <c r="C890" s="2"/>
      <c r="D890" s="2"/>
      <c r="E890" s="2"/>
      <c r="L890" s="2"/>
      <c r="M890" s="2"/>
    </row>
    <row r="891" ht="15.75" customHeight="1">
      <c r="B891" s="2"/>
      <c r="C891" s="2"/>
      <c r="D891" s="2"/>
      <c r="E891" s="2"/>
      <c r="L891" s="2"/>
      <c r="M891" s="2"/>
    </row>
    <row r="892" ht="15.75" customHeight="1">
      <c r="B892" s="2"/>
      <c r="C892" s="2"/>
      <c r="D892" s="2"/>
      <c r="E892" s="2"/>
      <c r="L892" s="2"/>
      <c r="M892" s="2"/>
    </row>
    <row r="893" ht="15.75" customHeight="1">
      <c r="B893" s="2"/>
      <c r="C893" s="2"/>
      <c r="D893" s="2"/>
      <c r="E893" s="2"/>
      <c r="L893" s="2"/>
      <c r="M893" s="2"/>
    </row>
    <row r="894" ht="15.75" customHeight="1">
      <c r="B894" s="2"/>
      <c r="C894" s="2"/>
      <c r="D894" s="2"/>
      <c r="E894" s="2"/>
      <c r="L894" s="2"/>
      <c r="M894" s="2"/>
    </row>
    <row r="895" ht="15.75" customHeight="1">
      <c r="B895" s="2"/>
      <c r="C895" s="2"/>
      <c r="D895" s="2"/>
      <c r="E895" s="2"/>
      <c r="L895" s="2"/>
      <c r="M895" s="2"/>
    </row>
    <row r="896" ht="15.75" customHeight="1">
      <c r="B896" s="2"/>
      <c r="C896" s="2"/>
      <c r="D896" s="2"/>
      <c r="E896" s="2"/>
      <c r="L896" s="2"/>
      <c r="M896" s="2"/>
    </row>
    <row r="897" ht="15.75" customHeight="1">
      <c r="B897" s="2"/>
      <c r="C897" s="2"/>
      <c r="D897" s="2"/>
      <c r="E897" s="2"/>
      <c r="L897" s="2"/>
      <c r="M897" s="2"/>
    </row>
    <row r="898" ht="15.75" customHeight="1">
      <c r="B898" s="2"/>
      <c r="C898" s="2"/>
      <c r="D898" s="2"/>
      <c r="E898" s="2"/>
      <c r="L898" s="2"/>
      <c r="M898" s="2"/>
    </row>
    <row r="899" ht="15.75" customHeight="1">
      <c r="B899" s="2"/>
      <c r="C899" s="2"/>
      <c r="D899" s="2"/>
      <c r="E899" s="2"/>
      <c r="L899" s="2"/>
      <c r="M899" s="2"/>
    </row>
    <row r="900" ht="15.75" customHeight="1">
      <c r="B900" s="2"/>
      <c r="C900" s="2"/>
      <c r="D900" s="2"/>
      <c r="E900" s="2"/>
      <c r="L900" s="2"/>
      <c r="M900" s="2"/>
    </row>
    <row r="901" ht="15.75" customHeight="1">
      <c r="B901" s="2"/>
      <c r="C901" s="2"/>
      <c r="D901" s="2"/>
      <c r="E901" s="2"/>
      <c r="L901" s="2"/>
      <c r="M901" s="2"/>
    </row>
    <row r="902" ht="15.75" customHeight="1">
      <c r="B902" s="2"/>
      <c r="C902" s="2"/>
      <c r="D902" s="2"/>
      <c r="E902" s="2"/>
      <c r="L902" s="2"/>
      <c r="M902" s="2"/>
    </row>
    <row r="903" ht="15.75" customHeight="1">
      <c r="B903" s="2"/>
      <c r="C903" s="2"/>
      <c r="D903" s="2"/>
      <c r="E903" s="2"/>
      <c r="L903" s="2"/>
      <c r="M903" s="2"/>
    </row>
    <row r="904" ht="15.75" customHeight="1">
      <c r="B904" s="2"/>
      <c r="C904" s="2"/>
      <c r="D904" s="2"/>
      <c r="E904" s="2"/>
      <c r="L904" s="2"/>
      <c r="M904" s="2"/>
    </row>
    <row r="905" ht="15.75" customHeight="1">
      <c r="B905" s="2"/>
      <c r="C905" s="2"/>
      <c r="D905" s="2"/>
      <c r="E905" s="2"/>
      <c r="L905" s="2"/>
      <c r="M905" s="2"/>
    </row>
    <row r="906" ht="15.75" customHeight="1">
      <c r="B906" s="2"/>
      <c r="C906" s="2"/>
      <c r="D906" s="2"/>
      <c r="E906" s="2"/>
      <c r="L906" s="2"/>
      <c r="M906" s="2"/>
    </row>
    <row r="907" ht="15.75" customHeight="1">
      <c r="B907" s="2"/>
      <c r="C907" s="2"/>
      <c r="D907" s="2"/>
      <c r="E907" s="2"/>
      <c r="L907" s="2"/>
      <c r="M907" s="2"/>
    </row>
    <row r="908" ht="15.75" customHeight="1">
      <c r="B908" s="2"/>
      <c r="C908" s="2"/>
      <c r="D908" s="2"/>
      <c r="E908" s="2"/>
      <c r="L908" s="2"/>
      <c r="M908" s="2"/>
    </row>
    <row r="909" ht="15.75" customHeight="1">
      <c r="B909" s="2"/>
      <c r="C909" s="2"/>
      <c r="D909" s="2"/>
      <c r="E909" s="2"/>
      <c r="L909" s="2"/>
      <c r="M909" s="2"/>
    </row>
    <row r="910" ht="15.75" customHeight="1">
      <c r="B910" s="2"/>
      <c r="C910" s="2"/>
      <c r="D910" s="2"/>
      <c r="E910" s="2"/>
      <c r="L910" s="2"/>
      <c r="M910" s="2"/>
    </row>
    <row r="911" ht="15.75" customHeight="1">
      <c r="B911" s="2"/>
      <c r="C911" s="2"/>
      <c r="D911" s="2"/>
      <c r="E911" s="2"/>
      <c r="L911" s="2"/>
      <c r="M911" s="2"/>
    </row>
    <row r="912" ht="15.75" customHeight="1">
      <c r="B912" s="2"/>
      <c r="C912" s="2"/>
      <c r="D912" s="2"/>
      <c r="E912" s="2"/>
      <c r="L912" s="2"/>
      <c r="M912" s="2"/>
    </row>
    <row r="913" ht="15.75" customHeight="1">
      <c r="B913" s="2"/>
      <c r="C913" s="2"/>
      <c r="D913" s="2"/>
      <c r="E913" s="2"/>
      <c r="L913" s="2"/>
      <c r="M913" s="2"/>
    </row>
    <row r="914" ht="15.75" customHeight="1">
      <c r="B914" s="2"/>
      <c r="C914" s="2"/>
      <c r="D914" s="2"/>
      <c r="E914" s="2"/>
      <c r="L914" s="2"/>
      <c r="M914" s="2"/>
    </row>
    <row r="915" ht="15.75" customHeight="1">
      <c r="B915" s="2"/>
      <c r="C915" s="2"/>
      <c r="D915" s="2"/>
      <c r="E915" s="2"/>
      <c r="L915" s="2"/>
      <c r="M915" s="2"/>
    </row>
    <row r="916" ht="15.75" customHeight="1">
      <c r="B916" s="2"/>
      <c r="C916" s="2"/>
      <c r="D916" s="2"/>
      <c r="E916" s="2"/>
      <c r="L916" s="2"/>
      <c r="M916" s="2"/>
    </row>
    <row r="917" ht="15.75" customHeight="1">
      <c r="B917" s="2"/>
      <c r="C917" s="2"/>
      <c r="D917" s="2"/>
      <c r="E917" s="2"/>
      <c r="L917" s="2"/>
      <c r="M917" s="2"/>
    </row>
    <row r="918" ht="15.75" customHeight="1">
      <c r="B918" s="2"/>
      <c r="C918" s="2"/>
      <c r="D918" s="2"/>
      <c r="E918" s="2"/>
      <c r="L918" s="2"/>
      <c r="M918" s="2"/>
    </row>
    <row r="919" ht="15.75" customHeight="1">
      <c r="B919" s="2"/>
      <c r="C919" s="2"/>
      <c r="D919" s="2"/>
      <c r="E919" s="2"/>
      <c r="L919" s="2"/>
      <c r="M919" s="2"/>
    </row>
    <row r="920" ht="15.75" customHeight="1">
      <c r="B920" s="2"/>
      <c r="C920" s="2"/>
      <c r="D920" s="2"/>
      <c r="E920" s="2"/>
      <c r="L920" s="2"/>
      <c r="M920" s="2"/>
    </row>
    <row r="921" ht="15.75" customHeight="1">
      <c r="B921" s="2"/>
      <c r="C921" s="2"/>
      <c r="D921" s="2"/>
      <c r="E921" s="2"/>
      <c r="L921" s="2"/>
      <c r="M921" s="2"/>
    </row>
    <row r="922" ht="15.75" customHeight="1">
      <c r="B922" s="2"/>
      <c r="C922" s="2"/>
      <c r="D922" s="2"/>
      <c r="E922" s="2"/>
      <c r="L922" s="2"/>
      <c r="M922" s="2"/>
    </row>
    <row r="923" ht="15.75" customHeight="1">
      <c r="B923" s="2"/>
      <c r="C923" s="2"/>
      <c r="D923" s="2"/>
      <c r="E923" s="2"/>
      <c r="L923" s="2"/>
      <c r="M923" s="2"/>
    </row>
    <row r="924" ht="15.75" customHeight="1">
      <c r="B924" s="2"/>
      <c r="C924" s="2"/>
      <c r="D924" s="2"/>
      <c r="E924" s="2"/>
      <c r="L924" s="2"/>
      <c r="M924" s="2"/>
    </row>
    <row r="925" ht="15.75" customHeight="1">
      <c r="B925" s="2"/>
      <c r="C925" s="2"/>
      <c r="D925" s="2"/>
      <c r="E925" s="2"/>
      <c r="L925" s="2"/>
      <c r="M925" s="2"/>
    </row>
    <row r="926" ht="15.75" customHeight="1">
      <c r="B926" s="2"/>
      <c r="C926" s="2"/>
      <c r="D926" s="2"/>
      <c r="E926" s="2"/>
      <c r="L926" s="2"/>
      <c r="M926" s="2"/>
    </row>
    <row r="927" ht="15.75" customHeight="1">
      <c r="B927" s="2"/>
      <c r="C927" s="2"/>
      <c r="D927" s="2"/>
      <c r="E927" s="2"/>
      <c r="L927" s="2"/>
      <c r="M927" s="2"/>
    </row>
    <row r="928" ht="15.75" customHeight="1">
      <c r="B928" s="2"/>
      <c r="C928" s="2"/>
      <c r="D928" s="2"/>
      <c r="E928" s="2"/>
      <c r="L928" s="2"/>
      <c r="M928" s="2"/>
    </row>
    <row r="929" ht="15.75" customHeight="1">
      <c r="B929" s="2"/>
      <c r="C929" s="2"/>
      <c r="D929" s="2"/>
      <c r="E929" s="2"/>
      <c r="L929" s="2"/>
      <c r="M929" s="2"/>
    </row>
    <row r="930" ht="15.75" customHeight="1">
      <c r="B930" s="2"/>
      <c r="C930" s="2"/>
      <c r="D930" s="2"/>
      <c r="E930" s="2"/>
      <c r="L930" s="2"/>
      <c r="M930" s="2"/>
    </row>
    <row r="931" ht="15.75" customHeight="1">
      <c r="B931" s="2"/>
      <c r="C931" s="2"/>
      <c r="D931" s="2"/>
      <c r="E931" s="2"/>
      <c r="L931" s="2"/>
      <c r="M931" s="2"/>
    </row>
    <row r="932" ht="15.75" customHeight="1">
      <c r="B932" s="2"/>
      <c r="C932" s="2"/>
      <c r="D932" s="2"/>
      <c r="E932" s="2"/>
      <c r="L932" s="2"/>
      <c r="M932" s="2"/>
    </row>
    <row r="933" ht="15.75" customHeight="1">
      <c r="B933" s="2"/>
      <c r="C933" s="2"/>
      <c r="D933" s="2"/>
      <c r="E933" s="2"/>
      <c r="L933" s="2"/>
      <c r="M933" s="2"/>
    </row>
    <row r="934" ht="15.75" customHeight="1">
      <c r="B934" s="2"/>
      <c r="C934" s="2"/>
      <c r="D934" s="2"/>
      <c r="E934" s="2"/>
      <c r="L934" s="2"/>
      <c r="M934" s="2"/>
    </row>
    <row r="935" ht="15.75" customHeight="1">
      <c r="B935" s="2"/>
      <c r="C935" s="2"/>
      <c r="D935" s="2"/>
      <c r="E935" s="2"/>
      <c r="L935" s="2"/>
      <c r="M935" s="2"/>
    </row>
    <row r="936" ht="15.75" customHeight="1">
      <c r="B936" s="2"/>
      <c r="C936" s="2"/>
      <c r="D936" s="2"/>
      <c r="E936" s="2"/>
      <c r="L936" s="2"/>
      <c r="M936" s="2"/>
    </row>
    <row r="937" ht="15.75" customHeight="1">
      <c r="B937" s="2"/>
      <c r="C937" s="2"/>
      <c r="D937" s="2"/>
      <c r="E937" s="2"/>
      <c r="L937" s="2"/>
      <c r="M937" s="2"/>
    </row>
    <row r="938" ht="15.75" customHeight="1">
      <c r="B938" s="2"/>
      <c r="C938" s="2"/>
      <c r="D938" s="2"/>
      <c r="E938" s="2"/>
      <c r="L938" s="2"/>
      <c r="M938" s="2"/>
    </row>
    <row r="939" ht="15.75" customHeight="1">
      <c r="B939" s="2"/>
      <c r="C939" s="2"/>
      <c r="D939" s="2"/>
      <c r="E939" s="2"/>
      <c r="L939" s="2"/>
      <c r="M939" s="2"/>
    </row>
    <row r="940" ht="15.75" customHeight="1">
      <c r="B940" s="2"/>
      <c r="C940" s="2"/>
      <c r="D940" s="2"/>
      <c r="E940" s="2"/>
      <c r="L940" s="2"/>
      <c r="M940" s="2"/>
    </row>
    <row r="941" ht="15.75" customHeight="1">
      <c r="B941" s="2"/>
      <c r="C941" s="2"/>
      <c r="D941" s="2"/>
      <c r="E941" s="2"/>
      <c r="L941" s="2"/>
      <c r="M941" s="2"/>
    </row>
    <row r="942" ht="15.75" customHeight="1">
      <c r="B942" s="2"/>
      <c r="C942" s="2"/>
      <c r="D942" s="2"/>
      <c r="E942" s="2"/>
      <c r="L942" s="2"/>
      <c r="M942" s="2"/>
    </row>
    <row r="943" ht="15.75" customHeight="1">
      <c r="B943" s="2"/>
      <c r="C943" s="2"/>
      <c r="D943" s="2"/>
      <c r="E943" s="2"/>
      <c r="L943" s="2"/>
      <c r="M943" s="2"/>
    </row>
    <row r="944" ht="15.75" customHeight="1">
      <c r="B944" s="2"/>
      <c r="C944" s="2"/>
      <c r="D944" s="2"/>
      <c r="E944" s="2"/>
      <c r="L944" s="2"/>
      <c r="M944" s="2"/>
    </row>
    <row r="945" ht="15.75" customHeight="1">
      <c r="B945" s="2"/>
      <c r="C945" s="2"/>
      <c r="D945" s="2"/>
      <c r="E945" s="2"/>
      <c r="L945" s="2"/>
      <c r="M945" s="2"/>
    </row>
    <row r="946" ht="15.75" customHeight="1">
      <c r="B946" s="2"/>
      <c r="C946" s="2"/>
      <c r="D946" s="2"/>
      <c r="E946" s="2"/>
      <c r="L946" s="2"/>
      <c r="M946" s="2"/>
    </row>
    <row r="947" ht="15.75" customHeight="1">
      <c r="B947" s="2"/>
      <c r="C947" s="2"/>
      <c r="D947" s="2"/>
      <c r="E947" s="2"/>
      <c r="L947" s="2"/>
      <c r="M947" s="2"/>
    </row>
    <row r="948" ht="15.75" customHeight="1">
      <c r="B948" s="2"/>
      <c r="C948" s="2"/>
      <c r="D948" s="2"/>
      <c r="E948" s="2"/>
      <c r="L948" s="2"/>
      <c r="M948" s="2"/>
    </row>
    <row r="949" ht="15.75" customHeight="1">
      <c r="B949" s="2"/>
      <c r="C949" s="2"/>
      <c r="D949" s="2"/>
      <c r="E949" s="2"/>
      <c r="L949" s="2"/>
      <c r="M949" s="2"/>
    </row>
    <row r="950" ht="15.75" customHeight="1">
      <c r="B950" s="2"/>
      <c r="C950" s="2"/>
      <c r="D950" s="2"/>
      <c r="E950" s="2"/>
      <c r="L950" s="2"/>
      <c r="M950" s="2"/>
    </row>
    <row r="951" ht="15.75" customHeight="1">
      <c r="B951" s="2"/>
      <c r="C951" s="2"/>
      <c r="D951" s="2"/>
      <c r="E951" s="2"/>
      <c r="L951" s="2"/>
      <c r="M951" s="2"/>
    </row>
    <row r="952" ht="15.75" customHeight="1">
      <c r="B952" s="2"/>
      <c r="C952" s="2"/>
      <c r="D952" s="2"/>
      <c r="E952" s="2"/>
      <c r="L952" s="2"/>
      <c r="M952" s="2"/>
    </row>
    <row r="953" ht="15.75" customHeight="1">
      <c r="B953" s="2"/>
      <c r="C953" s="2"/>
      <c r="D953" s="2"/>
      <c r="E953" s="2"/>
      <c r="L953" s="2"/>
      <c r="M953" s="2"/>
    </row>
    <row r="954" ht="15.75" customHeight="1">
      <c r="B954" s="2"/>
      <c r="C954" s="2"/>
      <c r="D954" s="2"/>
      <c r="E954" s="2"/>
      <c r="L954" s="2"/>
      <c r="M954" s="2"/>
    </row>
    <row r="955" ht="15.75" customHeight="1">
      <c r="B955" s="2"/>
      <c r="C955" s="2"/>
      <c r="D955" s="2"/>
      <c r="E955" s="2"/>
      <c r="L955" s="2"/>
      <c r="M955" s="2"/>
    </row>
    <row r="956" ht="15.75" customHeight="1">
      <c r="B956" s="2"/>
      <c r="C956" s="2"/>
      <c r="D956" s="2"/>
      <c r="E956" s="2"/>
      <c r="L956" s="2"/>
      <c r="M956" s="2"/>
    </row>
    <row r="957" ht="15.75" customHeight="1">
      <c r="B957" s="2"/>
      <c r="C957" s="2"/>
      <c r="D957" s="2"/>
      <c r="E957" s="2"/>
      <c r="L957" s="2"/>
      <c r="M957" s="2"/>
    </row>
    <row r="958" ht="15.75" customHeight="1">
      <c r="B958" s="2"/>
      <c r="C958" s="2"/>
      <c r="D958" s="2"/>
      <c r="E958" s="2"/>
      <c r="L958" s="2"/>
      <c r="M958" s="2"/>
    </row>
    <row r="959" ht="15.75" customHeight="1">
      <c r="B959" s="2"/>
      <c r="C959" s="2"/>
      <c r="D959" s="2"/>
      <c r="E959" s="2"/>
      <c r="L959" s="2"/>
      <c r="M959" s="2"/>
    </row>
    <row r="960" ht="15.75" customHeight="1">
      <c r="B960" s="2"/>
      <c r="C960" s="2"/>
      <c r="D960" s="2"/>
      <c r="E960" s="2"/>
      <c r="L960" s="2"/>
      <c r="M960" s="2"/>
    </row>
    <row r="961" ht="15.75" customHeight="1">
      <c r="B961" s="2"/>
      <c r="C961" s="2"/>
      <c r="D961" s="2"/>
      <c r="E961" s="2"/>
      <c r="L961" s="2"/>
      <c r="M961" s="2"/>
    </row>
    <row r="962" ht="15.75" customHeight="1">
      <c r="B962" s="2"/>
      <c r="C962" s="2"/>
      <c r="D962" s="2"/>
      <c r="E962" s="2"/>
      <c r="L962" s="2"/>
      <c r="M962" s="2"/>
    </row>
    <row r="963" ht="15.75" customHeight="1">
      <c r="B963" s="2"/>
      <c r="C963" s="2"/>
      <c r="D963" s="2"/>
      <c r="E963" s="2"/>
      <c r="L963" s="2"/>
      <c r="M963" s="2"/>
    </row>
    <row r="964" ht="15.75" customHeight="1">
      <c r="B964" s="2"/>
      <c r="C964" s="2"/>
      <c r="D964" s="2"/>
      <c r="E964" s="2"/>
      <c r="L964" s="2"/>
      <c r="M964" s="2"/>
    </row>
    <row r="965" ht="15.75" customHeight="1">
      <c r="B965" s="2"/>
      <c r="C965" s="2"/>
      <c r="D965" s="2"/>
      <c r="E965" s="2"/>
      <c r="L965" s="2"/>
      <c r="M965" s="2"/>
    </row>
    <row r="966" ht="15.75" customHeight="1">
      <c r="B966" s="2"/>
      <c r="C966" s="2"/>
      <c r="D966" s="2"/>
      <c r="E966" s="2"/>
      <c r="L966" s="2"/>
      <c r="M966" s="2"/>
    </row>
    <row r="967" ht="15.75" customHeight="1">
      <c r="B967" s="2"/>
      <c r="C967" s="2"/>
      <c r="D967" s="2"/>
      <c r="E967" s="2"/>
      <c r="L967" s="2"/>
      <c r="M967" s="2"/>
    </row>
    <row r="968" ht="15.75" customHeight="1">
      <c r="B968" s="2"/>
      <c r="C968" s="2"/>
      <c r="D968" s="2"/>
      <c r="E968" s="2"/>
      <c r="L968" s="2"/>
      <c r="M968" s="2"/>
    </row>
    <row r="969" ht="15.75" customHeight="1">
      <c r="B969" s="2"/>
      <c r="C969" s="2"/>
      <c r="D969" s="2"/>
      <c r="E969" s="2"/>
      <c r="L969" s="2"/>
      <c r="M969" s="2"/>
    </row>
    <row r="970" ht="15.75" customHeight="1">
      <c r="B970" s="2"/>
      <c r="C970" s="2"/>
      <c r="D970" s="2"/>
      <c r="E970" s="2"/>
      <c r="L970" s="2"/>
      <c r="M970" s="2"/>
    </row>
    <row r="971" ht="15.75" customHeight="1">
      <c r="B971" s="2"/>
      <c r="C971" s="2"/>
      <c r="D971" s="2"/>
      <c r="E971" s="2"/>
      <c r="L971" s="2"/>
      <c r="M971" s="2"/>
    </row>
    <row r="972" ht="15.75" customHeight="1">
      <c r="B972" s="2"/>
      <c r="C972" s="2"/>
      <c r="D972" s="2"/>
      <c r="E972" s="2"/>
      <c r="L972" s="2"/>
      <c r="M972" s="2"/>
    </row>
    <row r="973" ht="15.75" customHeight="1">
      <c r="B973" s="2"/>
      <c r="C973" s="2"/>
      <c r="D973" s="2"/>
      <c r="E973" s="2"/>
      <c r="L973" s="2"/>
      <c r="M973" s="2"/>
    </row>
    <row r="974" ht="15.75" customHeight="1">
      <c r="B974" s="2"/>
      <c r="C974" s="2"/>
      <c r="D974" s="2"/>
      <c r="E974" s="2"/>
      <c r="L974" s="2"/>
      <c r="M974" s="2"/>
    </row>
    <row r="975" ht="15.75" customHeight="1">
      <c r="B975" s="2"/>
      <c r="C975" s="2"/>
      <c r="D975" s="2"/>
      <c r="E975" s="2"/>
      <c r="L975" s="2"/>
      <c r="M975" s="2"/>
    </row>
    <row r="976" ht="15.75" customHeight="1">
      <c r="B976" s="2"/>
      <c r="C976" s="2"/>
      <c r="D976" s="2"/>
      <c r="E976" s="2"/>
      <c r="L976" s="2"/>
      <c r="M976" s="2"/>
    </row>
    <row r="977" ht="15.75" customHeight="1">
      <c r="B977" s="2"/>
      <c r="C977" s="2"/>
      <c r="D977" s="2"/>
      <c r="E977" s="2"/>
      <c r="L977" s="2"/>
      <c r="M977" s="2"/>
    </row>
    <row r="978" ht="15.75" customHeight="1">
      <c r="B978" s="2"/>
      <c r="C978" s="2"/>
      <c r="D978" s="2"/>
      <c r="E978" s="2"/>
      <c r="L978" s="2"/>
      <c r="M978" s="2"/>
    </row>
    <row r="979" ht="15.75" customHeight="1">
      <c r="B979" s="2"/>
      <c r="C979" s="2"/>
      <c r="D979" s="2"/>
      <c r="E979" s="2"/>
      <c r="L979" s="2"/>
      <c r="M979" s="2"/>
    </row>
    <row r="980" ht="15.75" customHeight="1">
      <c r="B980" s="2"/>
      <c r="C980" s="2"/>
      <c r="D980" s="2"/>
      <c r="E980" s="2"/>
      <c r="L980" s="2"/>
      <c r="M980" s="2"/>
    </row>
    <row r="981" ht="15.75" customHeight="1">
      <c r="B981" s="2"/>
      <c r="C981" s="2"/>
      <c r="D981" s="2"/>
      <c r="E981" s="2"/>
      <c r="L981" s="2"/>
      <c r="M981" s="2"/>
    </row>
    <row r="982" ht="15.75" customHeight="1">
      <c r="B982" s="2"/>
      <c r="C982" s="2"/>
      <c r="D982" s="2"/>
      <c r="E982" s="2"/>
      <c r="L982" s="2"/>
      <c r="M982" s="2"/>
    </row>
    <row r="983" ht="15.75" customHeight="1">
      <c r="B983" s="2"/>
      <c r="C983" s="2"/>
      <c r="D983" s="2"/>
      <c r="E983" s="2"/>
      <c r="L983" s="2"/>
      <c r="M983" s="2"/>
    </row>
    <row r="984" ht="15.75" customHeight="1">
      <c r="B984" s="2"/>
      <c r="C984" s="2"/>
      <c r="D984" s="2"/>
      <c r="E984" s="2"/>
      <c r="L984" s="2"/>
      <c r="M984" s="2"/>
    </row>
    <row r="985" ht="15.75" customHeight="1">
      <c r="B985" s="2"/>
      <c r="C985" s="2"/>
      <c r="D985" s="2"/>
      <c r="E985" s="2"/>
      <c r="L985" s="2"/>
      <c r="M985" s="2"/>
    </row>
    <row r="986" ht="15.75" customHeight="1">
      <c r="B986" s="2"/>
      <c r="C986" s="2"/>
      <c r="D986" s="2"/>
      <c r="E986" s="2"/>
      <c r="L986" s="2"/>
      <c r="M986" s="2"/>
    </row>
    <row r="987" ht="15.75" customHeight="1">
      <c r="B987" s="2"/>
      <c r="C987" s="2"/>
      <c r="D987" s="2"/>
      <c r="E987" s="2"/>
      <c r="L987" s="2"/>
      <c r="M987" s="2"/>
    </row>
    <row r="988" ht="15.75" customHeight="1">
      <c r="B988" s="2"/>
      <c r="C988" s="2"/>
      <c r="D988" s="2"/>
      <c r="E988" s="2"/>
      <c r="L988" s="2"/>
      <c r="M988" s="2"/>
    </row>
    <row r="989" ht="15.75" customHeight="1">
      <c r="B989" s="2"/>
      <c r="C989" s="2"/>
      <c r="D989" s="2"/>
      <c r="E989" s="2"/>
      <c r="L989" s="2"/>
      <c r="M989" s="2"/>
    </row>
    <row r="990" ht="15.75" customHeight="1">
      <c r="B990" s="2"/>
      <c r="C990" s="2"/>
      <c r="D990" s="2"/>
      <c r="E990" s="2"/>
      <c r="L990" s="2"/>
      <c r="M990" s="2"/>
    </row>
    <row r="991" ht="15.75" customHeight="1">
      <c r="B991" s="2"/>
      <c r="C991" s="2"/>
      <c r="D991" s="2"/>
      <c r="E991" s="2"/>
      <c r="L991" s="2"/>
      <c r="M991" s="2"/>
    </row>
    <row r="992" ht="15.75" customHeight="1">
      <c r="B992" s="2"/>
      <c r="C992" s="2"/>
      <c r="D992" s="2"/>
      <c r="E992" s="2"/>
      <c r="L992" s="2"/>
      <c r="M992" s="2"/>
    </row>
    <row r="993" ht="15.75" customHeight="1">
      <c r="B993" s="2"/>
      <c r="C993" s="2"/>
      <c r="D993" s="2"/>
      <c r="E993" s="2"/>
      <c r="L993" s="2"/>
      <c r="M993" s="2"/>
    </row>
    <row r="994" ht="15.75" customHeight="1">
      <c r="B994" s="2"/>
      <c r="C994" s="2"/>
      <c r="D994" s="2"/>
      <c r="E994" s="2"/>
      <c r="L994" s="2"/>
      <c r="M994" s="2"/>
    </row>
    <row r="995" ht="15.75" customHeight="1">
      <c r="B995" s="2"/>
      <c r="C995" s="2"/>
      <c r="D995" s="2"/>
      <c r="E995" s="2"/>
      <c r="L995" s="2"/>
      <c r="M995" s="2"/>
    </row>
    <row r="996" ht="15.75" customHeight="1">
      <c r="B996" s="2"/>
      <c r="C996" s="2"/>
      <c r="D996" s="2"/>
      <c r="E996" s="2"/>
      <c r="L996" s="2"/>
      <c r="M996" s="2"/>
    </row>
    <row r="997" ht="15.75" customHeight="1">
      <c r="B997" s="2"/>
      <c r="C997" s="2"/>
      <c r="D997" s="2"/>
      <c r="E997" s="2"/>
      <c r="L997" s="2"/>
      <c r="M997" s="2"/>
    </row>
    <row r="998" ht="15.75" customHeight="1">
      <c r="B998" s="2"/>
      <c r="C998" s="2"/>
      <c r="D998" s="2"/>
      <c r="E998" s="2"/>
      <c r="L998" s="2"/>
      <c r="M998" s="2"/>
    </row>
    <row r="999" ht="15.75" customHeight="1">
      <c r="B999" s="2"/>
      <c r="C999" s="2"/>
      <c r="D999" s="2"/>
      <c r="E999" s="2"/>
      <c r="L999" s="2"/>
      <c r="M999" s="2"/>
    </row>
    <row r="1000" ht="15.75" customHeight="1">
      <c r="B1000" s="2"/>
      <c r="C1000" s="2"/>
      <c r="D1000" s="2"/>
      <c r="E1000" s="2"/>
      <c r="L1000" s="2"/>
      <c r="M1000" s="2"/>
    </row>
  </sheetData>
  <mergeCells count="12">
    <mergeCell ref="W8:X8"/>
    <mergeCell ref="AC8:AD8"/>
    <mergeCell ref="T9:U9"/>
    <mergeCell ref="S19:T19"/>
    <mergeCell ref="W37:Z37"/>
    <mergeCell ref="B2:P2"/>
    <mergeCell ref="B5:F7"/>
    <mergeCell ref="J5:O7"/>
    <mergeCell ref="P5:P7"/>
    <mergeCell ref="B8:F8"/>
    <mergeCell ref="J8:P8"/>
    <mergeCell ref="S8:T8"/>
  </mergeCells>
  <conditionalFormatting sqref="F10:F41">
    <cfRule type="cellIs" dxfId="0" priority="1" operator="greaterThanOrEqual">
      <formula>0</formula>
    </cfRule>
  </conditionalFormatting>
  <conditionalFormatting sqref="F10:F41">
    <cfRule type="cellIs" dxfId="1" priority="2" operator="lessThan">
      <formula>0</formula>
    </cfRule>
  </conditionalFormatting>
  <conditionalFormatting sqref="F10:F41">
    <cfRule type="cellIs" dxfId="2" priority="3" operator="lessThan">
      <formula>0</formula>
    </cfRule>
  </conditionalFormatting>
  <conditionalFormatting sqref="N10:N41">
    <cfRule type="cellIs" dxfId="0" priority="4" operator="greaterThanOrEqual">
      <formula>0</formula>
    </cfRule>
  </conditionalFormatting>
  <conditionalFormatting sqref="N10:N41">
    <cfRule type="cellIs" dxfId="1" priority="5" operator="lessThan">
      <formula>0</formula>
    </cfRule>
  </conditionalFormatting>
  <conditionalFormatting sqref="N10:N41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 fitToPage="1"/>
  </sheetPr>
  <sheetViews>
    <sheetView showGridLines="0" workbookViewId="0"/>
  </sheetViews>
  <sheetFormatPr customHeight="1" defaultColWidth="11.22" defaultRowHeight="15.0"/>
  <cols>
    <col customWidth="1" min="1" max="1" width="1.67"/>
    <col customWidth="1" min="2" max="19" width="8.67"/>
    <col customWidth="1" min="20" max="20" width="3.67"/>
    <col customWidth="1" min="21" max="26" width="8.67"/>
  </cols>
  <sheetData>
    <row r="1" ht="8.25" customHeight="1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9"/>
    </row>
    <row r="2" ht="30.75" customHeight="1">
      <c r="A2" s="120"/>
      <c r="B2" s="123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2"/>
      <c r="T2" s="127"/>
    </row>
    <row r="3" ht="15.75" customHeight="1">
      <c r="A3" s="120"/>
      <c r="T3" s="127"/>
    </row>
    <row r="4" ht="15.75" customHeight="1">
      <c r="A4" s="120"/>
      <c r="T4" s="127"/>
    </row>
    <row r="5" ht="15.75" customHeight="1">
      <c r="A5" s="120"/>
      <c r="T5" s="127"/>
    </row>
    <row r="6" ht="15.75" customHeight="1">
      <c r="A6" s="120"/>
      <c r="T6" s="127"/>
    </row>
    <row r="7" ht="15.75" customHeight="1">
      <c r="A7" s="120"/>
      <c r="T7" s="127"/>
    </row>
    <row r="8" ht="15.75" customHeight="1">
      <c r="A8" s="120"/>
      <c r="T8" s="127"/>
    </row>
    <row r="9" ht="15.75" customHeight="1">
      <c r="A9" s="120"/>
      <c r="T9" s="127"/>
    </row>
    <row r="10" ht="15.75" customHeight="1">
      <c r="A10" s="120"/>
      <c r="T10" s="127"/>
    </row>
    <row r="11" ht="15.75" customHeight="1">
      <c r="A11" s="120"/>
      <c r="T11" s="127"/>
    </row>
    <row r="12" ht="15.75" customHeight="1">
      <c r="A12" s="120"/>
      <c r="T12" s="127"/>
    </row>
    <row r="13" ht="15.75" customHeight="1">
      <c r="A13" s="120"/>
      <c r="T13" s="127"/>
    </row>
    <row r="14" ht="15.75" customHeight="1">
      <c r="A14" s="120"/>
      <c r="T14" s="127"/>
    </row>
    <row r="15" ht="15.75" customHeight="1">
      <c r="A15" s="120"/>
      <c r="T15" s="127"/>
    </row>
    <row r="16" ht="15.75" customHeight="1">
      <c r="A16" s="120"/>
      <c r="T16" s="127"/>
    </row>
    <row r="17" ht="15.75" customHeight="1">
      <c r="A17" s="120"/>
      <c r="T17" s="127"/>
    </row>
    <row r="18" ht="15.75" customHeight="1">
      <c r="A18" s="120"/>
      <c r="T18" s="127"/>
    </row>
    <row r="19" ht="15.75" customHeight="1">
      <c r="A19" s="120"/>
      <c r="T19" s="127"/>
    </row>
    <row r="20" ht="15.75" customHeight="1">
      <c r="A20" s="120"/>
      <c r="T20" s="127"/>
    </row>
    <row r="21" ht="15.75" customHeight="1">
      <c r="A21" s="120"/>
      <c r="T21" s="127"/>
    </row>
    <row r="22" ht="15.75" customHeight="1">
      <c r="A22" s="120"/>
      <c r="T22" s="127"/>
    </row>
    <row r="23" ht="15.75" customHeight="1">
      <c r="A23" s="120"/>
      <c r="T23" s="127"/>
    </row>
    <row r="24" ht="15.75" customHeight="1">
      <c r="A24" s="120"/>
      <c r="T24" s="127"/>
    </row>
    <row r="25" ht="15.75" customHeight="1">
      <c r="A25" s="120"/>
      <c r="T25" s="127"/>
    </row>
    <row r="26" ht="15.75" customHeight="1">
      <c r="A26" s="120"/>
      <c r="T26" s="127"/>
    </row>
    <row r="27" ht="15.75" customHeight="1">
      <c r="A27" s="120"/>
      <c r="T27" s="127"/>
    </row>
    <row r="28" ht="15.75" customHeight="1">
      <c r="A28" s="120"/>
      <c r="T28" s="127"/>
    </row>
    <row r="29" ht="15.75" customHeight="1">
      <c r="A29" s="120"/>
      <c r="T29" s="127"/>
    </row>
    <row r="30" ht="15.75" customHeight="1">
      <c r="A30" s="120"/>
      <c r="T30" s="127"/>
    </row>
    <row r="31" ht="15.75" customHeight="1">
      <c r="A31" s="120"/>
      <c r="T31" s="127"/>
    </row>
    <row r="32" ht="15.75" customHeight="1">
      <c r="A32" s="120"/>
      <c r="T32" s="127"/>
    </row>
    <row r="33" ht="15.75" customHeight="1">
      <c r="A33" s="120"/>
      <c r="T33" s="127"/>
    </row>
    <row r="34" ht="15.75" customHeight="1">
      <c r="A34" s="120"/>
      <c r="T34" s="127"/>
    </row>
    <row r="35" ht="15.75" customHeight="1">
      <c r="A35" s="120"/>
      <c r="T35" s="127"/>
    </row>
    <row r="36" ht="15.75" customHeight="1">
      <c r="A36" s="120"/>
      <c r="T36" s="127"/>
    </row>
    <row r="37" ht="15.75" customHeight="1">
      <c r="A37" s="120"/>
      <c r="T37" s="127"/>
    </row>
    <row r="38" ht="15.75" customHeight="1">
      <c r="A38" s="120"/>
      <c r="T38" s="127"/>
    </row>
    <row r="39" ht="15.75" customHeight="1">
      <c r="A39" s="120"/>
      <c r="T39" s="127"/>
    </row>
    <row r="40" ht="15.75" customHeight="1">
      <c r="A40" s="120"/>
      <c r="T40" s="127"/>
    </row>
    <row r="41" ht="15.75" customHeight="1">
      <c r="A41" s="120"/>
      <c r="T41" s="127"/>
    </row>
    <row r="42" ht="15.75" customHeight="1">
      <c r="A42" s="120"/>
      <c r="T42" s="127"/>
    </row>
    <row r="43" ht="15.75" customHeight="1">
      <c r="A43" s="120"/>
      <c r="T43" s="127"/>
    </row>
    <row r="44" ht="15.75" customHeight="1">
      <c r="A44" s="120"/>
      <c r="T44" s="127"/>
    </row>
    <row r="45" ht="15.75" customHeight="1">
      <c r="A45" s="120"/>
      <c r="T45" s="127"/>
    </row>
    <row r="46" ht="15.75" customHeight="1">
      <c r="A46" s="120"/>
      <c r="T46" s="127"/>
    </row>
    <row r="47" ht="15.75" customHeight="1">
      <c r="A47" s="132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S2"/>
  </mergeCells>
  <printOptions horizontalCentered="1" verticalCentered="1"/>
  <pageMargins bottom="0.1968503937007874" footer="0.0" header="0.0" left="0.11811023622047245" right="0.11811023622047245" top="0.3937007874015748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7.11"/>
    <col customWidth="1" min="3" max="3" width="19.67"/>
    <col customWidth="1" min="4" max="4" width="18.67"/>
    <col customWidth="1" min="5" max="5" width="17.11"/>
    <col customWidth="1" min="6" max="6" width="18.78"/>
    <col customWidth="1" min="7" max="7" width="13.0"/>
    <col customWidth="1" min="8" max="8" width="21.0"/>
    <col customWidth="1" min="9" max="9" width="20.11"/>
    <col customWidth="1" min="10" max="10" width="14.78"/>
    <col customWidth="1" min="11" max="11" width="19.67"/>
    <col customWidth="1" min="12" max="12" width="18.67"/>
    <col customWidth="1" min="13" max="13" width="20.11"/>
    <col customWidth="1" min="14" max="14" width="18.78"/>
    <col customWidth="1" min="15" max="15" width="18.33"/>
    <col customWidth="1" min="16" max="16" width="17.0"/>
    <col customWidth="1" min="17" max="17" width="19.0"/>
    <col customWidth="1" min="18" max="18" width="18.78"/>
    <col customWidth="1" min="19" max="19" width="17.67"/>
    <col customWidth="1" min="20" max="20" width="15.78"/>
    <col customWidth="1" min="21" max="21" width="17.67"/>
    <col customWidth="1" min="22" max="23" width="11.0"/>
    <col customWidth="1" min="24" max="25" width="15.0"/>
    <col customWidth="1" min="26" max="26" width="15.11"/>
    <col customWidth="1" min="27" max="28" width="16.0"/>
    <col customWidth="1" min="29" max="29" width="15.0"/>
    <col customWidth="1" min="30" max="30" width="15.11"/>
    <col customWidth="1" min="31" max="31" width="15.0"/>
    <col customWidth="1" min="32" max="32" width="11.0"/>
    <col customWidth="1" min="33" max="33" width="13.78"/>
    <col customWidth="1" min="34" max="34" width="21.44"/>
    <col customWidth="1" min="35" max="35" width="16.0"/>
    <col customWidth="1" min="36" max="36" width="22.44"/>
    <col customWidth="1" min="37" max="37" width="21.33"/>
    <col customWidth="1" min="38" max="40" width="11.0"/>
    <col customWidth="1" min="41" max="41" width="23.67"/>
    <col customWidth="1" min="42" max="42" width="21.0"/>
    <col customWidth="1" min="43" max="43" width="12.44"/>
  </cols>
  <sheetData>
    <row r="1" ht="10.5" customHeight="1"/>
    <row r="2" ht="15.75" customHeight="1"/>
    <row r="3" ht="16.5" customHeight="1"/>
    <row r="4" ht="16.5" customHeight="1">
      <c r="B4" s="2"/>
      <c r="C4" s="2"/>
      <c r="D4" s="2"/>
      <c r="E4" s="2"/>
      <c r="L4" s="2"/>
      <c r="M4" s="2"/>
      <c r="P4" s="2"/>
      <c r="Q4" s="2"/>
      <c r="R4" s="2"/>
      <c r="S4" s="2"/>
      <c r="V4" s="15"/>
    </row>
    <row r="5" ht="15.75" customHeight="1">
      <c r="B5" s="2"/>
      <c r="C5" s="2"/>
      <c r="D5" s="2"/>
      <c r="E5" s="2"/>
      <c r="J5" s="17" t="s">
        <v>13</v>
      </c>
      <c r="K5" s="18"/>
      <c r="L5" s="18"/>
      <c r="M5" s="18"/>
      <c r="N5" s="19"/>
      <c r="P5" s="27" t="s">
        <v>22</v>
      </c>
      <c r="Q5" s="18"/>
      <c r="R5" s="18"/>
      <c r="S5" s="18"/>
      <c r="T5" s="19"/>
    </row>
    <row r="6" ht="9.0" customHeight="1">
      <c r="B6" s="2"/>
      <c r="C6" s="2"/>
      <c r="D6" s="2"/>
      <c r="E6" s="2"/>
      <c r="J6" s="31"/>
      <c r="N6" s="32"/>
      <c r="P6" s="31"/>
      <c r="T6" s="32"/>
      <c r="AN6" s="2"/>
      <c r="AO6" s="2"/>
    </row>
    <row r="7" ht="15.0" customHeight="1">
      <c r="B7" s="2"/>
      <c r="C7" s="2"/>
      <c r="D7" s="2"/>
      <c r="E7" s="2"/>
      <c r="J7" s="34"/>
      <c r="K7" s="35"/>
      <c r="L7" s="35"/>
      <c r="M7" s="35"/>
      <c r="N7" s="36"/>
      <c r="P7" s="34"/>
      <c r="Q7" s="35"/>
      <c r="R7" s="35"/>
      <c r="S7" s="35"/>
      <c r="T7" s="36"/>
      <c r="AG7" s="1"/>
      <c r="AH7" s="1"/>
      <c r="AI7" s="1"/>
      <c r="AJ7" s="1"/>
      <c r="AK7" s="1"/>
      <c r="AL7" s="1"/>
      <c r="AM7" s="1"/>
      <c r="AN7" s="8"/>
      <c r="AO7" s="8"/>
      <c r="AP7" s="1"/>
    </row>
    <row r="8" ht="21.75" customHeight="1">
      <c r="B8" s="2"/>
      <c r="C8" s="2"/>
      <c r="D8" s="2"/>
      <c r="E8" s="2"/>
      <c r="J8" s="40" t="s">
        <v>28</v>
      </c>
      <c r="K8" s="41"/>
      <c r="L8" s="41"/>
      <c r="M8" s="41"/>
      <c r="N8" s="6"/>
      <c r="P8" s="136" t="s">
        <v>28</v>
      </c>
      <c r="Q8" s="136"/>
      <c r="R8" s="136"/>
      <c r="S8" s="136"/>
      <c r="T8" s="136"/>
      <c r="X8" s="1"/>
      <c r="Y8" s="3"/>
      <c r="Z8" s="3"/>
      <c r="AB8" s="1"/>
      <c r="AC8" s="3"/>
      <c r="AG8" s="1"/>
      <c r="AH8" s="137" t="s">
        <v>83</v>
      </c>
      <c r="AI8" s="41"/>
      <c r="AJ8" s="41"/>
      <c r="AK8" s="6"/>
      <c r="AL8" s="1"/>
      <c r="AM8" s="137" t="s">
        <v>84</v>
      </c>
      <c r="AN8" s="41"/>
      <c r="AO8" s="41"/>
      <c r="AP8" s="6"/>
    </row>
    <row r="9" ht="31.5" customHeight="1">
      <c r="B9" s="2"/>
      <c r="C9" s="2"/>
      <c r="D9" s="2"/>
      <c r="E9" s="2"/>
      <c r="J9" s="44" t="s">
        <v>32</v>
      </c>
      <c r="K9" s="44" t="s">
        <v>33</v>
      </c>
      <c r="L9" s="44" t="s">
        <v>36</v>
      </c>
      <c r="M9" s="44" t="s">
        <v>37</v>
      </c>
      <c r="N9" s="44" t="s">
        <v>38</v>
      </c>
      <c r="P9" s="44" t="s">
        <v>32</v>
      </c>
      <c r="Q9" s="44" t="s">
        <v>33</v>
      </c>
      <c r="R9" s="44" t="s">
        <v>36</v>
      </c>
      <c r="S9" s="44" t="s">
        <v>37</v>
      </c>
      <c r="T9" s="44" t="s">
        <v>38</v>
      </c>
      <c r="X9" s="1"/>
      <c r="Y9" s="1"/>
      <c r="Z9" s="3"/>
      <c r="AA9" s="3"/>
      <c r="AG9" s="1"/>
      <c r="AH9" s="44" t="s">
        <v>32</v>
      </c>
      <c r="AI9" s="44" t="s">
        <v>33</v>
      </c>
      <c r="AJ9" s="44" t="s">
        <v>85</v>
      </c>
      <c r="AK9" s="138" t="s">
        <v>86</v>
      </c>
      <c r="AL9" s="1"/>
      <c r="AM9" s="44" t="s">
        <v>32</v>
      </c>
      <c r="AN9" s="44" t="s">
        <v>33</v>
      </c>
      <c r="AO9" s="138" t="s">
        <v>87</v>
      </c>
      <c r="AP9" s="138" t="s">
        <v>88</v>
      </c>
    </row>
    <row r="10" ht="15.75" customHeight="1">
      <c r="B10" s="2"/>
      <c r="C10" s="2"/>
      <c r="D10" s="2"/>
      <c r="E10" s="2"/>
      <c r="J10" s="47">
        <v>1.0</v>
      </c>
      <c r="K10" s="47" t="s">
        <v>41</v>
      </c>
      <c r="L10" s="50">
        <v>16500.0</v>
      </c>
      <c r="M10" s="55">
        <f>14820.9</f>
        <v>14820.9</v>
      </c>
      <c r="N10" s="51">
        <f t="shared" ref="N10:N35" si="1">M10-L10</f>
        <v>-1679.1</v>
      </c>
      <c r="P10" s="44">
        <v>1.0</v>
      </c>
      <c r="Q10" s="47" t="s">
        <v>41</v>
      </c>
      <c r="R10" s="55">
        <v>13200.0</v>
      </c>
      <c r="S10" s="55">
        <f>13700.7-1058</f>
        <v>12642.7</v>
      </c>
      <c r="T10" s="56">
        <f t="shared" ref="T10:T35" si="2">S10-R10</f>
        <v>-557.3</v>
      </c>
      <c r="X10" s="139" t="s">
        <v>89</v>
      </c>
      <c r="Y10" s="41"/>
      <c r="Z10" s="41"/>
      <c r="AA10" s="6"/>
      <c r="AC10" s="139" t="s">
        <v>1</v>
      </c>
      <c r="AD10" s="41"/>
      <c r="AE10" s="6"/>
      <c r="AG10" s="1"/>
      <c r="AH10" s="47">
        <v>1.0</v>
      </c>
      <c r="AI10" s="44" t="s">
        <v>45</v>
      </c>
      <c r="AJ10" s="55">
        <f>5239.13-395</f>
        <v>4844.13</v>
      </c>
      <c r="AK10" s="55">
        <v>3595.17</v>
      </c>
      <c r="AL10" s="1" t="s">
        <v>43</v>
      </c>
      <c r="AM10" s="47">
        <v>1.0</v>
      </c>
      <c r="AN10" s="44" t="s">
        <v>45</v>
      </c>
      <c r="AO10" s="55">
        <f>5597.5</f>
        <v>5597.5</v>
      </c>
      <c r="AP10" s="55">
        <v>6346.08</v>
      </c>
    </row>
    <row r="11" ht="15.75" customHeight="1">
      <c r="B11" s="2"/>
      <c r="C11" s="2"/>
      <c r="D11" s="2"/>
      <c r="E11" s="2"/>
      <c r="J11" s="47">
        <v>2.0</v>
      </c>
      <c r="K11" s="47" t="s">
        <v>44</v>
      </c>
      <c r="L11" s="50">
        <v>17300.0</v>
      </c>
      <c r="M11" s="55">
        <f>13397.65</f>
        <v>13397.65</v>
      </c>
      <c r="N11" s="51">
        <f t="shared" si="1"/>
        <v>-3902.35</v>
      </c>
      <c r="P11" s="44">
        <v>2.0</v>
      </c>
      <c r="Q11" s="47" t="s">
        <v>44</v>
      </c>
      <c r="R11" s="55">
        <v>18500.0</v>
      </c>
      <c r="S11" s="55">
        <f>23917.25-1673</f>
        <v>22244.25</v>
      </c>
      <c r="T11" s="56">
        <f t="shared" si="2"/>
        <v>3744.25</v>
      </c>
      <c r="X11" s="140"/>
      <c r="Y11" s="141">
        <v>45078.0</v>
      </c>
      <c r="Z11" s="141">
        <v>45108.0</v>
      </c>
      <c r="AA11" s="142" t="s">
        <v>90</v>
      </c>
      <c r="AC11" s="140"/>
      <c r="AD11" s="141">
        <v>45444.0</v>
      </c>
      <c r="AE11" s="141" t="s">
        <v>91</v>
      </c>
      <c r="AG11" s="1"/>
      <c r="AH11" s="47">
        <v>2.0</v>
      </c>
      <c r="AI11" s="44" t="s">
        <v>46</v>
      </c>
      <c r="AJ11" s="55">
        <f>5093.71-429</f>
        <v>4664.71</v>
      </c>
      <c r="AK11" s="55">
        <v>5148.42</v>
      </c>
      <c r="AL11" s="1"/>
      <c r="AM11" s="47">
        <v>2.0</v>
      </c>
      <c r="AN11" s="44" t="s">
        <v>46</v>
      </c>
      <c r="AO11" s="55">
        <f>5457.05</f>
        <v>5457.05</v>
      </c>
      <c r="AP11" s="55">
        <v>5449.36</v>
      </c>
    </row>
    <row r="12" ht="15.75" customHeight="1">
      <c r="B12" s="2"/>
      <c r="C12" s="2"/>
      <c r="D12" s="2"/>
      <c r="E12" s="2"/>
      <c r="J12" s="47">
        <v>3.0</v>
      </c>
      <c r="K12" s="44" t="s">
        <v>45</v>
      </c>
      <c r="L12" s="55">
        <v>3900.0</v>
      </c>
      <c r="M12" s="55">
        <f>5149.5</f>
        <v>5149.5</v>
      </c>
      <c r="N12" s="51">
        <f t="shared" si="1"/>
        <v>1249.5</v>
      </c>
      <c r="P12" s="44">
        <v>3.0</v>
      </c>
      <c r="Q12" s="44" t="s">
        <v>45</v>
      </c>
      <c r="R12" s="55">
        <v>2800.0</v>
      </c>
      <c r="S12" s="55">
        <f>3717.91-294</f>
        <v>3423.91</v>
      </c>
      <c r="T12" s="56">
        <f t="shared" si="2"/>
        <v>623.91</v>
      </c>
      <c r="X12" s="140" t="s">
        <v>6</v>
      </c>
      <c r="Y12" s="55">
        <v>3417.93</v>
      </c>
      <c r="Z12" s="55">
        <v>4324.88</v>
      </c>
      <c r="AA12" s="143">
        <f t="shared" ref="AA12:AA18" si="3">Z12/Y12-1</f>
        <v>0.2653506655</v>
      </c>
      <c r="AC12" s="140" t="s">
        <v>6</v>
      </c>
      <c r="AD12" s="55">
        <v>5015.27</v>
      </c>
      <c r="AE12" s="144">
        <f t="shared" ref="AE12:AE18" si="4">AD12*AA12+AD12</f>
        <v>6346.075232</v>
      </c>
      <c r="AG12" s="1"/>
      <c r="AH12" s="47">
        <v>3.0</v>
      </c>
      <c r="AI12" s="44" t="s">
        <v>40</v>
      </c>
      <c r="AJ12" s="55">
        <f>5292.11-455</f>
        <v>4837.11</v>
      </c>
      <c r="AK12" s="55">
        <v>4248.67</v>
      </c>
      <c r="AL12" s="1"/>
      <c r="AM12" s="47">
        <v>3.0</v>
      </c>
      <c r="AN12" s="44" t="s">
        <v>40</v>
      </c>
      <c r="AO12" s="55">
        <f>6291.79</f>
        <v>6291.79</v>
      </c>
      <c r="AP12" s="55">
        <v>10239.3</v>
      </c>
    </row>
    <row r="13" ht="15.75" customHeight="1">
      <c r="B13" s="2"/>
      <c r="C13" s="2"/>
      <c r="D13" s="2"/>
      <c r="E13" s="2"/>
      <c r="J13" s="47">
        <v>4.0</v>
      </c>
      <c r="K13" s="44" t="s">
        <v>46</v>
      </c>
      <c r="L13" s="50">
        <v>3600.0</v>
      </c>
      <c r="M13" s="55">
        <f>3586.15+1664.75</f>
        <v>5250.9</v>
      </c>
      <c r="N13" s="51">
        <f t="shared" si="1"/>
        <v>1650.9</v>
      </c>
      <c r="P13" s="44">
        <v>4.0</v>
      </c>
      <c r="Q13" s="44" t="s">
        <v>46</v>
      </c>
      <c r="R13" s="55">
        <v>3800.0</v>
      </c>
      <c r="S13" s="55">
        <f>3189.33-307</f>
        <v>2882.33</v>
      </c>
      <c r="T13" s="56">
        <f t="shared" si="2"/>
        <v>-917.67</v>
      </c>
      <c r="X13" s="140" t="s">
        <v>10</v>
      </c>
      <c r="Y13" s="55">
        <v>5368.45</v>
      </c>
      <c r="Z13" s="55">
        <v>6342.75</v>
      </c>
      <c r="AA13" s="143">
        <f t="shared" si="3"/>
        <v>0.1814862763</v>
      </c>
      <c r="AC13" s="140" t="s">
        <v>10</v>
      </c>
      <c r="AD13" s="55">
        <v>4612.29</v>
      </c>
      <c r="AE13" s="144">
        <f t="shared" si="4"/>
        <v>5449.357337</v>
      </c>
      <c r="AG13" s="1"/>
      <c r="AH13" s="47">
        <v>4.0</v>
      </c>
      <c r="AI13" s="44" t="s">
        <v>47</v>
      </c>
      <c r="AJ13" s="55">
        <f>6498.44-446</f>
        <v>6052.44</v>
      </c>
      <c r="AK13" s="55">
        <v>7173.22</v>
      </c>
      <c r="AL13" s="1"/>
      <c r="AM13" s="47">
        <v>4.0</v>
      </c>
      <c r="AN13" s="44" t="s">
        <v>47</v>
      </c>
      <c r="AO13" s="55">
        <v>5672.26</v>
      </c>
      <c r="AP13" s="55">
        <v>6605.13</v>
      </c>
    </row>
    <row r="14" ht="15.75" customHeight="1">
      <c r="B14" s="2"/>
      <c r="C14" s="2"/>
      <c r="D14" s="2"/>
      <c r="E14" s="2"/>
      <c r="J14" s="47">
        <v>5.0</v>
      </c>
      <c r="K14" s="44" t="s">
        <v>40</v>
      </c>
      <c r="L14" s="50">
        <v>6000.0</v>
      </c>
      <c r="M14" s="55">
        <f>11835</f>
        <v>11835</v>
      </c>
      <c r="N14" s="51">
        <f t="shared" si="1"/>
        <v>5835</v>
      </c>
      <c r="P14" s="44">
        <v>5.0</v>
      </c>
      <c r="Q14" s="44" t="s">
        <v>40</v>
      </c>
      <c r="R14" s="55">
        <v>4400.0</v>
      </c>
      <c r="S14" s="55">
        <f>4805.33-379</f>
        <v>4426.33</v>
      </c>
      <c r="T14" s="56">
        <f t="shared" si="2"/>
        <v>26.33</v>
      </c>
      <c r="X14" s="140" t="s">
        <v>12</v>
      </c>
      <c r="Y14" s="55">
        <v>4758.08</v>
      </c>
      <c r="Z14" s="55">
        <v>6104.15</v>
      </c>
      <c r="AA14" s="143">
        <f t="shared" si="3"/>
        <v>0.2829019268</v>
      </c>
      <c r="AC14" s="140" t="s">
        <v>12</v>
      </c>
      <c r="AD14" s="55">
        <v>7981.36</v>
      </c>
      <c r="AE14" s="144">
        <f t="shared" si="4"/>
        <v>10239.30212</v>
      </c>
      <c r="AF14" s="61"/>
      <c r="AG14" s="1"/>
      <c r="AH14" s="47">
        <v>5.0</v>
      </c>
      <c r="AI14" s="44" t="s">
        <v>48</v>
      </c>
      <c r="AJ14" s="55">
        <f>11056.99-782</f>
        <v>10274.99</v>
      </c>
      <c r="AK14" s="55">
        <v>8953.38</v>
      </c>
      <c r="AL14" s="1"/>
      <c r="AM14" s="47">
        <v>5.0</v>
      </c>
      <c r="AN14" s="44" t="s">
        <v>48</v>
      </c>
      <c r="AO14" s="55">
        <f>13858.25-250</f>
        <v>13608.25</v>
      </c>
      <c r="AP14" s="55">
        <v>13903.88</v>
      </c>
    </row>
    <row r="15" ht="15.75" customHeight="1">
      <c r="B15" s="2"/>
      <c r="C15" s="2"/>
      <c r="D15" s="2"/>
      <c r="E15" s="2"/>
      <c r="J15" s="47">
        <v>6.0</v>
      </c>
      <c r="K15" s="44" t="s">
        <v>47</v>
      </c>
      <c r="L15" s="50">
        <v>5500.0</v>
      </c>
      <c r="M15" s="55">
        <f>1692.25+2468.2</f>
        <v>4160.45</v>
      </c>
      <c r="N15" s="51">
        <f t="shared" si="1"/>
        <v>-1339.55</v>
      </c>
      <c r="P15" s="44">
        <v>6.0</v>
      </c>
      <c r="Q15" s="44" t="s">
        <v>47</v>
      </c>
      <c r="R15" s="55">
        <v>5000.0</v>
      </c>
      <c r="S15" s="55">
        <f>6498.44-446</f>
        <v>6052.44</v>
      </c>
      <c r="T15" s="56">
        <f t="shared" si="2"/>
        <v>1052.44</v>
      </c>
      <c r="X15" s="140" t="s">
        <v>15</v>
      </c>
      <c r="Y15" s="55">
        <v>6278.25</v>
      </c>
      <c r="Z15" s="55">
        <v>6926.74</v>
      </c>
      <c r="AA15" s="143">
        <f t="shared" si="3"/>
        <v>0.1032915223</v>
      </c>
      <c r="AC15" s="140" t="s">
        <v>15</v>
      </c>
      <c r="AD15" s="55">
        <v>5986.75</v>
      </c>
      <c r="AE15" s="144">
        <f t="shared" si="4"/>
        <v>6605.130521</v>
      </c>
      <c r="AG15" s="1"/>
      <c r="AH15" s="47">
        <v>6.0</v>
      </c>
      <c r="AI15" s="44" t="s">
        <v>41</v>
      </c>
      <c r="AJ15" s="55">
        <f>13866.96-962</f>
        <v>12904.96</v>
      </c>
      <c r="AK15" s="55">
        <v>13491.15</v>
      </c>
      <c r="AL15" s="1"/>
      <c r="AM15" s="47">
        <v>6.0</v>
      </c>
      <c r="AN15" s="44" t="s">
        <v>41</v>
      </c>
      <c r="AO15" s="55">
        <f>21232.73</f>
        <v>21232.73</v>
      </c>
      <c r="AP15" s="55">
        <v>17034.02</v>
      </c>
    </row>
    <row r="16" ht="15.75" customHeight="1">
      <c r="B16" s="2"/>
      <c r="C16" s="2"/>
      <c r="D16" s="2"/>
      <c r="E16" s="2"/>
      <c r="J16" s="47">
        <v>7.0</v>
      </c>
      <c r="K16" s="44" t="s">
        <v>48</v>
      </c>
      <c r="L16" s="50">
        <v>13400.0</v>
      </c>
      <c r="M16" s="55">
        <f>7850-115</f>
        <v>7735</v>
      </c>
      <c r="N16" s="51">
        <f t="shared" si="1"/>
        <v>-5665</v>
      </c>
      <c r="P16" s="44">
        <v>7.0</v>
      </c>
      <c r="Q16" s="44" t="s">
        <v>48</v>
      </c>
      <c r="R16" s="55">
        <v>10300.0</v>
      </c>
      <c r="S16" s="55">
        <f>8810.07-666</f>
        <v>8144.07</v>
      </c>
      <c r="T16" s="56">
        <f t="shared" si="2"/>
        <v>-2155.93</v>
      </c>
      <c r="X16" s="140" t="s">
        <v>17</v>
      </c>
      <c r="Y16" s="55">
        <v>8892.18</v>
      </c>
      <c r="Z16" s="55">
        <v>11952.57</v>
      </c>
      <c r="AA16" s="143">
        <f t="shared" si="3"/>
        <v>0.3441664474</v>
      </c>
      <c r="AC16" s="140" t="s">
        <v>17</v>
      </c>
      <c r="AD16" s="55">
        <v>10343.87</v>
      </c>
      <c r="AE16" s="144">
        <f t="shared" si="4"/>
        <v>13903.88299</v>
      </c>
      <c r="AG16" s="1"/>
      <c r="AH16" s="47">
        <v>7.0</v>
      </c>
      <c r="AI16" s="44" t="s">
        <v>44</v>
      </c>
      <c r="AJ16" s="55">
        <f>23917.25-1673</f>
        <v>22244.25</v>
      </c>
      <c r="AK16" s="55">
        <v>20908.86</v>
      </c>
      <c r="AL16" s="1"/>
      <c r="AM16" s="47">
        <v>7.0</v>
      </c>
      <c r="AN16" s="44" t="s">
        <v>44</v>
      </c>
      <c r="AO16" s="55">
        <f>21028.75</f>
        <v>21028.75</v>
      </c>
      <c r="AP16" s="55">
        <v>20067.87</v>
      </c>
    </row>
    <row r="17" ht="15.75" customHeight="1">
      <c r="B17" s="2"/>
      <c r="C17" s="2"/>
      <c r="D17" s="2"/>
      <c r="E17" s="2"/>
      <c r="J17" s="44">
        <v>8.0</v>
      </c>
      <c r="K17" s="44" t="s">
        <v>41</v>
      </c>
      <c r="L17" s="50">
        <v>16500.0</v>
      </c>
      <c r="M17" s="55">
        <f>17156.55+324.25</f>
        <v>17480.8</v>
      </c>
      <c r="N17" s="51">
        <f t="shared" si="1"/>
        <v>980.8</v>
      </c>
      <c r="P17" s="44">
        <v>8.0</v>
      </c>
      <c r="Q17" s="44" t="s">
        <v>41</v>
      </c>
      <c r="R17" s="55">
        <v>13200.0</v>
      </c>
      <c r="S17" s="55">
        <f>13866.96-962</f>
        <v>12904.96</v>
      </c>
      <c r="T17" s="56">
        <f t="shared" si="2"/>
        <v>-295.04</v>
      </c>
      <c r="X17" s="140" t="s">
        <v>19</v>
      </c>
      <c r="Y17" s="55">
        <v>14177.32</v>
      </c>
      <c r="Z17" s="55">
        <v>14238.68</v>
      </c>
      <c r="AA17" s="143">
        <f t="shared" si="3"/>
        <v>0.004328039432</v>
      </c>
      <c r="AC17" s="140" t="s">
        <v>19</v>
      </c>
      <c r="AD17" s="55">
        <v>16960.61</v>
      </c>
      <c r="AE17" s="144">
        <f t="shared" si="4"/>
        <v>17034.01619</v>
      </c>
      <c r="AG17" s="1"/>
      <c r="AH17" s="44">
        <v>8.0</v>
      </c>
      <c r="AI17" s="44" t="s">
        <v>45</v>
      </c>
      <c r="AJ17" s="55">
        <f>5239.13-395</f>
        <v>4844.13</v>
      </c>
      <c r="AK17" s="55">
        <v>3595.17</v>
      </c>
      <c r="AL17" s="1"/>
      <c r="AM17" s="44">
        <v>8.0</v>
      </c>
      <c r="AN17" s="44" t="s">
        <v>45</v>
      </c>
      <c r="AO17" s="55">
        <f>5597.5</f>
        <v>5597.5</v>
      </c>
      <c r="AP17" s="55">
        <v>6346.08</v>
      </c>
    </row>
    <row r="18" ht="15.75" customHeight="1">
      <c r="B18" s="2"/>
      <c r="C18" s="2"/>
      <c r="D18" s="2"/>
      <c r="E18" s="2"/>
      <c r="J18" s="44">
        <v>9.0</v>
      </c>
      <c r="K18" s="44" t="s">
        <v>44</v>
      </c>
      <c r="L18" s="50">
        <v>17300.0</v>
      </c>
      <c r="M18" s="55">
        <f>17844.9</f>
        <v>17844.9</v>
      </c>
      <c r="N18" s="51">
        <f t="shared" si="1"/>
        <v>544.9</v>
      </c>
      <c r="P18" s="44">
        <v>9.0</v>
      </c>
      <c r="Q18" s="44" t="s">
        <v>44</v>
      </c>
      <c r="R18" s="55">
        <v>18500.0</v>
      </c>
      <c r="S18" s="55">
        <f>22390.76-1716</f>
        <v>20674.76</v>
      </c>
      <c r="T18" s="56">
        <f t="shared" si="2"/>
        <v>2174.76</v>
      </c>
      <c r="X18" s="140" t="s">
        <v>20</v>
      </c>
      <c r="Y18" s="55">
        <v>15487.34</v>
      </c>
      <c r="Z18" s="55">
        <v>16108.8</v>
      </c>
      <c r="AA18" s="145">
        <f t="shared" si="3"/>
        <v>0.04012696822</v>
      </c>
      <c r="AC18" s="140" t="s">
        <v>20</v>
      </c>
      <c r="AD18" s="55">
        <v>19293.67</v>
      </c>
      <c r="AE18" s="144">
        <f t="shared" si="4"/>
        <v>20067.86648</v>
      </c>
      <c r="AG18" s="1"/>
      <c r="AH18" s="44">
        <v>9.0</v>
      </c>
      <c r="AI18" s="44" t="s">
        <v>46</v>
      </c>
      <c r="AJ18" s="55">
        <f>5093.71-429</f>
        <v>4664.71</v>
      </c>
      <c r="AK18" s="55">
        <v>5148.42</v>
      </c>
      <c r="AL18" s="1"/>
      <c r="AM18" s="44">
        <v>9.0</v>
      </c>
      <c r="AN18" s="44" t="s">
        <v>46</v>
      </c>
      <c r="AO18" s="55">
        <f>5457.05</f>
        <v>5457.05</v>
      </c>
      <c r="AP18" s="55">
        <v>5449.36</v>
      </c>
    </row>
    <row r="19" ht="15.75" customHeight="1">
      <c r="B19" s="2"/>
      <c r="C19" s="2"/>
      <c r="D19" s="2"/>
      <c r="E19" s="2"/>
      <c r="J19" s="44">
        <v>10.0</v>
      </c>
      <c r="K19" s="44" t="s">
        <v>45</v>
      </c>
      <c r="L19" s="55">
        <v>3900.0</v>
      </c>
      <c r="M19" s="55">
        <f>4775.52</f>
        <v>4775.52</v>
      </c>
      <c r="N19" s="51">
        <f t="shared" si="1"/>
        <v>875.52</v>
      </c>
      <c r="P19" s="44">
        <v>10.0</v>
      </c>
      <c r="Q19" s="44" t="s">
        <v>45</v>
      </c>
      <c r="R19" s="55">
        <v>2800.0</v>
      </c>
      <c r="S19" s="55">
        <f>5239.13-395</f>
        <v>4844.13</v>
      </c>
      <c r="T19" s="56">
        <f t="shared" si="2"/>
        <v>2044.13</v>
      </c>
      <c r="X19" s="1"/>
      <c r="Y19" s="8"/>
      <c r="AB19" s="1"/>
      <c r="AC19" s="8"/>
      <c r="AD19" s="8"/>
      <c r="AG19" s="146" t="s">
        <v>92</v>
      </c>
      <c r="AH19" s="147">
        <v>10.0</v>
      </c>
      <c r="AI19" s="147" t="s">
        <v>40</v>
      </c>
      <c r="AJ19" s="148">
        <f>23917.25-1673</f>
        <v>22244.25</v>
      </c>
      <c r="AK19" s="148">
        <v>20908.86</v>
      </c>
      <c r="AL19" s="1"/>
      <c r="AM19" s="149">
        <v>10.0</v>
      </c>
      <c r="AN19" s="149" t="s">
        <v>40</v>
      </c>
      <c r="AO19" s="150">
        <f>21028.75</f>
        <v>21028.75</v>
      </c>
      <c r="AP19" s="150">
        <v>20067.87</v>
      </c>
      <c r="AQ19" s="151" t="s">
        <v>92</v>
      </c>
    </row>
    <row r="20" ht="15.75" customHeight="1">
      <c r="B20" s="2"/>
      <c r="C20" s="2"/>
      <c r="D20" s="2"/>
      <c r="E20" s="2"/>
      <c r="J20" s="44">
        <v>11.0</v>
      </c>
      <c r="K20" s="44" t="s">
        <v>46</v>
      </c>
      <c r="L20" s="50">
        <v>3600.0</v>
      </c>
      <c r="M20" s="55">
        <f>3242</f>
        <v>3242</v>
      </c>
      <c r="N20" s="51">
        <f t="shared" si="1"/>
        <v>-358</v>
      </c>
      <c r="P20" s="44">
        <v>11.0</v>
      </c>
      <c r="Q20" s="44" t="s">
        <v>46</v>
      </c>
      <c r="R20" s="55">
        <v>3800.0</v>
      </c>
      <c r="S20" s="55">
        <f>4361.92-325</f>
        <v>4036.92</v>
      </c>
      <c r="T20" s="56">
        <f t="shared" si="2"/>
        <v>236.92</v>
      </c>
      <c r="X20" s="139" t="s">
        <v>93</v>
      </c>
      <c r="Y20" s="41"/>
      <c r="Z20" s="41"/>
      <c r="AA20" s="6"/>
      <c r="AC20" s="139" t="s">
        <v>5</v>
      </c>
      <c r="AD20" s="41"/>
      <c r="AE20" s="6"/>
      <c r="AG20" s="1"/>
      <c r="AH20" s="44">
        <v>11.0</v>
      </c>
      <c r="AI20" s="44" t="s">
        <v>47</v>
      </c>
      <c r="AJ20" s="55">
        <f>6498.44-446</f>
        <v>6052.44</v>
      </c>
      <c r="AK20" s="55">
        <v>7173.22</v>
      </c>
      <c r="AL20" s="1"/>
      <c r="AM20" s="44">
        <v>11.0</v>
      </c>
      <c r="AN20" s="44" t="s">
        <v>47</v>
      </c>
      <c r="AO20" s="55">
        <v>5672.26</v>
      </c>
      <c r="AP20" s="55">
        <v>6605.13</v>
      </c>
    </row>
    <row r="21" ht="18.0" customHeight="1">
      <c r="B21" s="2"/>
      <c r="C21" s="2"/>
      <c r="D21" s="2"/>
      <c r="E21" s="2"/>
      <c r="J21" s="44">
        <v>12.0</v>
      </c>
      <c r="K21" s="44" t="s">
        <v>40</v>
      </c>
      <c r="L21" s="68">
        <v>26300.0</v>
      </c>
      <c r="M21" s="55">
        <f>27414.4</f>
        <v>27414.4</v>
      </c>
      <c r="N21" s="51">
        <f t="shared" si="1"/>
        <v>1114.4</v>
      </c>
      <c r="P21" s="44">
        <v>12.0</v>
      </c>
      <c r="Q21" s="44" t="s">
        <v>40</v>
      </c>
      <c r="R21" s="69">
        <v>8200.0</v>
      </c>
      <c r="S21" s="55">
        <f>13633.02-1070</f>
        <v>12563.02</v>
      </c>
      <c r="T21" s="56">
        <f t="shared" si="2"/>
        <v>4363.02</v>
      </c>
      <c r="X21" s="140"/>
      <c r="Y21" s="141">
        <v>45078.0</v>
      </c>
      <c r="Z21" s="141">
        <v>45108.0</v>
      </c>
      <c r="AA21" s="142" t="s">
        <v>90</v>
      </c>
      <c r="AC21" s="140"/>
      <c r="AD21" s="141">
        <v>45444.0</v>
      </c>
      <c r="AE21" s="141" t="s">
        <v>91</v>
      </c>
      <c r="AG21" s="1"/>
      <c r="AH21" s="44">
        <v>12.0</v>
      </c>
      <c r="AI21" s="44" t="s">
        <v>48</v>
      </c>
      <c r="AJ21" s="55">
        <f>11056.99-782</f>
        <v>10274.99</v>
      </c>
      <c r="AK21" s="55">
        <v>8953.38</v>
      </c>
      <c r="AL21" s="1"/>
      <c r="AM21" s="44">
        <v>12.0</v>
      </c>
      <c r="AN21" s="44" t="s">
        <v>48</v>
      </c>
      <c r="AO21" s="55">
        <f>13858.25-250</f>
        <v>13608.25</v>
      </c>
      <c r="AP21" s="55">
        <v>13903.88</v>
      </c>
    </row>
    <row r="22" ht="15.75" customHeight="1">
      <c r="B22" s="2"/>
      <c r="C22" s="2"/>
      <c r="D22" s="2"/>
      <c r="E22" s="2"/>
      <c r="J22" s="44">
        <v>13.0</v>
      </c>
      <c r="K22" s="44" t="s">
        <v>47</v>
      </c>
      <c r="L22" s="50">
        <v>5500.0</v>
      </c>
      <c r="M22" s="55">
        <f>4387.3</f>
        <v>4387.3</v>
      </c>
      <c r="N22" s="51">
        <f t="shared" si="1"/>
        <v>-1112.7</v>
      </c>
      <c r="P22" s="44">
        <v>13.0</v>
      </c>
      <c r="Q22" s="44" t="s">
        <v>47</v>
      </c>
      <c r="R22" s="55">
        <v>5000.0</v>
      </c>
      <c r="S22" s="55">
        <f>5762.35-385</f>
        <v>5377.35</v>
      </c>
      <c r="T22" s="56">
        <f t="shared" si="2"/>
        <v>377.35</v>
      </c>
      <c r="X22" s="140" t="s">
        <v>6</v>
      </c>
      <c r="Y22" s="55">
        <v>3068.4</v>
      </c>
      <c r="Z22" s="55">
        <v>2555.48</v>
      </c>
      <c r="AA22" s="143">
        <f t="shared" ref="AA22:AA28" si="5">Z22/Y22-1</f>
        <v>-0.1671620388</v>
      </c>
      <c r="AC22" s="140" t="s">
        <v>6</v>
      </c>
      <c r="AD22" s="55">
        <v>4316.77</v>
      </c>
      <c r="AE22" s="144">
        <f t="shared" ref="AE22:AE28" si="6">AD22*AA22+AD22</f>
        <v>3595.169926</v>
      </c>
      <c r="AG22" s="1"/>
      <c r="AH22" s="44">
        <v>13.0</v>
      </c>
      <c r="AI22" s="44" t="s">
        <v>41</v>
      </c>
      <c r="AJ22" s="55">
        <f>13866.96-962</f>
        <v>12904.96</v>
      </c>
      <c r="AK22" s="55">
        <v>13491.15</v>
      </c>
      <c r="AL22" s="1"/>
      <c r="AM22" s="44">
        <v>13.0</v>
      </c>
      <c r="AN22" s="44" t="s">
        <v>41</v>
      </c>
      <c r="AO22" s="55">
        <f>21232.73</f>
        <v>21232.73</v>
      </c>
      <c r="AP22" s="55">
        <v>17034.02</v>
      </c>
    </row>
    <row r="23" ht="15.75" customHeight="1">
      <c r="B23" s="2"/>
      <c r="C23" s="2"/>
      <c r="D23" s="2"/>
      <c r="E23" s="2"/>
      <c r="J23" s="44">
        <v>14.0</v>
      </c>
      <c r="K23" s="44" t="s">
        <v>48</v>
      </c>
      <c r="L23" s="50">
        <v>13400.0</v>
      </c>
      <c r="M23" s="55">
        <f>13858.25-250</f>
        <v>13608.25</v>
      </c>
      <c r="N23" s="51">
        <f t="shared" si="1"/>
        <v>208.25</v>
      </c>
      <c r="P23" s="44">
        <v>14.0</v>
      </c>
      <c r="Q23" s="44" t="s">
        <v>48</v>
      </c>
      <c r="R23" s="55">
        <v>10300.0</v>
      </c>
      <c r="S23" s="55">
        <f>11056.99-782</f>
        <v>10274.99</v>
      </c>
      <c r="T23" s="56">
        <f t="shared" si="2"/>
        <v>-25.01</v>
      </c>
      <c r="X23" s="140" t="s">
        <v>10</v>
      </c>
      <c r="Y23" s="55">
        <v>3600.27</v>
      </c>
      <c r="Z23" s="55">
        <v>4842.24</v>
      </c>
      <c r="AA23" s="143">
        <f t="shared" si="5"/>
        <v>0.3449657942</v>
      </c>
      <c r="AC23" s="140" t="s">
        <v>10</v>
      </c>
      <c r="AD23" s="55">
        <v>3827.92</v>
      </c>
      <c r="AE23" s="144">
        <f t="shared" si="6"/>
        <v>5148.421463</v>
      </c>
      <c r="AG23" s="1"/>
      <c r="AH23" s="44">
        <v>14.0</v>
      </c>
      <c r="AI23" s="44" t="s">
        <v>44</v>
      </c>
      <c r="AJ23" s="55">
        <f>23917.25-1673</f>
        <v>22244.25</v>
      </c>
      <c r="AK23" s="55">
        <v>20908.86</v>
      </c>
      <c r="AL23" s="1"/>
      <c r="AM23" s="44">
        <v>14.0</v>
      </c>
      <c r="AN23" s="44" t="s">
        <v>44</v>
      </c>
      <c r="AO23" s="55">
        <f>21028.75</f>
        <v>21028.75</v>
      </c>
      <c r="AP23" s="55">
        <v>20067.87</v>
      </c>
    </row>
    <row r="24" ht="15.75" customHeight="1">
      <c r="B24" s="2"/>
      <c r="C24" s="2"/>
      <c r="D24" s="2"/>
      <c r="E24" s="2"/>
      <c r="J24" s="44">
        <v>15.0</v>
      </c>
      <c r="K24" s="44" t="s">
        <v>41</v>
      </c>
      <c r="L24" s="50">
        <v>16500.0</v>
      </c>
      <c r="M24" s="55">
        <f>21232.73</f>
        <v>21232.73</v>
      </c>
      <c r="N24" s="51">
        <f t="shared" si="1"/>
        <v>4732.73</v>
      </c>
      <c r="P24" s="44">
        <v>15.0</v>
      </c>
      <c r="Q24" s="44" t="s">
        <v>41</v>
      </c>
      <c r="R24" s="55">
        <v>13200.0</v>
      </c>
      <c r="S24" s="13">
        <f>13718.45-1112</f>
        <v>12606.45</v>
      </c>
      <c r="T24" s="56">
        <f t="shared" si="2"/>
        <v>-593.55</v>
      </c>
      <c r="X24" s="140" t="s">
        <v>12</v>
      </c>
      <c r="Y24" s="55">
        <v>4525.23</v>
      </c>
      <c r="Z24" s="55">
        <v>4214.91</v>
      </c>
      <c r="AA24" s="143">
        <f t="shared" si="5"/>
        <v>-0.06857551992</v>
      </c>
      <c r="AC24" s="140" t="s">
        <v>12</v>
      </c>
      <c r="AD24" s="55">
        <v>4561.48</v>
      </c>
      <c r="AE24" s="144">
        <f t="shared" si="6"/>
        <v>4248.674137</v>
      </c>
      <c r="AG24" s="1"/>
      <c r="AH24" s="44">
        <v>15.0</v>
      </c>
      <c r="AI24" s="44" t="s">
        <v>45</v>
      </c>
      <c r="AJ24" s="55">
        <f>5239.13-395</f>
        <v>4844.13</v>
      </c>
      <c r="AK24" s="55">
        <v>3595.17</v>
      </c>
      <c r="AL24" s="1"/>
      <c r="AM24" s="44">
        <v>15.0</v>
      </c>
      <c r="AN24" s="44" t="s">
        <v>45</v>
      </c>
      <c r="AO24" s="55">
        <f>5597.5</f>
        <v>5597.5</v>
      </c>
      <c r="AP24" s="55">
        <v>6346.08</v>
      </c>
    </row>
    <row r="25" ht="15.75" customHeight="1">
      <c r="B25" s="2"/>
      <c r="C25" s="2"/>
      <c r="D25" s="2"/>
      <c r="E25" s="2"/>
      <c r="J25" s="44">
        <v>16.0</v>
      </c>
      <c r="K25" s="44" t="s">
        <v>44</v>
      </c>
      <c r="L25" s="50">
        <v>17300.0</v>
      </c>
      <c r="M25" s="55">
        <f>19007.35</f>
        <v>19007.35</v>
      </c>
      <c r="N25" s="51">
        <f t="shared" si="1"/>
        <v>1707.35</v>
      </c>
      <c r="P25" s="44">
        <v>16.0</v>
      </c>
      <c r="Q25" s="44" t="s">
        <v>44</v>
      </c>
      <c r="R25" s="55">
        <v>18500.0</v>
      </c>
      <c r="S25" s="55">
        <f>21092.92-1566</f>
        <v>19526.92</v>
      </c>
      <c r="T25" s="56">
        <f t="shared" si="2"/>
        <v>1026.92</v>
      </c>
      <c r="X25" s="140" t="s">
        <v>15</v>
      </c>
      <c r="Y25" s="55">
        <v>3883.68</v>
      </c>
      <c r="Z25" s="55">
        <v>5043.53</v>
      </c>
      <c r="AA25" s="143">
        <f t="shared" si="5"/>
        <v>0.2986471594</v>
      </c>
      <c r="AC25" s="140" t="s">
        <v>15</v>
      </c>
      <c r="AD25" s="55">
        <v>5523.61</v>
      </c>
      <c r="AE25" s="144">
        <f t="shared" si="6"/>
        <v>7173.220436</v>
      </c>
      <c r="AG25" s="1"/>
      <c r="AH25" s="44">
        <v>16.0</v>
      </c>
      <c r="AI25" s="44" t="s">
        <v>46</v>
      </c>
      <c r="AJ25" s="55">
        <f>5093.71-429</f>
        <v>4664.71</v>
      </c>
      <c r="AK25" s="55">
        <v>5148.42</v>
      </c>
      <c r="AL25" s="1"/>
      <c r="AM25" s="44">
        <v>16.0</v>
      </c>
      <c r="AN25" s="44" t="s">
        <v>46</v>
      </c>
      <c r="AO25" s="55">
        <f>5457.05</f>
        <v>5457.05</v>
      </c>
      <c r="AP25" s="55">
        <v>5449.36</v>
      </c>
    </row>
    <row r="26" ht="15.75" customHeight="1">
      <c r="B26" s="2"/>
      <c r="C26" s="2"/>
      <c r="D26" s="2"/>
      <c r="E26" s="2"/>
      <c r="J26" s="44">
        <v>17.0</v>
      </c>
      <c r="K26" s="44" t="s">
        <v>45</v>
      </c>
      <c r="L26" s="55">
        <v>3900.0</v>
      </c>
      <c r="M26" s="55">
        <f>5597.5</f>
        <v>5597.5</v>
      </c>
      <c r="N26" s="51">
        <f t="shared" si="1"/>
        <v>1697.5</v>
      </c>
      <c r="P26" s="44">
        <v>17.0</v>
      </c>
      <c r="Q26" s="44" t="s">
        <v>45</v>
      </c>
      <c r="R26" s="55">
        <v>2800.0</v>
      </c>
      <c r="S26" s="55">
        <f>4436.77-249</f>
        <v>4187.77</v>
      </c>
      <c r="T26" s="56">
        <f t="shared" si="2"/>
        <v>1387.77</v>
      </c>
      <c r="X26" s="140" t="s">
        <v>17</v>
      </c>
      <c r="Y26" s="55">
        <v>7712.84</v>
      </c>
      <c r="Z26" s="55">
        <v>7350.89</v>
      </c>
      <c r="AA26" s="143">
        <f t="shared" si="5"/>
        <v>-0.04692823914</v>
      </c>
      <c r="AC26" s="140" t="s">
        <v>17</v>
      </c>
      <c r="AD26" s="55">
        <v>9394.24</v>
      </c>
      <c r="AE26" s="144">
        <f t="shared" si="6"/>
        <v>8953.384859</v>
      </c>
      <c r="AG26" s="152" t="s">
        <v>94</v>
      </c>
      <c r="AH26" s="153">
        <v>17.0</v>
      </c>
      <c r="AI26" s="153" t="s">
        <v>40</v>
      </c>
      <c r="AJ26" s="154">
        <f>4837.11*2</f>
        <v>9674.22</v>
      </c>
      <c r="AK26" s="154">
        <f>4248.67*2</f>
        <v>8497.34</v>
      </c>
      <c r="AL26" s="1"/>
      <c r="AM26" s="153">
        <v>17.0</v>
      </c>
      <c r="AN26" s="153" t="s">
        <v>40</v>
      </c>
      <c r="AO26" s="154">
        <f>6291.79</f>
        <v>6291.79</v>
      </c>
      <c r="AP26" s="154">
        <v>15962.72</v>
      </c>
      <c r="AQ26" s="155" t="s">
        <v>94</v>
      </c>
    </row>
    <row r="27" ht="15.75" customHeight="1">
      <c r="B27" s="2"/>
      <c r="C27" s="2"/>
      <c r="D27" s="2"/>
      <c r="E27" s="2"/>
      <c r="J27" s="44">
        <v>18.0</v>
      </c>
      <c r="K27" s="44" t="s">
        <v>46</v>
      </c>
      <c r="L27" s="50">
        <v>3600.0</v>
      </c>
      <c r="M27" s="55">
        <f>4499.2</f>
        <v>4499.2</v>
      </c>
      <c r="N27" s="51">
        <f t="shared" si="1"/>
        <v>899.2</v>
      </c>
      <c r="P27" s="44">
        <v>18.0</v>
      </c>
      <c r="Q27" s="44" t="s">
        <v>46</v>
      </c>
      <c r="R27" s="55">
        <v>3800.0</v>
      </c>
      <c r="S27" s="55">
        <f>4082.73-355</f>
        <v>3727.73</v>
      </c>
      <c r="T27" s="56">
        <f t="shared" si="2"/>
        <v>-72.27</v>
      </c>
      <c r="X27" s="140" t="s">
        <v>19</v>
      </c>
      <c r="Y27" s="55">
        <f>10437.38</f>
        <v>10437.38</v>
      </c>
      <c r="Z27" s="55">
        <v>11245.52</v>
      </c>
      <c r="AA27" s="143">
        <f t="shared" si="5"/>
        <v>0.07742747701</v>
      </c>
      <c r="AC27" s="140" t="s">
        <v>19</v>
      </c>
      <c r="AD27" s="55">
        <v>12521.63</v>
      </c>
      <c r="AE27" s="144">
        <f t="shared" si="6"/>
        <v>13491.14822</v>
      </c>
      <c r="AG27" s="1"/>
      <c r="AH27" s="44">
        <v>18.0</v>
      </c>
      <c r="AI27" s="44" t="s">
        <v>47</v>
      </c>
      <c r="AJ27" s="55">
        <f>6498.44-446</f>
        <v>6052.44</v>
      </c>
      <c r="AK27" s="55">
        <v>7173.22</v>
      </c>
      <c r="AL27" s="156"/>
      <c r="AM27" s="44">
        <v>18.0</v>
      </c>
      <c r="AN27" s="44" t="s">
        <v>47</v>
      </c>
      <c r="AO27" s="55">
        <v>5672.26</v>
      </c>
      <c r="AP27" s="55">
        <v>6605.13</v>
      </c>
    </row>
    <row r="28" ht="15.75" customHeight="1">
      <c r="B28" s="2"/>
      <c r="C28" s="2"/>
      <c r="D28" s="2"/>
      <c r="E28" s="2"/>
      <c r="J28" s="44">
        <v>19.0</v>
      </c>
      <c r="K28" s="44" t="s">
        <v>40</v>
      </c>
      <c r="L28" s="50">
        <v>6000.0</v>
      </c>
      <c r="M28" s="55">
        <f>6291.79</f>
        <v>6291.79</v>
      </c>
      <c r="N28" s="51">
        <f t="shared" si="1"/>
        <v>291.79</v>
      </c>
      <c r="P28" s="44">
        <v>19.0</v>
      </c>
      <c r="Q28" s="44" t="s">
        <v>40</v>
      </c>
      <c r="R28" s="55">
        <v>4400.0</v>
      </c>
      <c r="S28" s="55">
        <f>4725.99-305</f>
        <v>4420.99</v>
      </c>
      <c r="T28" s="56">
        <f t="shared" si="2"/>
        <v>20.99</v>
      </c>
      <c r="X28" s="140" t="s">
        <v>20</v>
      </c>
      <c r="Y28" s="55">
        <v>15963.79</v>
      </c>
      <c r="Z28" s="55">
        <v>16083.83</v>
      </c>
      <c r="AA28" s="145">
        <f t="shared" si="5"/>
        <v>0.007519517608</v>
      </c>
      <c r="AC28" s="140" t="s">
        <v>20</v>
      </c>
      <c r="AD28" s="55">
        <v>20752.81</v>
      </c>
      <c r="AE28" s="144">
        <f t="shared" si="6"/>
        <v>20908.86112</v>
      </c>
      <c r="AG28" s="1"/>
      <c r="AH28" s="44">
        <v>19.0</v>
      </c>
      <c r="AI28" s="44" t="s">
        <v>48</v>
      </c>
      <c r="AJ28" s="55">
        <f>11056.99-782</f>
        <v>10274.99</v>
      </c>
      <c r="AK28" s="55">
        <v>8953.38</v>
      </c>
      <c r="AL28" s="1"/>
      <c r="AM28" s="44">
        <v>19.0</v>
      </c>
      <c r="AN28" s="44" t="s">
        <v>48</v>
      </c>
      <c r="AO28" s="55">
        <f>13858.25-250</f>
        <v>13608.25</v>
      </c>
      <c r="AP28" s="55">
        <v>13903.88</v>
      </c>
    </row>
    <row r="29" ht="15.75" customHeight="1">
      <c r="B29" s="2"/>
      <c r="C29" s="2"/>
      <c r="D29" s="2"/>
      <c r="E29" s="2"/>
      <c r="J29" s="44">
        <v>20.0</v>
      </c>
      <c r="K29" s="44" t="s">
        <v>47</v>
      </c>
      <c r="L29" s="50">
        <v>5500.0</v>
      </c>
      <c r="M29" s="55">
        <f>8468.93</f>
        <v>8468.93</v>
      </c>
      <c r="N29" s="51">
        <f t="shared" si="1"/>
        <v>2968.93</v>
      </c>
      <c r="P29" s="44">
        <v>20.0</v>
      </c>
      <c r="Q29" s="44" t="s">
        <v>47</v>
      </c>
      <c r="R29" s="55">
        <v>5000.0</v>
      </c>
      <c r="S29" s="55">
        <f>4901.87-389</f>
        <v>4512.87</v>
      </c>
      <c r="T29" s="56">
        <f t="shared" si="2"/>
        <v>-487.13</v>
      </c>
      <c r="AG29" s="1"/>
      <c r="AH29" s="44">
        <v>20.0</v>
      </c>
      <c r="AI29" s="44" t="s">
        <v>41</v>
      </c>
      <c r="AJ29" s="55">
        <f>13866.96-962</f>
        <v>12904.96</v>
      </c>
      <c r="AK29" s="55">
        <v>13491.15</v>
      </c>
      <c r="AL29" s="1"/>
      <c r="AM29" s="44">
        <v>20.0</v>
      </c>
      <c r="AN29" s="44" t="s">
        <v>41</v>
      </c>
      <c r="AO29" s="55">
        <f>21232.73</f>
        <v>21232.73</v>
      </c>
      <c r="AP29" s="55">
        <v>17034.02</v>
      </c>
    </row>
    <row r="30" ht="15.75" customHeight="1">
      <c r="B30" s="2"/>
      <c r="C30" s="2"/>
      <c r="D30" s="2"/>
      <c r="E30" s="2"/>
      <c r="J30" s="44">
        <v>21.0</v>
      </c>
      <c r="K30" s="44" t="s">
        <v>48</v>
      </c>
      <c r="L30" s="50">
        <v>13400.0</v>
      </c>
      <c r="M30" s="55">
        <f>9893.35-205</f>
        <v>9688.35</v>
      </c>
      <c r="N30" s="51">
        <f t="shared" si="1"/>
        <v>-3711.65</v>
      </c>
      <c r="P30" s="44">
        <v>21.0</v>
      </c>
      <c r="Q30" s="44" t="s">
        <v>48</v>
      </c>
      <c r="R30" s="55">
        <v>10300.0</v>
      </c>
      <c r="S30" s="55">
        <f>10613.67-841</f>
        <v>9772.67</v>
      </c>
      <c r="T30" s="56">
        <f t="shared" si="2"/>
        <v>-527.33</v>
      </c>
      <c r="AE30" s="13"/>
      <c r="AG30" s="1"/>
      <c r="AH30" s="44">
        <v>21.0</v>
      </c>
      <c r="AI30" s="44" t="s">
        <v>44</v>
      </c>
      <c r="AJ30" s="55">
        <f>23917.25-1673</f>
        <v>22244.25</v>
      </c>
      <c r="AK30" s="55">
        <v>20908.86</v>
      </c>
      <c r="AL30" s="1"/>
      <c r="AM30" s="44">
        <v>21.0</v>
      </c>
      <c r="AN30" s="44" t="s">
        <v>44</v>
      </c>
      <c r="AO30" s="55">
        <f>21028.75</f>
        <v>21028.75</v>
      </c>
      <c r="AP30" s="55">
        <v>20067.87</v>
      </c>
    </row>
    <row r="31" ht="15.75" customHeight="1">
      <c r="B31" s="2"/>
      <c r="C31" s="2"/>
      <c r="D31" s="2"/>
      <c r="E31" s="2"/>
      <c r="J31" s="44">
        <v>22.0</v>
      </c>
      <c r="K31" s="44" t="s">
        <v>41</v>
      </c>
      <c r="L31" s="50">
        <v>16500.0</v>
      </c>
      <c r="M31" s="55">
        <f>14308</f>
        <v>14308</v>
      </c>
      <c r="N31" s="51">
        <f t="shared" si="1"/>
        <v>-2192</v>
      </c>
      <c r="P31" s="44">
        <v>22.0</v>
      </c>
      <c r="Q31" s="44" t="s">
        <v>41</v>
      </c>
      <c r="R31" s="55">
        <v>13200.0</v>
      </c>
      <c r="S31" s="55">
        <f>12919.39-987</f>
        <v>11932.39</v>
      </c>
      <c r="T31" s="56">
        <f t="shared" si="2"/>
        <v>-1267.61</v>
      </c>
      <c r="AE31" s="13"/>
      <c r="AG31" s="1"/>
      <c r="AH31" s="44">
        <v>22.0</v>
      </c>
      <c r="AI31" s="44" t="s">
        <v>45</v>
      </c>
      <c r="AJ31" s="55">
        <f>5239.13-395</f>
        <v>4844.13</v>
      </c>
      <c r="AK31" s="55">
        <v>3595.17</v>
      </c>
      <c r="AL31" s="1"/>
      <c r="AM31" s="44">
        <v>22.0</v>
      </c>
      <c r="AN31" s="44" t="s">
        <v>45</v>
      </c>
      <c r="AO31" s="55">
        <f>5597.5</f>
        <v>5597.5</v>
      </c>
      <c r="AP31" s="55">
        <v>6346.08</v>
      </c>
    </row>
    <row r="32" ht="15.75" customHeight="1">
      <c r="B32" s="2"/>
      <c r="C32" s="2"/>
      <c r="D32" s="2"/>
      <c r="E32" s="2"/>
      <c r="J32" s="44">
        <v>23.0</v>
      </c>
      <c r="K32" s="44" t="s">
        <v>44</v>
      </c>
      <c r="L32" s="50">
        <v>17300.0</v>
      </c>
      <c r="M32" s="55">
        <f>21028.75</f>
        <v>21028.75</v>
      </c>
      <c r="N32" s="51">
        <f t="shared" si="1"/>
        <v>3728.75</v>
      </c>
      <c r="P32" s="44">
        <v>23.0</v>
      </c>
      <c r="Q32" s="44" t="s">
        <v>44</v>
      </c>
      <c r="R32" s="55">
        <v>18500.0</v>
      </c>
      <c r="S32" s="55">
        <f>22289.31-1724</f>
        <v>20565.31</v>
      </c>
      <c r="T32" s="56">
        <f t="shared" si="2"/>
        <v>2065.31</v>
      </c>
      <c r="AA32" s="1"/>
      <c r="AB32" s="3" t="s">
        <v>50</v>
      </c>
      <c r="AE32" s="13"/>
      <c r="AG32" s="1"/>
      <c r="AH32" s="44">
        <v>23.0</v>
      </c>
      <c r="AI32" s="44" t="s">
        <v>46</v>
      </c>
      <c r="AJ32" s="55">
        <f>5093.71-429</f>
        <v>4664.71</v>
      </c>
      <c r="AK32" s="55">
        <v>5148.42</v>
      </c>
      <c r="AL32" s="1"/>
      <c r="AM32" s="44">
        <v>23.0</v>
      </c>
      <c r="AN32" s="44" t="s">
        <v>46</v>
      </c>
      <c r="AO32" s="55">
        <f>5457.05</f>
        <v>5457.05</v>
      </c>
      <c r="AP32" s="55">
        <v>5449.36</v>
      </c>
    </row>
    <row r="33" ht="15.75" customHeight="1">
      <c r="B33" s="2"/>
      <c r="C33" s="2"/>
      <c r="D33" s="2"/>
      <c r="E33" s="2"/>
      <c r="J33" s="44">
        <v>24.0</v>
      </c>
      <c r="K33" s="44" t="s">
        <v>45</v>
      </c>
      <c r="L33" s="55">
        <v>3900.0</v>
      </c>
      <c r="M33" s="55">
        <f>4538.57</f>
        <v>4538.57</v>
      </c>
      <c r="N33" s="51">
        <f t="shared" si="1"/>
        <v>638.57</v>
      </c>
      <c r="P33" s="44">
        <v>24.0</v>
      </c>
      <c r="Q33" s="44" t="s">
        <v>45</v>
      </c>
      <c r="R33" s="55">
        <v>2800.0</v>
      </c>
      <c r="S33" s="55">
        <f>5211.27-399.99</f>
        <v>4811.28</v>
      </c>
      <c r="T33" s="56">
        <f t="shared" si="2"/>
        <v>2011.28</v>
      </c>
      <c r="Z33" s="61"/>
      <c r="AA33" s="1"/>
      <c r="AB33" s="8" t="s">
        <v>1</v>
      </c>
      <c r="AC33" s="8" t="s">
        <v>5</v>
      </c>
      <c r="AE33" s="13"/>
      <c r="AG33" s="1"/>
      <c r="AH33" s="44">
        <v>24.0</v>
      </c>
      <c r="AI33" s="47" t="s">
        <v>40</v>
      </c>
      <c r="AJ33" s="55">
        <f>5292.11-455</f>
        <v>4837.11</v>
      </c>
      <c r="AK33" s="55">
        <v>4248.67</v>
      </c>
      <c r="AL33" s="1"/>
      <c r="AM33" s="44">
        <v>24.0</v>
      </c>
      <c r="AN33" s="47" t="s">
        <v>40</v>
      </c>
      <c r="AO33" s="55">
        <f>6291.79</f>
        <v>6291.79</v>
      </c>
      <c r="AP33" s="55">
        <v>10239.3</v>
      </c>
    </row>
    <row r="34" ht="15.75" customHeight="1">
      <c r="B34" s="2"/>
      <c r="C34" s="2"/>
      <c r="D34" s="2"/>
      <c r="E34" s="2"/>
      <c r="J34" s="44">
        <v>25.0</v>
      </c>
      <c r="K34" s="44" t="s">
        <v>46</v>
      </c>
      <c r="L34" s="50">
        <v>3600.0</v>
      </c>
      <c r="M34" s="55">
        <f>5457.05</f>
        <v>5457.05</v>
      </c>
      <c r="N34" s="51">
        <f t="shared" si="1"/>
        <v>1857.05</v>
      </c>
      <c r="P34" s="44">
        <v>25.0</v>
      </c>
      <c r="Q34" s="44" t="s">
        <v>46</v>
      </c>
      <c r="R34" s="55">
        <v>3800.0</v>
      </c>
      <c r="S34" s="55">
        <f>5093.71-429</f>
        <v>4664.71</v>
      </c>
      <c r="T34" s="56">
        <f t="shared" si="2"/>
        <v>864.71</v>
      </c>
      <c r="AA34" s="1" t="s">
        <v>6</v>
      </c>
      <c r="AB34" s="55">
        <f>5597.5</f>
        <v>5597.5</v>
      </c>
      <c r="AC34" s="55">
        <f>5239.13-395</f>
        <v>4844.13</v>
      </c>
      <c r="AE34" s="13"/>
      <c r="AG34" s="1"/>
      <c r="AH34" s="44">
        <v>25.0</v>
      </c>
      <c r="AI34" s="47" t="s">
        <v>47</v>
      </c>
      <c r="AJ34" s="55">
        <f>6498.44-446</f>
        <v>6052.44</v>
      </c>
      <c r="AK34" s="55">
        <v>7173.22</v>
      </c>
      <c r="AL34" s="1"/>
      <c r="AM34" s="44">
        <v>25.0</v>
      </c>
      <c r="AN34" s="47" t="s">
        <v>47</v>
      </c>
      <c r="AO34" s="55">
        <v>5672.26</v>
      </c>
      <c r="AP34" s="55">
        <v>6605.13</v>
      </c>
    </row>
    <row r="35" ht="15.75" customHeight="1">
      <c r="B35" s="2"/>
      <c r="C35" s="2"/>
      <c r="D35" s="2"/>
      <c r="E35" s="2"/>
      <c r="J35" s="44">
        <v>26.0</v>
      </c>
      <c r="K35" s="47" t="s">
        <v>40</v>
      </c>
      <c r="L35" s="50">
        <v>6000.0</v>
      </c>
      <c r="M35" s="55">
        <v>5817.3</v>
      </c>
      <c r="N35" s="51">
        <f t="shared" si="1"/>
        <v>-182.7</v>
      </c>
      <c r="P35" s="44">
        <v>26.0</v>
      </c>
      <c r="Q35" s="47" t="s">
        <v>40</v>
      </c>
      <c r="R35" s="55">
        <v>4400.0</v>
      </c>
      <c r="S35" s="55">
        <f>5292.11-455</f>
        <v>4837.11</v>
      </c>
      <c r="T35" s="56">
        <f t="shared" si="2"/>
        <v>437.11</v>
      </c>
      <c r="AA35" s="1" t="s">
        <v>10</v>
      </c>
      <c r="AB35" s="55">
        <f>5457.05</f>
        <v>5457.05</v>
      </c>
      <c r="AC35" s="55">
        <f>5093.71-429</f>
        <v>4664.71</v>
      </c>
      <c r="AE35" s="13"/>
      <c r="AG35" s="1"/>
      <c r="AH35" s="44">
        <v>26.0</v>
      </c>
      <c r="AI35" s="47" t="s">
        <v>48</v>
      </c>
      <c r="AJ35" s="55">
        <f>11056.99-782</f>
        <v>10274.99</v>
      </c>
      <c r="AK35" s="55">
        <v>8953.38</v>
      </c>
      <c r="AL35" s="1"/>
      <c r="AM35" s="44">
        <v>26.0</v>
      </c>
      <c r="AN35" s="47" t="s">
        <v>48</v>
      </c>
      <c r="AO35" s="55">
        <f>13858.25-250</f>
        <v>13608.25</v>
      </c>
      <c r="AP35" s="55">
        <v>13903.88</v>
      </c>
    </row>
    <row r="36" ht="15.75" customHeight="1">
      <c r="B36" s="2"/>
      <c r="C36" s="2"/>
      <c r="D36" s="2"/>
      <c r="E36" s="2"/>
      <c r="J36" s="44">
        <v>27.0</v>
      </c>
      <c r="K36" s="47" t="s">
        <v>47</v>
      </c>
      <c r="L36" s="50">
        <v>5500.0</v>
      </c>
      <c r="M36" s="55">
        <f>6930.3</f>
        <v>6930.3</v>
      </c>
      <c r="N36" s="51"/>
      <c r="P36" s="44">
        <v>27.0</v>
      </c>
      <c r="Q36" s="47" t="s">
        <v>47</v>
      </c>
      <c r="R36" s="55">
        <v>5000.0</v>
      </c>
      <c r="S36" s="55">
        <f>6605.76-454</f>
        <v>6151.76</v>
      </c>
      <c r="T36" s="56"/>
      <c r="X36" s="61"/>
      <c r="AA36" s="1" t="s">
        <v>12</v>
      </c>
      <c r="AB36" s="55">
        <f>6291.79</f>
        <v>6291.79</v>
      </c>
      <c r="AC36" s="55">
        <f>5292.11-455</f>
        <v>4837.11</v>
      </c>
      <c r="AE36" s="13"/>
      <c r="AG36" s="1"/>
      <c r="AH36" s="44">
        <v>27.0</v>
      </c>
      <c r="AI36" s="44" t="s">
        <v>41</v>
      </c>
      <c r="AJ36" s="55">
        <f>13866.96-962</f>
        <v>12904.96</v>
      </c>
      <c r="AK36" s="55">
        <v>13491.15</v>
      </c>
      <c r="AL36" s="1"/>
      <c r="AM36" s="44">
        <v>27.0</v>
      </c>
      <c r="AN36" s="44" t="s">
        <v>41</v>
      </c>
      <c r="AO36" s="55">
        <f>21232.73</f>
        <v>21232.73</v>
      </c>
      <c r="AP36" s="55">
        <v>17034.02</v>
      </c>
    </row>
    <row r="37" ht="15.75" customHeight="1">
      <c r="B37" s="2"/>
      <c r="C37" s="2"/>
      <c r="D37" s="2"/>
      <c r="E37" s="2"/>
      <c r="J37" s="44">
        <v>28.0</v>
      </c>
      <c r="K37" s="47" t="s">
        <v>48</v>
      </c>
      <c r="L37" s="88">
        <v>14400.0</v>
      </c>
      <c r="M37" s="55">
        <f>9907.5</f>
        <v>9907.5</v>
      </c>
      <c r="N37" s="51"/>
      <c r="P37" s="44">
        <v>28.0</v>
      </c>
      <c r="Q37" s="47" t="s">
        <v>48</v>
      </c>
      <c r="R37" s="89">
        <f>R30+1000</f>
        <v>11300</v>
      </c>
      <c r="S37" s="55"/>
      <c r="T37" s="56"/>
      <c r="AA37" s="1" t="s">
        <v>15</v>
      </c>
      <c r="AB37" s="55">
        <f>8468.93</f>
        <v>8468.93</v>
      </c>
      <c r="AC37" s="55">
        <f>6498.44-446</f>
        <v>6052.44</v>
      </c>
      <c r="AG37" s="1"/>
      <c r="AH37" s="44">
        <v>28.0</v>
      </c>
      <c r="AI37" s="44" t="s">
        <v>44</v>
      </c>
      <c r="AJ37" s="55">
        <f>23917.25-1673</f>
        <v>22244.25</v>
      </c>
      <c r="AK37" s="55">
        <v>20908.86</v>
      </c>
      <c r="AL37" s="1"/>
      <c r="AM37" s="44">
        <v>28.0</v>
      </c>
      <c r="AN37" s="44" t="s">
        <v>44</v>
      </c>
      <c r="AO37" s="55">
        <f>21028.75</f>
        <v>21028.75</v>
      </c>
      <c r="AP37" s="55">
        <v>20067.87</v>
      </c>
    </row>
    <row r="38" ht="15.75" customHeight="1">
      <c r="B38" s="2"/>
      <c r="C38" s="2"/>
      <c r="D38" s="2"/>
      <c r="E38" s="2"/>
      <c r="J38" s="44">
        <v>29.0</v>
      </c>
      <c r="K38" s="44" t="s">
        <v>41</v>
      </c>
      <c r="L38" s="88">
        <v>18000.0</v>
      </c>
      <c r="M38" s="55">
        <f>10221.55+766.25</f>
        <v>10987.8</v>
      </c>
      <c r="N38" s="51"/>
      <c r="P38" s="44">
        <v>29.0</v>
      </c>
      <c r="Q38" s="44" t="s">
        <v>41</v>
      </c>
      <c r="R38" s="89">
        <f>R31+1500</f>
        <v>14700</v>
      </c>
      <c r="S38" s="55"/>
      <c r="T38" s="56"/>
      <c r="AA38" s="1" t="s">
        <v>17</v>
      </c>
      <c r="AB38" s="55">
        <f>13858.25-250</f>
        <v>13608.25</v>
      </c>
      <c r="AC38" s="55">
        <f>11056.99-782</f>
        <v>10274.99</v>
      </c>
      <c r="AG38" s="1"/>
      <c r="AH38" s="44">
        <v>29.0</v>
      </c>
      <c r="AI38" s="44" t="s">
        <v>45</v>
      </c>
      <c r="AJ38" s="55">
        <f>5239.13-395</f>
        <v>4844.13</v>
      </c>
      <c r="AK38" s="55">
        <v>3595.17</v>
      </c>
      <c r="AL38" s="1"/>
      <c r="AM38" s="44">
        <v>29.0</v>
      </c>
      <c r="AN38" s="44" t="s">
        <v>45</v>
      </c>
      <c r="AO38" s="55">
        <f>5597.5</f>
        <v>5597.5</v>
      </c>
      <c r="AP38" s="55">
        <v>6346.08</v>
      </c>
    </row>
    <row r="39" ht="15.75" customHeight="1">
      <c r="B39" s="2"/>
      <c r="C39" s="2"/>
      <c r="D39" s="2"/>
      <c r="E39" s="2"/>
      <c r="J39" s="44">
        <v>30.0</v>
      </c>
      <c r="K39" s="44" t="s">
        <v>44</v>
      </c>
      <c r="L39" s="88">
        <v>15900.0</v>
      </c>
      <c r="M39" s="55">
        <f>17669.34</f>
        <v>17669.34</v>
      </c>
      <c r="N39" s="51"/>
      <c r="P39" s="44">
        <v>30.0</v>
      </c>
      <c r="Q39" s="44" t="s">
        <v>44</v>
      </c>
      <c r="R39" s="89">
        <v>18500.0</v>
      </c>
      <c r="S39" s="55"/>
      <c r="T39" s="56"/>
      <c r="AA39" s="1" t="s">
        <v>19</v>
      </c>
      <c r="AB39" s="55">
        <f>21232.73</f>
        <v>21232.73</v>
      </c>
      <c r="AC39" s="55">
        <f>13866.96-962</f>
        <v>12904.96</v>
      </c>
      <c r="AG39" s="1"/>
      <c r="AH39" s="44">
        <v>30.0</v>
      </c>
      <c r="AI39" s="44" t="s">
        <v>46</v>
      </c>
      <c r="AJ39" s="55">
        <f>5093.71-429</f>
        <v>4664.71</v>
      </c>
      <c r="AK39" s="55">
        <v>5148.42</v>
      </c>
      <c r="AL39" s="1"/>
      <c r="AM39" s="44">
        <v>30.0</v>
      </c>
      <c r="AN39" s="44" t="s">
        <v>46</v>
      </c>
      <c r="AO39" s="55">
        <f>5457.05</f>
        <v>5457.05</v>
      </c>
      <c r="AP39" s="55">
        <v>5449.36</v>
      </c>
    </row>
    <row r="40" ht="15.75" customHeight="1">
      <c r="B40" s="2"/>
      <c r="C40" s="2"/>
      <c r="D40" s="2"/>
      <c r="E40" s="2"/>
      <c r="J40" s="44"/>
      <c r="K40" s="47"/>
      <c r="L40" s="62"/>
      <c r="M40" s="55"/>
      <c r="N40" s="51"/>
      <c r="P40" s="44"/>
      <c r="Q40" s="47"/>
      <c r="R40" s="55"/>
      <c r="S40" s="55"/>
      <c r="T40" s="56"/>
      <c r="AA40" s="1" t="s">
        <v>20</v>
      </c>
      <c r="AB40" s="55">
        <f>21028.75</f>
        <v>21028.75</v>
      </c>
      <c r="AC40" s="55">
        <f>23917.25-1673</f>
        <v>22244.25</v>
      </c>
      <c r="AG40" s="1"/>
      <c r="AH40" s="44">
        <v>31.0</v>
      </c>
      <c r="AI40" s="44" t="s">
        <v>40</v>
      </c>
      <c r="AJ40" s="55">
        <f>5292.11-455</f>
        <v>4837.11</v>
      </c>
      <c r="AK40" s="55">
        <v>4248.67</v>
      </c>
      <c r="AL40" s="1"/>
      <c r="AM40" s="44">
        <v>31.0</v>
      </c>
      <c r="AN40" s="44" t="s">
        <v>40</v>
      </c>
      <c r="AO40" s="55">
        <f>6291.79</f>
        <v>6291.79</v>
      </c>
      <c r="AP40" s="55">
        <v>10239.3</v>
      </c>
    </row>
    <row r="41" ht="15.75" customHeight="1">
      <c r="B41" s="2"/>
      <c r="C41" s="2"/>
      <c r="D41" s="2"/>
      <c r="E41" s="2"/>
      <c r="J41" s="8"/>
      <c r="K41" s="8"/>
      <c r="L41" s="107">
        <f t="shared" ref="L41:N41" si="7">SUM(L10:L40)</f>
        <v>320000</v>
      </c>
      <c r="M41" s="103">
        <f t="shared" si="7"/>
        <v>322533.03</v>
      </c>
      <c r="N41" s="105">
        <f t="shared" si="7"/>
        <v>10838.09</v>
      </c>
      <c r="P41" s="8"/>
      <c r="Q41" s="8"/>
      <c r="R41" s="107">
        <f t="shared" ref="R41:T41" si="8">SUM(R10:R40)</f>
        <v>270000</v>
      </c>
      <c r="S41" s="109">
        <f t="shared" si="8"/>
        <v>242210.12</v>
      </c>
      <c r="T41" s="105">
        <f t="shared" si="8"/>
        <v>15558.36</v>
      </c>
      <c r="W41" s="61"/>
      <c r="AG41" s="1"/>
      <c r="AH41" s="8"/>
      <c r="AI41" s="8"/>
      <c r="AJ41" s="107">
        <f t="shared" ref="AJ41:AK41" si="9">SUM(AJ10:AJ40)</f>
        <v>299880.56</v>
      </c>
      <c r="AK41" s="107">
        <f t="shared" si="9"/>
        <v>287976.6</v>
      </c>
      <c r="AL41" s="1"/>
      <c r="AM41" s="8"/>
      <c r="AN41" s="8"/>
      <c r="AO41" s="107">
        <f t="shared" ref="AO41:AP41" si="10">SUM(AO10:AO40)</f>
        <v>347636.62</v>
      </c>
      <c r="AP41" s="107">
        <f t="shared" si="10"/>
        <v>356169.29</v>
      </c>
    </row>
    <row r="42" ht="15.75" customHeight="1">
      <c r="B42" s="2"/>
      <c r="C42" s="2"/>
      <c r="D42" s="2"/>
      <c r="E42" s="2"/>
      <c r="J42" s="8"/>
      <c r="K42" s="13"/>
      <c r="L42" s="1"/>
      <c r="M42" s="114">
        <f>M41/K45</f>
        <v>1.007915719</v>
      </c>
      <c r="N42" s="1"/>
      <c r="R42" s="2"/>
      <c r="S42" s="64">
        <f>S41/Q45</f>
        <v>0.8970745185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ht="15.75" customHeight="1">
      <c r="B43" s="2"/>
      <c r="C43" s="2"/>
      <c r="D43" s="2"/>
      <c r="E43" s="2"/>
      <c r="J43" s="2"/>
      <c r="K43" s="2"/>
      <c r="L43" s="2"/>
      <c r="M43" s="2"/>
      <c r="Q43" s="61"/>
      <c r="R43" s="2"/>
      <c r="S43" s="2"/>
      <c r="AG43" s="1"/>
      <c r="AH43" s="1"/>
      <c r="AI43" s="1"/>
      <c r="AJ43" s="1" t="s">
        <v>95</v>
      </c>
      <c r="AK43" s="13"/>
      <c r="AL43" s="1"/>
      <c r="AM43" s="1"/>
      <c r="AN43" s="1"/>
      <c r="AO43" s="1" t="s">
        <v>95</v>
      </c>
      <c r="AP43" s="13"/>
    </row>
    <row r="44" ht="15.75" customHeight="1">
      <c r="B44" s="2"/>
      <c r="C44" s="2"/>
      <c r="D44" s="2"/>
      <c r="E44" s="2"/>
      <c r="J44" s="2"/>
      <c r="K44" s="2"/>
      <c r="L44" s="115" t="s">
        <v>77</v>
      </c>
      <c r="M44" s="118">
        <f>L41+N41</f>
        <v>330838.09</v>
      </c>
      <c r="R44" s="115" t="s">
        <v>77</v>
      </c>
      <c r="S44" s="118">
        <f>R41+T41</f>
        <v>285558.36</v>
      </c>
      <c r="Z44" s="1"/>
      <c r="AA44" s="157">
        <v>45078.0</v>
      </c>
      <c r="AB44" s="157">
        <v>45444.0</v>
      </c>
      <c r="AC44" s="1" t="s">
        <v>38</v>
      </c>
      <c r="AD44" s="1"/>
      <c r="AG44" s="1"/>
      <c r="AH44" s="1"/>
      <c r="AI44" s="1"/>
      <c r="AJ44" s="158">
        <v>293928.58</v>
      </c>
      <c r="AK44" s="159">
        <v>290000.0</v>
      </c>
      <c r="AL44" s="1"/>
      <c r="AM44" s="1"/>
      <c r="AN44" s="1"/>
      <c r="AO44" s="158">
        <v>351902.96</v>
      </c>
      <c r="AP44" s="159">
        <v>350000.0</v>
      </c>
    </row>
    <row r="45" ht="15.75" customHeight="1">
      <c r="B45" s="2"/>
      <c r="C45" s="2"/>
      <c r="D45" s="2"/>
      <c r="E45" s="2"/>
      <c r="J45" s="122" t="s">
        <v>29</v>
      </c>
      <c r="K45" s="124">
        <v>320000.0</v>
      </c>
      <c r="L45" s="2"/>
      <c r="M45" s="2"/>
      <c r="P45" s="126" t="s">
        <v>29</v>
      </c>
      <c r="Q45" s="124">
        <v>270000.0</v>
      </c>
      <c r="R45" s="2"/>
      <c r="S45" s="2"/>
      <c r="V45" s="61"/>
      <c r="Z45" s="1" t="s">
        <v>96</v>
      </c>
      <c r="AA45" s="13">
        <v>270176.72</v>
      </c>
      <c r="AB45" s="13">
        <v>322533.0</v>
      </c>
      <c r="AC45" s="13">
        <f t="shared" ref="AC45:AC46" si="11">AB45-AA45</f>
        <v>52356.28</v>
      </c>
      <c r="AD45" s="156">
        <f t="shared" ref="AD45:AD46" si="12">AB45/AA45-1</f>
        <v>0.1937853121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ht="15.75" customHeight="1">
      <c r="B46" s="2"/>
      <c r="C46" s="2"/>
      <c r="D46" s="2"/>
      <c r="E46" s="2"/>
      <c r="L46" s="2"/>
      <c r="M46" s="2"/>
      <c r="R46" s="2"/>
      <c r="S46" s="2"/>
      <c r="Z46" s="1" t="s">
        <v>97</v>
      </c>
      <c r="AA46" s="13">
        <v>224464.83</v>
      </c>
      <c r="AB46" s="13">
        <v>289577.0</v>
      </c>
      <c r="AC46" s="13">
        <f t="shared" si="11"/>
        <v>65112.17</v>
      </c>
      <c r="AD46" s="156">
        <f t="shared" si="12"/>
        <v>0.2900773809</v>
      </c>
    </row>
    <row r="47" ht="15.75" customHeight="1">
      <c r="B47" s="2"/>
      <c r="C47" s="2"/>
      <c r="D47" s="2"/>
      <c r="E47" s="2"/>
      <c r="L47" s="2"/>
      <c r="M47" s="2"/>
      <c r="R47" s="2"/>
      <c r="S47" s="2"/>
    </row>
    <row r="48" ht="15.75" customHeight="1">
      <c r="B48" s="2"/>
      <c r="C48" s="2"/>
      <c r="D48" s="2"/>
      <c r="E48" s="2"/>
      <c r="L48" s="2"/>
      <c r="M48" s="2"/>
      <c r="R48" s="2"/>
      <c r="S48" s="2"/>
    </row>
    <row r="49" ht="15.75" customHeight="1">
      <c r="B49" s="2"/>
      <c r="C49" s="2"/>
      <c r="D49" s="2"/>
      <c r="E49" s="2"/>
      <c r="L49" s="2"/>
      <c r="M49" s="2"/>
    </row>
    <row r="50" ht="15.75" customHeight="1">
      <c r="B50" s="2"/>
      <c r="C50" s="2"/>
      <c r="D50" s="2"/>
      <c r="E50" s="2"/>
      <c r="L50" s="2"/>
      <c r="M50" s="2"/>
    </row>
    <row r="51" ht="15.75" customHeight="1">
      <c r="B51" s="2"/>
      <c r="C51" s="2"/>
      <c r="D51" s="2"/>
      <c r="E51" s="2"/>
      <c r="L51" s="2"/>
      <c r="M51" s="2"/>
    </row>
    <row r="52" ht="15.75" customHeight="1">
      <c r="B52" s="2"/>
      <c r="C52" s="2"/>
      <c r="D52" s="2"/>
      <c r="E52" s="2"/>
      <c r="L52" s="2"/>
      <c r="M52" s="2"/>
    </row>
    <row r="53" ht="15.75" customHeight="1">
      <c r="B53" s="2"/>
      <c r="C53" s="2"/>
      <c r="D53" s="2"/>
      <c r="E53" s="2"/>
      <c r="L53" s="2"/>
      <c r="M53" s="2"/>
    </row>
    <row r="54" ht="15.75" customHeight="1">
      <c r="B54" s="2"/>
      <c r="C54" s="2"/>
      <c r="D54" s="2"/>
      <c r="E54" s="2"/>
      <c r="L54" s="2"/>
      <c r="M54" s="2"/>
    </row>
    <row r="55" ht="15.75" customHeight="1">
      <c r="B55" s="2"/>
      <c r="C55" s="2"/>
      <c r="D55" s="2"/>
      <c r="E55" s="2"/>
      <c r="L55" s="2"/>
      <c r="M55" s="2"/>
    </row>
    <row r="56" ht="15.75" customHeight="1">
      <c r="B56" s="2"/>
      <c r="C56" s="2"/>
      <c r="D56" s="2"/>
      <c r="E56" s="2"/>
      <c r="L56" s="2"/>
      <c r="M56" s="2"/>
    </row>
    <row r="57" ht="15.75" customHeight="1">
      <c r="B57" s="2"/>
      <c r="C57" s="2"/>
      <c r="D57" s="2"/>
      <c r="E57" s="2"/>
      <c r="L57" s="2"/>
      <c r="M57" s="2"/>
    </row>
    <row r="58" ht="15.75" customHeight="1">
      <c r="B58" s="2"/>
      <c r="C58" s="2"/>
      <c r="D58" s="2"/>
      <c r="E58" s="2"/>
      <c r="L58" s="2"/>
      <c r="M58" s="2"/>
    </row>
    <row r="59" ht="15.75" customHeight="1">
      <c r="B59" s="2"/>
      <c r="C59" s="2"/>
      <c r="D59" s="2"/>
      <c r="E59" s="2"/>
      <c r="L59" s="2"/>
      <c r="M59" s="2"/>
    </row>
    <row r="60" ht="15.75" customHeight="1">
      <c r="B60" s="2"/>
      <c r="C60" s="2"/>
      <c r="D60" s="2"/>
      <c r="E60" s="2"/>
      <c r="L60" s="2"/>
      <c r="M60" s="2"/>
    </row>
    <row r="61" ht="15.75" customHeight="1">
      <c r="B61" s="2"/>
      <c r="C61" s="2"/>
      <c r="D61" s="2"/>
      <c r="E61" s="2"/>
      <c r="L61" s="2"/>
      <c r="M61" s="2"/>
    </row>
    <row r="62" ht="15.75" customHeight="1">
      <c r="B62" s="2"/>
      <c r="C62" s="2"/>
      <c r="D62" s="2"/>
      <c r="E62" s="2"/>
      <c r="L62" s="2"/>
      <c r="M62" s="2"/>
    </row>
    <row r="63" ht="15.75" customHeight="1">
      <c r="B63" s="2"/>
      <c r="C63" s="2"/>
      <c r="D63" s="2"/>
      <c r="E63" s="2"/>
      <c r="L63" s="2"/>
      <c r="M63" s="2"/>
    </row>
    <row r="64" ht="15.75" customHeight="1">
      <c r="B64" s="2"/>
      <c r="C64" s="2"/>
      <c r="D64" s="2"/>
      <c r="E64" s="2"/>
      <c r="L64" s="2"/>
      <c r="M64" s="2"/>
    </row>
    <row r="65" ht="15.75" customHeight="1">
      <c r="B65" s="2"/>
      <c r="C65" s="2"/>
      <c r="D65" s="2"/>
      <c r="E65" s="2"/>
      <c r="L65" s="2"/>
      <c r="M65" s="2"/>
    </row>
    <row r="66" ht="15.75" customHeight="1">
      <c r="B66" s="2"/>
      <c r="C66" s="2"/>
      <c r="D66" s="2"/>
      <c r="E66" s="2"/>
      <c r="L66" s="2"/>
      <c r="M66" s="2"/>
    </row>
    <row r="67" ht="15.75" customHeight="1">
      <c r="B67" s="2"/>
      <c r="C67" s="2"/>
      <c r="D67" s="2"/>
      <c r="E67" s="2"/>
      <c r="L67" s="2"/>
      <c r="M67" s="2"/>
    </row>
    <row r="68" ht="15.75" customHeight="1">
      <c r="B68" s="2"/>
      <c r="C68" s="2"/>
      <c r="D68" s="2"/>
      <c r="E68" s="2"/>
      <c r="L68" s="2"/>
      <c r="M68" s="2"/>
    </row>
    <row r="69" ht="15.75" customHeight="1">
      <c r="B69" s="2"/>
      <c r="C69" s="2"/>
      <c r="D69" s="2"/>
      <c r="E69" s="2"/>
      <c r="L69" s="2"/>
      <c r="M69" s="2"/>
    </row>
    <row r="70" ht="15.75" customHeight="1">
      <c r="B70" s="2"/>
      <c r="C70" s="2"/>
      <c r="D70" s="2"/>
      <c r="E70" s="2"/>
      <c r="L70" s="2"/>
      <c r="M70" s="2"/>
    </row>
    <row r="71" ht="15.75" customHeight="1">
      <c r="B71" s="2"/>
      <c r="C71" s="2"/>
      <c r="D71" s="2"/>
      <c r="E71" s="2"/>
      <c r="L71" s="2"/>
      <c r="M71" s="2"/>
    </row>
    <row r="72" ht="15.75" customHeight="1">
      <c r="B72" s="2"/>
      <c r="C72" s="2"/>
      <c r="D72" s="2"/>
      <c r="E72" s="2"/>
      <c r="L72" s="2"/>
      <c r="M72" s="2"/>
    </row>
    <row r="73" ht="15.75" customHeight="1">
      <c r="B73" s="2"/>
      <c r="C73" s="2"/>
      <c r="D73" s="2"/>
      <c r="E73" s="2"/>
      <c r="L73" s="2"/>
      <c r="M73" s="2"/>
    </row>
    <row r="74" ht="15.75" customHeight="1">
      <c r="B74" s="2"/>
      <c r="C74" s="2"/>
      <c r="D74" s="2"/>
      <c r="E74" s="2"/>
      <c r="L74" s="2"/>
      <c r="M74" s="2"/>
    </row>
    <row r="75" ht="15.75" customHeight="1">
      <c r="B75" s="2"/>
      <c r="C75" s="2"/>
      <c r="D75" s="2"/>
      <c r="E75" s="2"/>
      <c r="L75" s="2"/>
      <c r="M75" s="2"/>
    </row>
    <row r="76" ht="15.75" customHeight="1">
      <c r="B76" s="2"/>
      <c r="C76" s="2"/>
      <c r="D76" s="2"/>
      <c r="E76" s="2"/>
      <c r="L76" s="2"/>
      <c r="M76" s="2"/>
    </row>
    <row r="77" ht="15.75" customHeight="1">
      <c r="B77" s="2"/>
      <c r="C77" s="2"/>
      <c r="D77" s="2"/>
      <c r="E77" s="2"/>
      <c r="L77" s="2"/>
      <c r="M77" s="2"/>
    </row>
    <row r="78" ht="15.75" customHeight="1">
      <c r="B78" s="2"/>
      <c r="C78" s="2"/>
      <c r="D78" s="2"/>
      <c r="E78" s="2"/>
      <c r="L78" s="2"/>
      <c r="M78" s="2"/>
    </row>
    <row r="79" ht="15.75" customHeight="1">
      <c r="B79" s="2"/>
      <c r="C79" s="2"/>
      <c r="D79" s="2"/>
      <c r="E79" s="2"/>
      <c r="L79" s="2"/>
      <c r="M79" s="2"/>
    </row>
    <row r="80" ht="15.75" customHeight="1">
      <c r="B80" s="2"/>
      <c r="C80" s="2"/>
      <c r="D80" s="2"/>
      <c r="E80" s="2"/>
      <c r="L80" s="2"/>
      <c r="M80" s="2"/>
    </row>
    <row r="81" ht="15.75" customHeight="1">
      <c r="B81" s="2"/>
      <c r="C81" s="2"/>
      <c r="D81" s="2"/>
      <c r="E81" s="2"/>
      <c r="L81" s="2"/>
      <c r="M81" s="2"/>
    </row>
    <row r="82" ht="15.75" customHeight="1">
      <c r="B82" s="2"/>
      <c r="C82" s="2"/>
      <c r="D82" s="2"/>
      <c r="E82" s="2"/>
      <c r="L82" s="2"/>
      <c r="M82" s="2"/>
    </row>
    <row r="83" ht="15.75" customHeight="1">
      <c r="B83" s="2"/>
      <c r="C83" s="2"/>
      <c r="D83" s="2"/>
      <c r="E83" s="2"/>
      <c r="L83" s="2"/>
      <c r="M83" s="2"/>
    </row>
    <row r="84" ht="15.75" customHeight="1">
      <c r="B84" s="2"/>
      <c r="C84" s="2"/>
      <c r="D84" s="2"/>
      <c r="E84" s="2"/>
      <c r="L84" s="2"/>
      <c r="M84" s="2"/>
    </row>
    <row r="85" ht="15.75" customHeight="1">
      <c r="B85" s="2"/>
      <c r="C85" s="2"/>
      <c r="D85" s="2"/>
      <c r="E85" s="2"/>
      <c r="L85" s="2"/>
      <c r="M85" s="2"/>
    </row>
    <row r="86" ht="15.75" customHeight="1">
      <c r="B86" s="2"/>
      <c r="C86" s="2"/>
      <c r="D86" s="2"/>
      <c r="E86" s="2"/>
      <c r="L86" s="2"/>
      <c r="M86" s="2"/>
    </row>
    <row r="87" ht="15.75" customHeight="1">
      <c r="B87" s="2"/>
      <c r="C87" s="2"/>
      <c r="D87" s="2"/>
      <c r="E87" s="2"/>
      <c r="L87" s="2"/>
      <c r="M87" s="2"/>
    </row>
    <row r="88" ht="15.75" customHeight="1">
      <c r="B88" s="2"/>
      <c r="C88" s="2"/>
      <c r="D88" s="2"/>
      <c r="E88" s="2"/>
      <c r="L88" s="2"/>
      <c r="M88" s="2"/>
    </row>
    <row r="89" ht="15.75" customHeight="1">
      <c r="B89" s="2"/>
      <c r="C89" s="2"/>
      <c r="D89" s="2"/>
      <c r="E89" s="2"/>
      <c r="L89" s="2"/>
      <c r="M89" s="2"/>
    </row>
    <row r="90" ht="15.75" customHeight="1">
      <c r="B90" s="2"/>
      <c r="C90" s="2"/>
      <c r="D90" s="2"/>
      <c r="E90" s="2"/>
      <c r="L90" s="2"/>
      <c r="M90" s="2"/>
    </row>
    <row r="91" ht="15.75" customHeight="1">
      <c r="B91" s="2"/>
      <c r="C91" s="2"/>
      <c r="D91" s="2"/>
      <c r="E91" s="2"/>
      <c r="L91" s="2"/>
      <c r="M91" s="2"/>
    </row>
    <row r="92" ht="15.75" customHeight="1">
      <c r="B92" s="2"/>
      <c r="C92" s="2"/>
      <c r="D92" s="2"/>
      <c r="E92" s="2"/>
      <c r="L92" s="2"/>
      <c r="M92" s="2"/>
    </row>
    <row r="93" ht="15.75" customHeight="1">
      <c r="B93" s="2"/>
      <c r="C93" s="2"/>
      <c r="D93" s="2"/>
      <c r="E93" s="2"/>
      <c r="L93" s="2"/>
      <c r="M93" s="2"/>
    </row>
    <row r="94" ht="15.75" customHeight="1">
      <c r="B94" s="2"/>
      <c r="C94" s="2"/>
      <c r="D94" s="2"/>
      <c r="E94" s="2"/>
      <c r="L94" s="2"/>
      <c r="M94" s="2"/>
    </row>
    <row r="95" ht="15.75" customHeight="1">
      <c r="B95" s="2"/>
      <c r="C95" s="2"/>
      <c r="D95" s="2"/>
      <c r="E95" s="2"/>
      <c r="L95" s="2"/>
      <c r="M95" s="2"/>
    </row>
    <row r="96" ht="15.75" customHeight="1">
      <c r="B96" s="2"/>
      <c r="C96" s="2"/>
      <c r="D96" s="2"/>
      <c r="E96" s="2"/>
      <c r="L96" s="2"/>
      <c r="M96" s="2"/>
    </row>
    <row r="97" ht="15.75" customHeight="1">
      <c r="B97" s="2"/>
      <c r="C97" s="2"/>
      <c r="D97" s="2"/>
      <c r="E97" s="2"/>
      <c r="L97" s="2"/>
      <c r="M97" s="2"/>
    </row>
    <row r="98" ht="15.75" customHeight="1">
      <c r="B98" s="2"/>
      <c r="C98" s="2"/>
      <c r="D98" s="2"/>
      <c r="E98" s="2"/>
      <c r="L98" s="2"/>
      <c r="M98" s="2"/>
    </row>
    <row r="99" ht="15.75" customHeight="1">
      <c r="B99" s="2"/>
      <c r="C99" s="2"/>
      <c r="D99" s="2"/>
      <c r="E99" s="2"/>
      <c r="L99" s="2"/>
      <c r="M99" s="2"/>
    </row>
    <row r="100" ht="15.75" customHeight="1">
      <c r="B100" s="2"/>
      <c r="C100" s="2"/>
      <c r="D100" s="2"/>
      <c r="E100" s="2"/>
      <c r="L100" s="2"/>
      <c r="M100" s="2"/>
    </row>
    <row r="101" ht="15.75" customHeight="1">
      <c r="B101" s="2"/>
      <c r="C101" s="2"/>
      <c r="D101" s="2"/>
      <c r="E101" s="2"/>
      <c r="L101" s="2"/>
      <c r="M101" s="2"/>
    </row>
    <row r="102" ht="15.75" customHeight="1">
      <c r="B102" s="2"/>
      <c r="C102" s="2"/>
      <c r="D102" s="2"/>
      <c r="E102" s="2"/>
      <c r="L102" s="2"/>
      <c r="M102" s="2"/>
    </row>
    <row r="103" ht="15.75" customHeight="1">
      <c r="B103" s="2"/>
      <c r="C103" s="2"/>
      <c r="D103" s="2"/>
      <c r="E103" s="2"/>
      <c r="L103" s="2"/>
      <c r="M103" s="2"/>
    </row>
    <row r="104" ht="15.75" customHeight="1">
      <c r="B104" s="2"/>
      <c r="C104" s="2"/>
      <c r="D104" s="2"/>
      <c r="E104" s="2"/>
      <c r="L104" s="2"/>
      <c r="M104" s="2"/>
    </row>
    <row r="105" ht="15.75" customHeight="1">
      <c r="B105" s="2"/>
      <c r="C105" s="2"/>
      <c r="D105" s="2"/>
      <c r="E105" s="2"/>
      <c r="L105" s="2"/>
      <c r="M105" s="2"/>
    </row>
    <row r="106" ht="15.75" customHeight="1">
      <c r="B106" s="2"/>
      <c r="C106" s="2"/>
      <c r="D106" s="2"/>
      <c r="E106" s="2"/>
      <c r="L106" s="2"/>
      <c r="M106" s="2"/>
    </row>
    <row r="107" ht="15.75" customHeight="1">
      <c r="B107" s="2"/>
      <c r="C107" s="2"/>
      <c r="D107" s="2"/>
      <c r="E107" s="2"/>
      <c r="L107" s="2"/>
      <c r="M107" s="2"/>
    </row>
    <row r="108" ht="15.75" customHeight="1">
      <c r="B108" s="2"/>
      <c r="C108" s="2"/>
      <c r="D108" s="2"/>
      <c r="E108" s="2"/>
      <c r="L108" s="2"/>
      <c r="M108" s="2"/>
    </row>
    <row r="109" ht="15.75" customHeight="1">
      <c r="B109" s="2"/>
      <c r="C109" s="2"/>
      <c r="D109" s="2"/>
      <c r="E109" s="2"/>
      <c r="L109" s="2"/>
      <c r="M109" s="2"/>
    </row>
    <row r="110" ht="15.75" customHeight="1">
      <c r="B110" s="2"/>
      <c r="C110" s="2"/>
      <c r="D110" s="2"/>
      <c r="E110" s="2"/>
      <c r="L110" s="2"/>
      <c r="M110" s="2"/>
    </row>
    <row r="111" ht="15.75" customHeight="1">
      <c r="B111" s="2"/>
      <c r="C111" s="2"/>
      <c r="D111" s="2"/>
      <c r="E111" s="2"/>
      <c r="L111" s="2"/>
      <c r="M111" s="2"/>
    </row>
    <row r="112" ht="15.75" customHeight="1">
      <c r="B112" s="2"/>
      <c r="C112" s="2"/>
      <c r="D112" s="2"/>
      <c r="E112" s="2"/>
      <c r="L112" s="2"/>
      <c r="M112" s="2"/>
    </row>
    <row r="113" ht="15.75" customHeight="1">
      <c r="B113" s="2"/>
      <c r="C113" s="2"/>
      <c r="D113" s="2"/>
      <c r="E113" s="2"/>
      <c r="L113" s="2"/>
      <c r="M113" s="2"/>
    </row>
    <row r="114" ht="15.75" customHeight="1">
      <c r="B114" s="2"/>
      <c r="C114" s="2"/>
      <c r="D114" s="2"/>
      <c r="E114" s="2"/>
      <c r="L114" s="2"/>
      <c r="M114" s="2"/>
    </row>
    <row r="115" ht="15.75" customHeight="1">
      <c r="B115" s="2"/>
      <c r="C115" s="2"/>
      <c r="D115" s="2"/>
      <c r="E115" s="2"/>
      <c r="L115" s="2"/>
      <c r="M115" s="2"/>
    </row>
    <row r="116" ht="15.75" customHeight="1">
      <c r="B116" s="2"/>
      <c r="C116" s="2"/>
      <c r="D116" s="2"/>
      <c r="E116" s="2"/>
      <c r="L116" s="2"/>
      <c r="M116" s="2"/>
    </row>
    <row r="117" ht="15.75" customHeight="1">
      <c r="B117" s="2"/>
      <c r="C117" s="2"/>
      <c r="D117" s="2"/>
      <c r="E117" s="2"/>
      <c r="L117" s="2"/>
      <c r="M117" s="2"/>
    </row>
    <row r="118" ht="15.75" customHeight="1">
      <c r="B118" s="2"/>
      <c r="C118" s="2"/>
      <c r="D118" s="2"/>
      <c r="E118" s="2"/>
      <c r="L118" s="2"/>
      <c r="M118" s="2"/>
    </row>
    <row r="119" ht="15.75" customHeight="1">
      <c r="B119" s="2"/>
      <c r="C119" s="2"/>
      <c r="D119" s="2"/>
      <c r="E119" s="2"/>
      <c r="L119" s="2"/>
      <c r="M119" s="2"/>
    </row>
    <row r="120" ht="15.75" customHeight="1">
      <c r="B120" s="2"/>
      <c r="C120" s="2"/>
      <c r="D120" s="2"/>
      <c r="E120" s="2"/>
      <c r="L120" s="2"/>
      <c r="M120" s="2"/>
    </row>
    <row r="121" ht="15.75" customHeight="1">
      <c r="B121" s="2"/>
      <c r="C121" s="2"/>
      <c r="D121" s="2"/>
      <c r="E121" s="2"/>
      <c r="L121" s="2"/>
      <c r="M121" s="2"/>
    </row>
    <row r="122" ht="15.75" customHeight="1">
      <c r="B122" s="2"/>
      <c r="C122" s="2"/>
      <c r="D122" s="2"/>
      <c r="E122" s="2"/>
      <c r="L122" s="2"/>
      <c r="M122" s="2"/>
    </row>
    <row r="123" ht="15.75" customHeight="1">
      <c r="B123" s="2"/>
      <c r="C123" s="2"/>
      <c r="D123" s="2"/>
      <c r="E123" s="2"/>
      <c r="L123" s="2"/>
      <c r="M123" s="2"/>
    </row>
    <row r="124" ht="15.75" customHeight="1">
      <c r="B124" s="2"/>
      <c r="C124" s="2"/>
      <c r="D124" s="2"/>
      <c r="E124" s="2"/>
      <c r="L124" s="2"/>
      <c r="M124" s="2"/>
    </row>
    <row r="125" ht="15.75" customHeight="1">
      <c r="B125" s="2"/>
      <c r="C125" s="2"/>
      <c r="D125" s="2"/>
      <c r="E125" s="2"/>
      <c r="L125" s="2"/>
      <c r="M125" s="2"/>
    </row>
    <row r="126" ht="15.75" customHeight="1">
      <c r="B126" s="2"/>
      <c r="C126" s="2"/>
      <c r="D126" s="2"/>
      <c r="E126" s="2"/>
      <c r="L126" s="2"/>
      <c r="M126" s="2"/>
    </row>
    <row r="127" ht="15.75" customHeight="1">
      <c r="B127" s="2"/>
      <c r="C127" s="2"/>
      <c r="D127" s="2"/>
      <c r="E127" s="2"/>
      <c r="L127" s="2"/>
      <c r="M127" s="2"/>
    </row>
    <row r="128" ht="15.75" customHeight="1">
      <c r="B128" s="2"/>
      <c r="C128" s="2"/>
      <c r="D128" s="2"/>
      <c r="E128" s="2"/>
      <c r="L128" s="2"/>
      <c r="M128" s="2"/>
    </row>
    <row r="129" ht="15.75" customHeight="1">
      <c r="B129" s="2"/>
      <c r="C129" s="2"/>
      <c r="D129" s="2"/>
      <c r="E129" s="2"/>
      <c r="L129" s="2"/>
      <c r="M129" s="2"/>
    </row>
    <row r="130" ht="15.75" customHeight="1">
      <c r="B130" s="2"/>
      <c r="C130" s="2"/>
      <c r="D130" s="2"/>
      <c r="E130" s="2"/>
      <c r="L130" s="2"/>
      <c r="M130" s="2"/>
    </row>
    <row r="131" ht="15.75" customHeight="1">
      <c r="B131" s="2"/>
      <c r="C131" s="2"/>
      <c r="D131" s="2"/>
      <c r="E131" s="2"/>
      <c r="L131" s="2"/>
      <c r="M131" s="2"/>
    </row>
    <row r="132" ht="15.75" customHeight="1">
      <c r="B132" s="2"/>
      <c r="C132" s="2"/>
      <c r="D132" s="2"/>
      <c r="E132" s="2"/>
      <c r="L132" s="2"/>
      <c r="M132" s="2"/>
    </row>
    <row r="133" ht="15.75" customHeight="1">
      <c r="B133" s="2"/>
      <c r="C133" s="2"/>
      <c r="D133" s="2"/>
      <c r="E133" s="2"/>
      <c r="L133" s="2"/>
      <c r="M133" s="2"/>
    </row>
    <row r="134" ht="15.75" customHeight="1">
      <c r="B134" s="2"/>
      <c r="C134" s="2"/>
      <c r="D134" s="2"/>
      <c r="E134" s="2"/>
      <c r="L134" s="2"/>
      <c r="M134" s="2"/>
    </row>
    <row r="135" ht="15.75" customHeight="1">
      <c r="B135" s="2"/>
      <c r="C135" s="2"/>
      <c r="D135" s="2"/>
      <c r="E135" s="2"/>
      <c r="L135" s="2"/>
      <c r="M135" s="2"/>
    </row>
    <row r="136" ht="15.75" customHeight="1">
      <c r="B136" s="2"/>
      <c r="C136" s="2"/>
      <c r="D136" s="2"/>
      <c r="E136" s="2"/>
      <c r="L136" s="2"/>
      <c r="M136" s="2"/>
    </row>
    <row r="137" ht="15.75" customHeight="1">
      <c r="B137" s="2"/>
      <c r="C137" s="2"/>
      <c r="D137" s="2"/>
      <c r="E137" s="2"/>
      <c r="L137" s="2"/>
      <c r="M137" s="2"/>
    </row>
    <row r="138" ht="15.75" customHeight="1">
      <c r="B138" s="2"/>
      <c r="C138" s="2"/>
      <c r="D138" s="2"/>
      <c r="E138" s="2"/>
      <c r="L138" s="2"/>
      <c r="M138" s="2"/>
    </row>
    <row r="139" ht="15.75" customHeight="1">
      <c r="B139" s="2"/>
      <c r="C139" s="2"/>
      <c r="D139" s="2"/>
      <c r="E139" s="2"/>
      <c r="L139" s="2"/>
      <c r="M139" s="2"/>
    </row>
    <row r="140" ht="15.75" customHeight="1">
      <c r="B140" s="2"/>
      <c r="C140" s="2"/>
      <c r="D140" s="2"/>
      <c r="E140" s="2"/>
      <c r="L140" s="2"/>
      <c r="M140" s="2"/>
    </row>
    <row r="141" ht="15.75" customHeight="1">
      <c r="B141" s="2"/>
      <c r="C141" s="2"/>
      <c r="D141" s="2"/>
      <c r="E141" s="2"/>
      <c r="L141" s="2"/>
      <c r="M141" s="2"/>
    </row>
    <row r="142" ht="15.75" customHeight="1">
      <c r="B142" s="2"/>
      <c r="C142" s="2"/>
      <c r="D142" s="2"/>
      <c r="E142" s="2"/>
      <c r="L142" s="2"/>
      <c r="M142" s="2"/>
    </row>
    <row r="143" ht="15.75" customHeight="1">
      <c r="B143" s="2"/>
      <c r="C143" s="2"/>
      <c r="D143" s="2"/>
      <c r="E143" s="2"/>
      <c r="L143" s="2"/>
      <c r="M143" s="2"/>
    </row>
    <row r="144" ht="15.75" customHeight="1">
      <c r="B144" s="2"/>
      <c r="C144" s="2"/>
      <c r="D144" s="2"/>
      <c r="E144" s="2"/>
      <c r="L144" s="2"/>
      <c r="M144" s="2"/>
    </row>
    <row r="145" ht="15.75" customHeight="1">
      <c r="B145" s="2"/>
      <c r="C145" s="2"/>
      <c r="D145" s="2"/>
      <c r="E145" s="2"/>
      <c r="L145" s="2"/>
      <c r="M145" s="2"/>
    </row>
    <row r="146" ht="15.75" customHeight="1">
      <c r="B146" s="2"/>
      <c r="C146" s="2"/>
      <c r="D146" s="2"/>
      <c r="E146" s="2"/>
      <c r="L146" s="2"/>
      <c r="M146" s="2"/>
    </row>
    <row r="147" ht="15.75" customHeight="1">
      <c r="B147" s="2"/>
      <c r="C147" s="2"/>
      <c r="D147" s="2"/>
      <c r="E147" s="2"/>
      <c r="L147" s="2"/>
      <c r="M147" s="2"/>
    </row>
    <row r="148" ht="15.75" customHeight="1">
      <c r="B148" s="2"/>
      <c r="C148" s="2"/>
      <c r="D148" s="2"/>
      <c r="E148" s="2"/>
      <c r="L148" s="2"/>
      <c r="M148" s="2"/>
    </row>
    <row r="149" ht="15.75" customHeight="1">
      <c r="B149" s="2"/>
      <c r="C149" s="2"/>
      <c r="D149" s="2"/>
      <c r="E149" s="2"/>
      <c r="L149" s="2"/>
      <c r="M149" s="2"/>
    </row>
    <row r="150" ht="15.75" customHeight="1">
      <c r="B150" s="2"/>
      <c r="C150" s="2"/>
      <c r="D150" s="2"/>
      <c r="E150" s="2"/>
      <c r="L150" s="2"/>
      <c r="M150" s="2"/>
    </row>
    <row r="151" ht="15.75" customHeight="1">
      <c r="B151" s="2"/>
      <c r="C151" s="2"/>
      <c r="D151" s="2"/>
      <c r="E151" s="2"/>
      <c r="L151" s="2"/>
      <c r="M151" s="2"/>
    </row>
    <row r="152" ht="15.75" customHeight="1">
      <c r="B152" s="2"/>
      <c r="C152" s="2"/>
      <c r="D152" s="2"/>
      <c r="E152" s="2"/>
      <c r="L152" s="2"/>
      <c r="M152" s="2"/>
    </row>
    <row r="153" ht="15.75" customHeight="1">
      <c r="B153" s="2"/>
      <c r="C153" s="2"/>
      <c r="D153" s="2"/>
      <c r="E153" s="2"/>
      <c r="L153" s="2"/>
      <c r="M153" s="2"/>
    </row>
    <row r="154" ht="15.75" customHeight="1">
      <c r="B154" s="2"/>
      <c r="C154" s="2"/>
      <c r="D154" s="2"/>
      <c r="E154" s="2"/>
      <c r="L154" s="2"/>
      <c r="M154" s="2"/>
    </row>
    <row r="155" ht="15.75" customHeight="1">
      <c r="B155" s="2"/>
      <c r="C155" s="2"/>
      <c r="D155" s="2"/>
      <c r="E155" s="2"/>
      <c r="L155" s="2"/>
      <c r="M155" s="2"/>
    </row>
    <row r="156" ht="15.75" customHeight="1">
      <c r="B156" s="2"/>
      <c r="C156" s="2"/>
      <c r="D156" s="2"/>
      <c r="E156" s="2"/>
      <c r="L156" s="2"/>
      <c r="M156" s="2"/>
    </row>
    <row r="157" ht="15.75" customHeight="1">
      <c r="B157" s="2"/>
      <c r="C157" s="2"/>
      <c r="D157" s="2"/>
      <c r="E157" s="2"/>
      <c r="L157" s="2"/>
      <c r="M157" s="2"/>
    </row>
    <row r="158" ht="15.75" customHeight="1">
      <c r="B158" s="2"/>
      <c r="C158" s="2"/>
      <c r="D158" s="2"/>
      <c r="E158" s="2"/>
      <c r="L158" s="2"/>
      <c r="M158" s="2"/>
    </row>
    <row r="159" ht="15.75" customHeight="1">
      <c r="B159" s="2"/>
      <c r="C159" s="2"/>
      <c r="D159" s="2"/>
      <c r="E159" s="2"/>
      <c r="L159" s="2"/>
      <c r="M159" s="2"/>
    </row>
    <row r="160" ht="15.75" customHeight="1">
      <c r="B160" s="2"/>
      <c r="C160" s="2"/>
      <c r="D160" s="2"/>
      <c r="E160" s="2"/>
      <c r="L160" s="2"/>
      <c r="M160" s="2"/>
    </row>
    <row r="161" ht="15.75" customHeight="1">
      <c r="B161" s="2"/>
      <c r="C161" s="2"/>
      <c r="D161" s="2"/>
      <c r="E161" s="2"/>
      <c r="L161" s="2"/>
      <c r="M161" s="2"/>
    </row>
    <row r="162" ht="15.75" customHeight="1">
      <c r="B162" s="2"/>
      <c r="C162" s="2"/>
      <c r="D162" s="2"/>
      <c r="E162" s="2"/>
      <c r="L162" s="2"/>
      <c r="M162" s="2"/>
    </row>
    <row r="163" ht="15.75" customHeight="1">
      <c r="B163" s="2"/>
      <c r="C163" s="2"/>
      <c r="D163" s="2"/>
      <c r="E163" s="2"/>
      <c r="L163" s="2"/>
      <c r="M163" s="2"/>
    </row>
    <row r="164" ht="15.75" customHeight="1">
      <c r="B164" s="2"/>
      <c r="C164" s="2"/>
      <c r="D164" s="2"/>
      <c r="E164" s="2"/>
      <c r="L164" s="2"/>
      <c r="M164" s="2"/>
    </row>
    <row r="165" ht="15.75" customHeight="1">
      <c r="B165" s="2"/>
      <c r="C165" s="2"/>
      <c r="D165" s="2"/>
      <c r="E165" s="2"/>
      <c r="L165" s="2"/>
      <c r="M165" s="2"/>
    </row>
    <row r="166" ht="15.75" customHeight="1">
      <c r="B166" s="2"/>
      <c r="C166" s="2"/>
      <c r="D166" s="2"/>
      <c r="E166" s="2"/>
      <c r="L166" s="2"/>
      <c r="M166" s="2"/>
    </row>
    <row r="167" ht="15.75" customHeight="1">
      <c r="B167" s="2"/>
      <c r="C167" s="2"/>
      <c r="D167" s="2"/>
      <c r="E167" s="2"/>
      <c r="L167" s="2"/>
      <c r="M167" s="2"/>
    </row>
    <row r="168" ht="15.75" customHeight="1">
      <c r="B168" s="2"/>
      <c r="C168" s="2"/>
      <c r="D168" s="2"/>
      <c r="E168" s="2"/>
      <c r="L168" s="2"/>
      <c r="M168" s="2"/>
    </row>
    <row r="169" ht="15.75" customHeight="1">
      <c r="B169" s="2"/>
      <c r="C169" s="2"/>
      <c r="D169" s="2"/>
      <c r="E169" s="2"/>
      <c r="L169" s="2"/>
      <c r="M169" s="2"/>
    </row>
    <row r="170" ht="15.75" customHeight="1">
      <c r="B170" s="2"/>
      <c r="C170" s="2"/>
      <c r="D170" s="2"/>
      <c r="E170" s="2"/>
      <c r="L170" s="2"/>
      <c r="M170" s="2"/>
    </row>
    <row r="171" ht="15.75" customHeight="1">
      <c r="B171" s="2"/>
      <c r="C171" s="2"/>
      <c r="D171" s="2"/>
      <c r="E171" s="2"/>
      <c r="L171" s="2"/>
      <c r="M171" s="2"/>
    </row>
    <row r="172" ht="15.75" customHeight="1">
      <c r="B172" s="2"/>
      <c r="C172" s="2"/>
      <c r="D172" s="2"/>
      <c r="E172" s="2"/>
      <c r="L172" s="2"/>
      <c r="M172" s="2"/>
    </row>
    <row r="173" ht="15.75" customHeight="1">
      <c r="B173" s="2"/>
      <c r="C173" s="2"/>
      <c r="D173" s="2"/>
      <c r="E173" s="2"/>
      <c r="L173" s="2"/>
      <c r="M173" s="2"/>
    </row>
    <row r="174" ht="15.75" customHeight="1">
      <c r="B174" s="2"/>
      <c r="C174" s="2"/>
      <c r="D174" s="2"/>
      <c r="E174" s="2"/>
      <c r="L174" s="2"/>
      <c r="M174" s="2"/>
    </row>
    <row r="175" ht="15.75" customHeight="1">
      <c r="B175" s="2"/>
      <c r="C175" s="2"/>
      <c r="D175" s="2"/>
      <c r="E175" s="2"/>
      <c r="L175" s="2"/>
      <c r="M175" s="2"/>
    </row>
    <row r="176" ht="15.75" customHeight="1">
      <c r="B176" s="2"/>
      <c r="C176" s="2"/>
      <c r="D176" s="2"/>
      <c r="E176" s="2"/>
      <c r="L176" s="2"/>
      <c r="M176" s="2"/>
    </row>
    <row r="177" ht="15.75" customHeight="1">
      <c r="B177" s="2"/>
      <c r="C177" s="2"/>
      <c r="D177" s="2"/>
      <c r="E177" s="2"/>
      <c r="L177" s="2"/>
      <c r="M177" s="2"/>
    </row>
    <row r="178" ht="15.75" customHeight="1">
      <c r="B178" s="2"/>
      <c r="C178" s="2"/>
      <c r="D178" s="2"/>
      <c r="E178" s="2"/>
      <c r="L178" s="2"/>
      <c r="M178" s="2"/>
    </row>
    <row r="179" ht="15.75" customHeight="1">
      <c r="B179" s="2"/>
      <c r="C179" s="2"/>
      <c r="D179" s="2"/>
      <c r="E179" s="2"/>
      <c r="L179" s="2"/>
      <c r="M179" s="2"/>
    </row>
    <row r="180" ht="15.75" customHeight="1">
      <c r="B180" s="2"/>
      <c r="C180" s="2"/>
      <c r="D180" s="2"/>
      <c r="E180" s="2"/>
      <c r="L180" s="2"/>
      <c r="M180" s="2"/>
    </row>
    <row r="181" ht="15.75" customHeight="1">
      <c r="B181" s="2"/>
      <c r="C181" s="2"/>
      <c r="D181" s="2"/>
      <c r="E181" s="2"/>
      <c r="L181" s="2"/>
      <c r="M181" s="2"/>
    </row>
    <row r="182" ht="15.75" customHeight="1">
      <c r="B182" s="2"/>
      <c r="C182" s="2"/>
      <c r="D182" s="2"/>
      <c r="E182" s="2"/>
      <c r="L182" s="2"/>
      <c r="M182" s="2"/>
    </row>
    <row r="183" ht="15.75" customHeight="1">
      <c r="B183" s="2"/>
      <c r="C183" s="2"/>
      <c r="D183" s="2"/>
      <c r="E183" s="2"/>
      <c r="L183" s="2"/>
      <c r="M183" s="2"/>
    </row>
    <row r="184" ht="15.75" customHeight="1">
      <c r="B184" s="2"/>
      <c r="C184" s="2"/>
      <c r="D184" s="2"/>
      <c r="E184" s="2"/>
      <c r="L184" s="2"/>
      <c r="M184" s="2"/>
    </row>
    <row r="185" ht="15.75" customHeight="1">
      <c r="B185" s="2"/>
      <c r="C185" s="2"/>
      <c r="D185" s="2"/>
      <c r="E185" s="2"/>
      <c r="L185" s="2"/>
      <c r="M185" s="2"/>
    </row>
    <row r="186" ht="15.75" customHeight="1">
      <c r="B186" s="2"/>
      <c r="C186" s="2"/>
      <c r="D186" s="2"/>
      <c r="E186" s="2"/>
      <c r="L186" s="2"/>
      <c r="M186" s="2"/>
    </row>
    <row r="187" ht="15.75" customHeight="1">
      <c r="B187" s="2"/>
      <c r="C187" s="2"/>
      <c r="D187" s="2"/>
      <c r="E187" s="2"/>
      <c r="L187" s="2"/>
      <c r="M187" s="2"/>
    </row>
    <row r="188" ht="15.75" customHeight="1">
      <c r="B188" s="2"/>
      <c r="C188" s="2"/>
      <c r="D188" s="2"/>
      <c r="E188" s="2"/>
      <c r="L188" s="2"/>
      <c r="M188" s="2"/>
    </row>
    <row r="189" ht="15.75" customHeight="1">
      <c r="B189" s="2"/>
      <c r="C189" s="2"/>
      <c r="D189" s="2"/>
      <c r="E189" s="2"/>
      <c r="L189" s="2"/>
      <c r="M189" s="2"/>
    </row>
    <row r="190" ht="15.75" customHeight="1">
      <c r="B190" s="2"/>
      <c r="C190" s="2"/>
      <c r="D190" s="2"/>
      <c r="E190" s="2"/>
      <c r="L190" s="2"/>
      <c r="M190" s="2"/>
    </row>
    <row r="191" ht="15.75" customHeight="1">
      <c r="B191" s="2"/>
      <c r="C191" s="2"/>
      <c r="D191" s="2"/>
      <c r="E191" s="2"/>
      <c r="L191" s="2"/>
      <c r="M191" s="2"/>
    </row>
    <row r="192" ht="15.75" customHeight="1">
      <c r="B192" s="2"/>
      <c r="C192" s="2"/>
      <c r="D192" s="2"/>
      <c r="E192" s="2"/>
      <c r="L192" s="2"/>
      <c r="M192" s="2"/>
    </row>
    <row r="193" ht="15.75" customHeight="1">
      <c r="B193" s="2"/>
      <c r="C193" s="2"/>
      <c r="D193" s="2"/>
      <c r="E193" s="2"/>
      <c r="L193" s="2"/>
      <c r="M193" s="2"/>
    </row>
    <row r="194" ht="15.75" customHeight="1">
      <c r="B194" s="2"/>
      <c r="C194" s="2"/>
      <c r="D194" s="2"/>
      <c r="E194" s="2"/>
      <c r="L194" s="2"/>
      <c r="M194" s="2"/>
    </row>
    <row r="195" ht="15.75" customHeight="1">
      <c r="B195" s="2"/>
      <c r="C195" s="2"/>
      <c r="D195" s="2"/>
      <c r="E195" s="2"/>
      <c r="L195" s="2"/>
      <c r="M195" s="2"/>
    </row>
    <row r="196" ht="15.75" customHeight="1">
      <c r="B196" s="2"/>
      <c r="C196" s="2"/>
      <c r="D196" s="2"/>
      <c r="E196" s="2"/>
      <c r="L196" s="2"/>
      <c r="M196" s="2"/>
    </row>
    <row r="197" ht="15.75" customHeight="1">
      <c r="B197" s="2"/>
      <c r="C197" s="2"/>
      <c r="D197" s="2"/>
      <c r="E197" s="2"/>
      <c r="L197" s="2"/>
      <c r="M197" s="2"/>
    </row>
    <row r="198" ht="15.75" customHeight="1">
      <c r="B198" s="2"/>
      <c r="C198" s="2"/>
      <c r="D198" s="2"/>
      <c r="E198" s="2"/>
      <c r="L198" s="2"/>
      <c r="M198" s="2"/>
    </row>
    <row r="199" ht="15.75" customHeight="1">
      <c r="B199" s="2"/>
      <c r="C199" s="2"/>
      <c r="D199" s="2"/>
      <c r="E199" s="2"/>
      <c r="L199" s="2"/>
      <c r="M199" s="2"/>
    </row>
    <row r="200" ht="15.75" customHeight="1">
      <c r="B200" s="2"/>
      <c r="C200" s="2"/>
      <c r="D200" s="2"/>
      <c r="E200" s="2"/>
      <c r="L200" s="2"/>
      <c r="M200" s="2"/>
    </row>
    <row r="201" ht="15.75" customHeight="1">
      <c r="B201" s="2"/>
      <c r="C201" s="2"/>
      <c r="D201" s="2"/>
      <c r="E201" s="2"/>
      <c r="L201" s="2"/>
      <c r="M201" s="2"/>
    </row>
    <row r="202" ht="15.75" customHeight="1">
      <c r="B202" s="2"/>
      <c r="C202" s="2"/>
      <c r="D202" s="2"/>
      <c r="E202" s="2"/>
      <c r="L202" s="2"/>
      <c r="M202" s="2"/>
    </row>
    <row r="203" ht="15.75" customHeight="1">
      <c r="B203" s="2"/>
      <c r="C203" s="2"/>
      <c r="D203" s="2"/>
      <c r="E203" s="2"/>
      <c r="L203" s="2"/>
      <c r="M203" s="2"/>
    </row>
    <row r="204" ht="15.75" customHeight="1">
      <c r="B204" s="2"/>
      <c r="C204" s="2"/>
      <c r="D204" s="2"/>
      <c r="E204" s="2"/>
      <c r="L204" s="2"/>
      <c r="M204" s="2"/>
    </row>
    <row r="205" ht="15.75" customHeight="1">
      <c r="B205" s="2"/>
      <c r="C205" s="2"/>
      <c r="D205" s="2"/>
      <c r="E205" s="2"/>
      <c r="L205" s="2"/>
      <c r="M205" s="2"/>
    </row>
    <row r="206" ht="15.75" customHeight="1">
      <c r="B206" s="2"/>
      <c r="C206" s="2"/>
      <c r="D206" s="2"/>
      <c r="E206" s="2"/>
      <c r="L206" s="2"/>
      <c r="M206" s="2"/>
    </row>
    <row r="207" ht="15.75" customHeight="1">
      <c r="B207" s="2"/>
      <c r="C207" s="2"/>
      <c r="D207" s="2"/>
      <c r="E207" s="2"/>
      <c r="L207" s="2"/>
      <c r="M207" s="2"/>
    </row>
    <row r="208" ht="15.75" customHeight="1">
      <c r="B208" s="2"/>
      <c r="C208" s="2"/>
      <c r="D208" s="2"/>
      <c r="E208" s="2"/>
      <c r="L208" s="2"/>
      <c r="M208" s="2"/>
    </row>
    <row r="209" ht="15.75" customHeight="1">
      <c r="B209" s="2"/>
      <c r="C209" s="2"/>
      <c r="D209" s="2"/>
      <c r="E209" s="2"/>
      <c r="L209" s="2"/>
      <c r="M209" s="2"/>
    </row>
    <row r="210" ht="15.75" customHeight="1">
      <c r="B210" s="2"/>
      <c r="C210" s="2"/>
      <c r="D210" s="2"/>
      <c r="E210" s="2"/>
      <c r="L210" s="2"/>
      <c r="M210" s="2"/>
    </row>
    <row r="211" ht="15.75" customHeight="1">
      <c r="B211" s="2"/>
      <c r="C211" s="2"/>
      <c r="D211" s="2"/>
      <c r="E211" s="2"/>
      <c r="L211" s="2"/>
      <c r="M211" s="2"/>
    </row>
    <row r="212" ht="15.75" customHeight="1">
      <c r="B212" s="2"/>
      <c r="C212" s="2"/>
      <c r="D212" s="2"/>
      <c r="E212" s="2"/>
      <c r="L212" s="2"/>
      <c r="M212" s="2"/>
    </row>
    <row r="213" ht="15.75" customHeight="1">
      <c r="B213" s="2"/>
      <c r="C213" s="2"/>
      <c r="D213" s="2"/>
      <c r="E213" s="2"/>
      <c r="L213" s="2"/>
      <c r="M213" s="2"/>
    </row>
    <row r="214" ht="15.75" customHeight="1">
      <c r="B214" s="2"/>
      <c r="C214" s="2"/>
      <c r="D214" s="2"/>
      <c r="E214" s="2"/>
      <c r="L214" s="2"/>
      <c r="M214" s="2"/>
    </row>
    <row r="215" ht="15.75" customHeight="1">
      <c r="B215" s="2"/>
      <c r="C215" s="2"/>
      <c r="D215" s="2"/>
      <c r="E215" s="2"/>
      <c r="L215" s="2"/>
      <c r="M215" s="2"/>
    </row>
    <row r="216" ht="15.75" customHeight="1">
      <c r="B216" s="2"/>
      <c r="C216" s="2"/>
      <c r="D216" s="2"/>
      <c r="E216" s="2"/>
      <c r="L216" s="2"/>
      <c r="M216" s="2"/>
    </row>
    <row r="217" ht="15.75" customHeight="1">
      <c r="B217" s="2"/>
      <c r="C217" s="2"/>
      <c r="D217" s="2"/>
      <c r="E217" s="2"/>
      <c r="L217" s="2"/>
      <c r="M217" s="2"/>
    </row>
    <row r="218" ht="15.75" customHeight="1">
      <c r="B218" s="2"/>
      <c r="C218" s="2"/>
      <c r="D218" s="2"/>
      <c r="E218" s="2"/>
      <c r="L218" s="2"/>
      <c r="M218" s="2"/>
    </row>
    <row r="219" ht="15.75" customHeight="1">
      <c r="B219" s="2"/>
      <c r="C219" s="2"/>
      <c r="D219" s="2"/>
      <c r="E219" s="2"/>
      <c r="L219" s="2"/>
      <c r="M219" s="2"/>
    </row>
    <row r="220" ht="15.75" customHeight="1">
      <c r="B220" s="2"/>
      <c r="C220" s="2"/>
      <c r="D220" s="2"/>
      <c r="E220" s="2"/>
      <c r="L220" s="2"/>
      <c r="M220" s="2"/>
    </row>
    <row r="221" ht="15.75" customHeight="1">
      <c r="B221" s="2"/>
      <c r="C221" s="2"/>
      <c r="D221" s="2"/>
      <c r="E221" s="2"/>
      <c r="L221" s="2"/>
      <c r="M221" s="2"/>
    </row>
    <row r="222" ht="15.75" customHeight="1">
      <c r="B222" s="2"/>
      <c r="C222" s="2"/>
      <c r="D222" s="2"/>
      <c r="E222" s="2"/>
      <c r="L222" s="2"/>
      <c r="M222" s="2"/>
    </row>
    <row r="223" ht="15.75" customHeight="1">
      <c r="B223" s="2"/>
      <c r="C223" s="2"/>
      <c r="D223" s="2"/>
      <c r="E223" s="2"/>
      <c r="L223" s="2"/>
      <c r="M223" s="2"/>
    </row>
    <row r="224" ht="15.75" customHeight="1">
      <c r="B224" s="2"/>
      <c r="C224" s="2"/>
      <c r="D224" s="2"/>
      <c r="E224" s="2"/>
      <c r="L224" s="2"/>
      <c r="M224" s="2"/>
    </row>
    <row r="225" ht="15.75" customHeight="1">
      <c r="B225" s="2"/>
      <c r="C225" s="2"/>
      <c r="D225" s="2"/>
      <c r="E225" s="2"/>
      <c r="L225" s="2"/>
      <c r="M225" s="2"/>
    </row>
    <row r="226" ht="15.75" customHeight="1">
      <c r="B226" s="2"/>
      <c r="C226" s="2"/>
      <c r="D226" s="2"/>
      <c r="E226" s="2"/>
      <c r="L226" s="2"/>
      <c r="M226" s="2"/>
    </row>
    <row r="227" ht="15.75" customHeight="1">
      <c r="B227" s="2"/>
      <c r="C227" s="2"/>
      <c r="D227" s="2"/>
      <c r="E227" s="2"/>
      <c r="L227" s="2"/>
      <c r="M227" s="2"/>
    </row>
    <row r="228" ht="15.75" customHeight="1">
      <c r="B228" s="2"/>
      <c r="C228" s="2"/>
      <c r="D228" s="2"/>
      <c r="E228" s="2"/>
      <c r="L228" s="2"/>
      <c r="M228" s="2"/>
    </row>
    <row r="229" ht="15.75" customHeight="1">
      <c r="B229" s="2"/>
      <c r="C229" s="2"/>
      <c r="D229" s="2"/>
      <c r="E229" s="2"/>
      <c r="L229" s="2"/>
      <c r="M229" s="2"/>
    </row>
    <row r="230" ht="15.75" customHeight="1">
      <c r="B230" s="2"/>
      <c r="C230" s="2"/>
      <c r="D230" s="2"/>
      <c r="E230" s="2"/>
      <c r="L230" s="2"/>
      <c r="M230" s="2"/>
    </row>
    <row r="231" ht="15.75" customHeight="1">
      <c r="B231" s="2"/>
      <c r="C231" s="2"/>
      <c r="D231" s="2"/>
      <c r="E231" s="2"/>
      <c r="L231" s="2"/>
      <c r="M231" s="2"/>
    </row>
    <row r="232" ht="15.75" customHeight="1">
      <c r="B232" s="2"/>
      <c r="C232" s="2"/>
      <c r="D232" s="2"/>
      <c r="E232" s="2"/>
      <c r="L232" s="2"/>
      <c r="M232" s="2"/>
    </row>
    <row r="233" ht="15.75" customHeight="1">
      <c r="B233" s="2"/>
      <c r="C233" s="2"/>
      <c r="D233" s="2"/>
      <c r="E233" s="2"/>
      <c r="L233" s="2"/>
      <c r="M233" s="2"/>
    </row>
    <row r="234" ht="15.75" customHeight="1">
      <c r="B234" s="2"/>
      <c r="C234" s="2"/>
      <c r="D234" s="2"/>
      <c r="E234" s="2"/>
      <c r="L234" s="2"/>
      <c r="M234" s="2"/>
    </row>
    <row r="235" ht="15.75" customHeight="1">
      <c r="B235" s="2"/>
      <c r="C235" s="2"/>
      <c r="D235" s="2"/>
      <c r="E235" s="2"/>
      <c r="L235" s="2"/>
      <c r="M235" s="2"/>
    </row>
    <row r="236" ht="15.75" customHeight="1">
      <c r="B236" s="2"/>
      <c r="C236" s="2"/>
      <c r="D236" s="2"/>
      <c r="E236" s="2"/>
      <c r="L236" s="2"/>
      <c r="M236" s="2"/>
    </row>
    <row r="237" ht="15.75" customHeight="1">
      <c r="B237" s="2"/>
      <c r="C237" s="2"/>
      <c r="D237" s="2"/>
      <c r="E237" s="2"/>
      <c r="L237" s="2"/>
      <c r="M237" s="2"/>
    </row>
    <row r="238" ht="15.75" customHeight="1">
      <c r="B238" s="2"/>
      <c r="C238" s="2"/>
      <c r="D238" s="2"/>
      <c r="E238" s="2"/>
      <c r="L238" s="2"/>
      <c r="M238" s="2"/>
    </row>
    <row r="239" ht="15.75" customHeight="1">
      <c r="B239" s="2"/>
      <c r="C239" s="2"/>
      <c r="D239" s="2"/>
      <c r="E239" s="2"/>
      <c r="L239" s="2"/>
      <c r="M239" s="2"/>
    </row>
    <row r="240" ht="15.75" customHeight="1">
      <c r="B240" s="2"/>
      <c r="C240" s="2"/>
      <c r="D240" s="2"/>
      <c r="E240" s="2"/>
      <c r="L240" s="2"/>
      <c r="M240" s="2"/>
    </row>
    <row r="241" ht="15.75" customHeight="1">
      <c r="B241" s="2"/>
      <c r="C241" s="2"/>
      <c r="D241" s="2"/>
      <c r="E241" s="2"/>
      <c r="L241" s="2"/>
      <c r="M241" s="2"/>
    </row>
    <row r="242" ht="15.75" customHeight="1">
      <c r="B242" s="2"/>
      <c r="C242" s="2"/>
      <c r="D242" s="2"/>
      <c r="E242" s="2"/>
      <c r="L242" s="2"/>
      <c r="M242" s="2"/>
    </row>
    <row r="243" ht="15.75" customHeight="1">
      <c r="B243" s="2"/>
      <c r="C243" s="2"/>
      <c r="D243" s="2"/>
      <c r="E243" s="2"/>
      <c r="L243" s="2"/>
      <c r="M243" s="2"/>
    </row>
    <row r="244" ht="15.75" customHeight="1">
      <c r="B244" s="2"/>
      <c r="C244" s="2"/>
      <c r="D244" s="2"/>
      <c r="E244" s="2"/>
      <c r="L244" s="2"/>
      <c r="M244" s="2"/>
    </row>
    <row r="245" ht="15.75" customHeight="1">
      <c r="B245" s="2"/>
      <c r="C245" s="2"/>
      <c r="D245" s="2"/>
      <c r="E245" s="2"/>
      <c r="L245" s="2"/>
      <c r="M245" s="2"/>
    </row>
    <row r="246" ht="15.75" customHeight="1">
      <c r="B246" s="2"/>
      <c r="C246" s="2"/>
      <c r="D246" s="2"/>
      <c r="E246" s="2"/>
      <c r="L246" s="2"/>
      <c r="M246" s="2"/>
    </row>
    <row r="247" ht="15.75" customHeight="1">
      <c r="B247" s="2"/>
      <c r="C247" s="2"/>
      <c r="D247" s="2"/>
      <c r="E247" s="2"/>
      <c r="L247" s="2"/>
      <c r="M247" s="2"/>
    </row>
    <row r="248" ht="15.75" customHeight="1">
      <c r="B248" s="2"/>
      <c r="C248" s="2"/>
      <c r="D248" s="2"/>
      <c r="E248" s="2"/>
      <c r="L248" s="2"/>
      <c r="M248" s="2"/>
    </row>
    <row r="249" ht="15.75" customHeight="1">
      <c r="B249" s="2"/>
      <c r="C249" s="2"/>
      <c r="D249" s="2"/>
      <c r="E249" s="2"/>
      <c r="L249" s="2"/>
      <c r="M249" s="2"/>
    </row>
    <row r="250" ht="15.75" customHeight="1">
      <c r="B250" s="2"/>
      <c r="C250" s="2"/>
      <c r="D250" s="2"/>
      <c r="E250" s="2"/>
      <c r="L250" s="2"/>
      <c r="M250" s="2"/>
    </row>
    <row r="251" ht="15.75" customHeight="1">
      <c r="B251" s="2"/>
      <c r="C251" s="2"/>
      <c r="D251" s="2"/>
      <c r="E251" s="2"/>
      <c r="L251" s="2"/>
      <c r="M251" s="2"/>
    </row>
    <row r="252" ht="15.75" customHeight="1">
      <c r="B252" s="2"/>
      <c r="C252" s="2"/>
      <c r="D252" s="2"/>
      <c r="E252" s="2"/>
      <c r="L252" s="2"/>
      <c r="M252" s="2"/>
    </row>
    <row r="253" ht="15.75" customHeight="1">
      <c r="B253" s="2"/>
      <c r="C253" s="2"/>
      <c r="D253" s="2"/>
      <c r="E253" s="2"/>
      <c r="L253" s="2"/>
      <c r="M253" s="2"/>
    </row>
    <row r="254" ht="15.75" customHeight="1">
      <c r="B254" s="2"/>
      <c r="C254" s="2"/>
      <c r="D254" s="2"/>
      <c r="E254" s="2"/>
      <c r="L254" s="2"/>
      <c r="M254" s="2"/>
    </row>
    <row r="255" ht="15.75" customHeight="1">
      <c r="B255" s="2"/>
      <c r="C255" s="2"/>
      <c r="D255" s="2"/>
      <c r="E255" s="2"/>
      <c r="L255" s="2"/>
      <c r="M255" s="2"/>
    </row>
    <row r="256" ht="15.75" customHeight="1">
      <c r="B256" s="2"/>
      <c r="C256" s="2"/>
      <c r="D256" s="2"/>
      <c r="E256" s="2"/>
      <c r="L256" s="2"/>
      <c r="M256" s="2"/>
    </row>
    <row r="257" ht="15.75" customHeight="1">
      <c r="B257" s="2"/>
      <c r="C257" s="2"/>
      <c r="D257" s="2"/>
      <c r="E257" s="2"/>
      <c r="L257" s="2"/>
      <c r="M257" s="2"/>
    </row>
    <row r="258" ht="15.75" customHeight="1">
      <c r="B258" s="2"/>
      <c r="C258" s="2"/>
      <c r="D258" s="2"/>
      <c r="E258" s="2"/>
      <c r="L258" s="2"/>
      <c r="M258" s="2"/>
    </row>
    <row r="259" ht="15.75" customHeight="1">
      <c r="B259" s="2"/>
      <c r="C259" s="2"/>
      <c r="D259" s="2"/>
      <c r="E259" s="2"/>
      <c r="L259" s="2"/>
      <c r="M259" s="2"/>
    </row>
    <row r="260" ht="15.75" customHeight="1">
      <c r="B260" s="2"/>
      <c r="C260" s="2"/>
      <c r="D260" s="2"/>
      <c r="E260" s="2"/>
      <c r="L260" s="2"/>
      <c r="M260" s="2"/>
    </row>
    <row r="261" ht="15.75" customHeight="1">
      <c r="B261" s="2"/>
      <c r="C261" s="2"/>
      <c r="D261" s="2"/>
      <c r="E261" s="2"/>
      <c r="L261" s="2"/>
      <c r="M261" s="2"/>
    </row>
    <row r="262" ht="15.75" customHeight="1">
      <c r="B262" s="2"/>
      <c r="C262" s="2"/>
      <c r="D262" s="2"/>
      <c r="E262" s="2"/>
      <c r="L262" s="2"/>
      <c r="M262" s="2"/>
    </row>
    <row r="263" ht="15.75" customHeight="1">
      <c r="B263" s="2"/>
      <c r="C263" s="2"/>
      <c r="D263" s="2"/>
      <c r="E263" s="2"/>
      <c r="L263" s="2"/>
      <c r="M263" s="2"/>
    </row>
    <row r="264" ht="15.75" customHeight="1">
      <c r="B264" s="2"/>
      <c r="C264" s="2"/>
      <c r="D264" s="2"/>
      <c r="E264" s="2"/>
      <c r="L264" s="2"/>
      <c r="M264" s="2"/>
    </row>
    <row r="265" ht="15.75" customHeight="1">
      <c r="B265" s="2"/>
      <c r="C265" s="2"/>
      <c r="D265" s="2"/>
      <c r="E265" s="2"/>
      <c r="L265" s="2"/>
      <c r="M265" s="2"/>
    </row>
    <row r="266" ht="15.75" customHeight="1">
      <c r="B266" s="2"/>
      <c r="C266" s="2"/>
      <c r="D266" s="2"/>
      <c r="E266" s="2"/>
      <c r="L266" s="2"/>
      <c r="M266" s="2"/>
    </row>
    <row r="267" ht="15.75" customHeight="1">
      <c r="B267" s="2"/>
      <c r="C267" s="2"/>
      <c r="D267" s="2"/>
      <c r="E267" s="2"/>
      <c r="L267" s="2"/>
      <c r="M267" s="2"/>
    </row>
    <row r="268" ht="15.75" customHeight="1">
      <c r="B268" s="2"/>
      <c r="C268" s="2"/>
      <c r="D268" s="2"/>
      <c r="E268" s="2"/>
      <c r="L268" s="2"/>
      <c r="M268" s="2"/>
    </row>
    <row r="269" ht="15.75" customHeight="1">
      <c r="B269" s="2"/>
      <c r="C269" s="2"/>
      <c r="D269" s="2"/>
      <c r="E269" s="2"/>
      <c r="L269" s="2"/>
      <c r="M269" s="2"/>
    </row>
    <row r="270" ht="15.75" customHeight="1">
      <c r="B270" s="2"/>
      <c r="C270" s="2"/>
      <c r="D270" s="2"/>
      <c r="E270" s="2"/>
      <c r="L270" s="2"/>
      <c r="M270" s="2"/>
    </row>
    <row r="271" ht="15.75" customHeight="1">
      <c r="B271" s="2"/>
      <c r="C271" s="2"/>
      <c r="D271" s="2"/>
      <c r="E271" s="2"/>
      <c r="L271" s="2"/>
      <c r="M271" s="2"/>
    </row>
    <row r="272" ht="15.75" customHeight="1">
      <c r="B272" s="2"/>
      <c r="C272" s="2"/>
      <c r="D272" s="2"/>
      <c r="E272" s="2"/>
      <c r="L272" s="2"/>
      <c r="M272" s="2"/>
    </row>
    <row r="273" ht="15.75" customHeight="1">
      <c r="B273" s="2"/>
      <c r="C273" s="2"/>
      <c r="D273" s="2"/>
      <c r="E273" s="2"/>
      <c r="L273" s="2"/>
      <c r="M273" s="2"/>
    </row>
    <row r="274" ht="15.75" customHeight="1">
      <c r="B274" s="2"/>
      <c r="C274" s="2"/>
      <c r="D274" s="2"/>
      <c r="E274" s="2"/>
      <c r="L274" s="2"/>
      <c r="M274" s="2"/>
    </row>
    <row r="275" ht="15.75" customHeight="1">
      <c r="B275" s="2"/>
      <c r="C275" s="2"/>
      <c r="D275" s="2"/>
      <c r="E275" s="2"/>
      <c r="L275" s="2"/>
      <c r="M275" s="2"/>
    </row>
    <row r="276" ht="15.75" customHeight="1">
      <c r="B276" s="2"/>
      <c r="C276" s="2"/>
      <c r="D276" s="2"/>
      <c r="E276" s="2"/>
      <c r="L276" s="2"/>
      <c r="M276" s="2"/>
    </row>
    <row r="277" ht="15.75" customHeight="1">
      <c r="B277" s="2"/>
      <c r="C277" s="2"/>
      <c r="D277" s="2"/>
      <c r="E277" s="2"/>
      <c r="L277" s="2"/>
      <c r="M277" s="2"/>
    </row>
    <row r="278" ht="15.75" customHeight="1">
      <c r="B278" s="2"/>
      <c r="C278" s="2"/>
      <c r="D278" s="2"/>
      <c r="E278" s="2"/>
      <c r="L278" s="2"/>
      <c r="M278" s="2"/>
    </row>
    <row r="279" ht="15.75" customHeight="1">
      <c r="B279" s="2"/>
      <c r="C279" s="2"/>
      <c r="D279" s="2"/>
      <c r="E279" s="2"/>
      <c r="L279" s="2"/>
      <c r="M279" s="2"/>
    </row>
    <row r="280" ht="15.75" customHeight="1">
      <c r="B280" s="2"/>
      <c r="C280" s="2"/>
      <c r="D280" s="2"/>
      <c r="E280" s="2"/>
      <c r="L280" s="2"/>
      <c r="M280" s="2"/>
    </row>
    <row r="281" ht="15.75" customHeight="1">
      <c r="B281" s="2"/>
      <c r="C281" s="2"/>
      <c r="D281" s="2"/>
      <c r="E281" s="2"/>
      <c r="L281" s="2"/>
      <c r="M281" s="2"/>
    </row>
    <row r="282" ht="15.75" customHeight="1">
      <c r="B282" s="2"/>
      <c r="C282" s="2"/>
      <c r="D282" s="2"/>
      <c r="E282" s="2"/>
      <c r="L282" s="2"/>
      <c r="M282" s="2"/>
    </row>
    <row r="283" ht="15.75" customHeight="1">
      <c r="B283" s="2"/>
      <c r="C283" s="2"/>
      <c r="D283" s="2"/>
      <c r="E283" s="2"/>
      <c r="L283" s="2"/>
      <c r="M283" s="2"/>
    </row>
    <row r="284" ht="15.75" customHeight="1">
      <c r="B284" s="2"/>
      <c r="C284" s="2"/>
      <c r="D284" s="2"/>
      <c r="E284" s="2"/>
      <c r="L284" s="2"/>
      <c r="M284" s="2"/>
    </row>
    <row r="285" ht="15.75" customHeight="1">
      <c r="B285" s="2"/>
      <c r="C285" s="2"/>
      <c r="D285" s="2"/>
      <c r="E285" s="2"/>
      <c r="L285" s="2"/>
      <c r="M285" s="2"/>
    </row>
    <row r="286" ht="15.75" customHeight="1">
      <c r="B286" s="2"/>
      <c r="C286" s="2"/>
      <c r="D286" s="2"/>
      <c r="E286" s="2"/>
      <c r="L286" s="2"/>
      <c r="M286" s="2"/>
    </row>
    <row r="287" ht="15.75" customHeight="1">
      <c r="B287" s="2"/>
      <c r="C287" s="2"/>
      <c r="D287" s="2"/>
      <c r="E287" s="2"/>
      <c r="L287" s="2"/>
      <c r="M287" s="2"/>
    </row>
    <row r="288" ht="15.75" customHeight="1">
      <c r="B288" s="2"/>
      <c r="C288" s="2"/>
      <c r="D288" s="2"/>
      <c r="E288" s="2"/>
      <c r="L288" s="2"/>
      <c r="M288" s="2"/>
    </row>
    <row r="289" ht="15.75" customHeight="1">
      <c r="B289" s="2"/>
      <c r="C289" s="2"/>
      <c r="D289" s="2"/>
      <c r="E289" s="2"/>
      <c r="L289" s="2"/>
      <c r="M289" s="2"/>
    </row>
    <row r="290" ht="15.75" customHeight="1">
      <c r="B290" s="2"/>
      <c r="C290" s="2"/>
      <c r="D290" s="2"/>
      <c r="E290" s="2"/>
      <c r="L290" s="2"/>
      <c r="M290" s="2"/>
    </row>
    <row r="291" ht="15.75" customHeight="1">
      <c r="B291" s="2"/>
      <c r="C291" s="2"/>
      <c r="D291" s="2"/>
      <c r="E291" s="2"/>
      <c r="L291" s="2"/>
      <c r="M291" s="2"/>
    </row>
    <row r="292" ht="15.75" customHeight="1">
      <c r="B292" s="2"/>
      <c r="C292" s="2"/>
      <c r="D292" s="2"/>
      <c r="E292" s="2"/>
      <c r="L292" s="2"/>
      <c r="M292" s="2"/>
    </row>
    <row r="293" ht="15.75" customHeight="1">
      <c r="B293" s="2"/>
      <c r="C293" s="2"/>
      <c r="D293" s="2"/>
      <c r="E293" s="2"/>
      <c r="L293" s="2"/>
      <c r="M293" s="2"/>
    </row>
    <row r="294" ht="15.75" customHeight="1">
      <c r="B294" s="2"/>
      <c r="C294" s="2"/>
      <c r="D294" s="2"/>
      <c r="E294" s="2"/>
      <c r="L294" s="2"/>
      <c r="M294" s="2"/>
    </row>
    <row r="295" ht="15.75" customHeight="1">
      <c r="B295" s="2"/>
      <c r="C295" s="2"/>
      <c r="D295" s="2"/>
      <c r="E295" s="2"/>
      <c r="L295" s="2"/>
      <c r="M295" s="2"/>
    </row>
    <row r="296" ht="15.75" customHeight="1">
      <c r="B296" s="2"/>
      <c r="C296" s="2"/>
      <c r="D296" s="2"/>
      <c r="E296" s="2"/>
      <c r="L296" s="2"/>
      <c r="M296" s="2"/>
    </row>
    <row r="297" ht="15.75" customHeight="1">
      <c r="B297" s="2"/>
      <c r="C297" s="2"/>
      <c r="D297" s="2"/>
      <c r="E297" s="2"/>
      <c r="L297" s="2"/>
      <c r="M297" s="2"/>
    </row>
    <row r="298" ht="15.75" customHeight="1">
      <c r="B298" s="2"/>
      <c r="C298" s="2"/>
      <c r="D298" s="2"/>
      <c r="E298" s="2"/>
      <c r="L298" s="2"/>
      <c r="M298" s="2"/>
    </row>
    <row r="299" ht="15.75" customHeight="1">
      <c r="B299" s="2"/>
      <c r="C299" s="2"/>
      <c r="D299" s="2"/>
      <c r="E299" s="2"/>
      <c r="L299" s="2"/>
      <c r="M299" s="2"/>
    </row>
    <row r="300" ht="15.75" customHeight="1">
      <c r="B300" s="2"/>
      <c r="C300" s="2"/>
      <c r="D300" s="2"/>
      <c r="E300" s="2"/>
      <c r="L300" s="2"/>
      <c r="M300" s="2"/>
    </row>
    <row r="301" ht="15.75" customHeight="1">
      <c r="B301" s="2"/>
      <c r="C301" s="2"/>
      <c r="D301" s="2"/>
      <c r="E301" s="2"/>
      <c r="L301" s="2"/>
      <c r="M301" s="2"/>
    </row>
    <row r="302" ht="15.75" customHeight="1">
      <c r="B302" s="2"/>
      <c r="C302" s="2"/>
      <c r="D302" s="2"/>
      <c r="E302" s="2"/>
      <c r="L302" s="2"/>
      <c r="M302" s="2"/>
    </row>
    <row r="303" ht="15.75" customHeight="1">
      <c r="B303" s="2"/>
      <c r="C303" s="2"/>
      <c r="D303" s="2"/>
      <c r="E303" s="2"/>
      <c r="L303" s="2"/>
      <c r="M303" s="2"/>
    </row>
    <row r="304" ht="15.75" customHeight="1">
      <c r="B304" s="2"/>
      <c r="C304" s="2"/>
      <c r="D304" s="2"/>
      <c r="E304" s="2"/>
      <c r="L304" s="2"/>
      <c r="M304" s="2"/>
    </row>
    <row r="305" ht="15.75" customHeight="1">
      <c r="B305" s="2"/>
      <c r="C305" s="2"/>
      <c r="D305" s="2"/>
      <c r="E305" s="2"/>
      <c r="L305" s="2"/>
      <c r="M305" s="2"/>
    </row>
    <row r="306" ht="15.75" customHeight="1">
      <c r="B306" s="2"/>
      <c r="C306" s="2"/>
      <c r="D306" s="2"/>
      <c r="E306" s="2"/>
      <c r="L306" s="2"/>
      <c r="M306" s="2"/>
    </row>
    <row r="307" ht="15.75" customHeight="1">
      <c r="B307" s="2"/>
      <c r="C307" s="2"/>
      <c r="D307" s="2"/>
      <c r="E307" s="2"/>
      <c r="L307" s="2"/>
      <c r="M307" s="2"/>
    </row>
    <row r="308" ht="15.75" customHeight="1">
      <c r="B308" s="2"/>
      <c r="C308" s="2"/>
      <c r="D308" s="2"/>
      <c r="E308" s="2"/>
      <c r="L308" s="2"/>
      <c r="M308" s="2"/>
    </row>
    <row r="309" ht="15.75" customHeight="1">
      <c r="B309" s="2"/>
      <c r="C309" s="2"/>
      <c r="D309" s="2"/>
      <c r="E309" s="2"/>
      <c r="L309" s="2"/>
      <c r="M309" s="2"/>
    </row>
    <row r="310" ht="15.75" customHeight="1">
      <c r="B310" s="2"/>
      <c r="C310" s="2"/>
      <c r="D310" s="2"/>
      <c r="E310" s="2"/>
      <c r="L310" s="2"/>
      <c r="M310" s="2"/>
    </row>
    <row r="311" ht="15.75" customHeight="1">
      <c r="B311" s="2"/>
      <c r="C311" s="2"/>
      <c r="D311" s="2"/>
      <c r="E311" s="2"/>
      <c r="L311" s="2"/>
      <c r="M311" s="2"/>
    </row>
    <row r="312" ht="15.75" customHeight="1">
      <c r="B312" s="2"/>
      <c r="C312" s="2"/>
      <c r="D312" s="2"/>
      <c r="E312" s="2"/>
      <c r="L312" s="2"/>
      <c r="M312" s="2"/>
    </row>
    <row r="313" ht="15.75" customHeight="1">
      <c r="B313" s="2"/>
      <c r="C313" s="2"/>
      <c r="D313" s="2"/>
      <c r="E313" s="2"/>
      <c r="L313" s="2"/>
      <c r="M313" s="2"/>
    </row>
    <row r="314" ht="15.75" customHeight="1">
      <c r="B314" s="2"/>
      <c r="C314" s="2"/>
      <c r="D314" s="2"/>
      <c r="E314" s="2"/>
      <c r="L314" s="2"/>
      <c r="M314" s="2"/>
    </row>
    <row r="315" ht="15.75" customHeight="1">
      <c r="B315" s="2"/>
      <c r="C315" s="2"/>
      <c r="D315" s="2"/>
      <c r="E315" s="2"/>
      <c r="L315" s="2"/>
      <c r="M315" s="2"/>
    </row>
    <row r="316" ht="15.75" customHeight="1">
      <c r="B316" s="2"/>
      <c r="C316" s="2"/>
      <c r="D316" s="2"/>
      <c r="E316" s="2"/>
      <c r="L316" s="2"/>
      <c r="M316" s="2"/>
    </row>
    <row r="317" ht="15.75" customHeight="1">
      <c r="B317" s="2"/>
      <c r="C317" s="2"/>
      <c r="D317" s="2"/>
      <c r="E317" s="2"/>
      <c r="L317" s="2"/>
      <c r="M317" s="2"/>
    </row>
    <row r="318" ht="15.75" customHeight="1">
      <c r="B318" s="2"/>
      <c r="C318" s="2"/>
      <c r="D318" s="2"/>
      <c r="E318" s="2"/>
      <c r="L318" s="2"/>
      <c r="M318" s="2"/>
    </row>
    <row r="319" ht="15.75" customHeight="1">
      <c r="B319" s="2"/>
      <c r="C319" s="2"/>
      <c r="D319" s="2"/>
      <c r="E319" s="2"/>
      <c r="L319" s="2"/>
      <c r="M319" s="2"/>
    </row>
    <row r="320" ht="15.75" customHeight="1">
      <c r="B320" s="2"/>
      <c r="C320" s="2"/>
      <c r="D320" s="2"/>
      <c r="E320" s="2"/>
      <c r="L320" s="2"/>
      <c r="M320" s="2"/>
    </row>
    <row r="321" ht="15.75" customHeight="1">
      <c r="B321" s="2"/>
      <c r="C321" s="2"/>
      <c r="D321" s="2"/>
      <c r="E321" s="2"/>
      <c r="L321" s="2"/>
      <c r="M321" s="2"/>
    </row>
    <row r="322" ht="15.75" customHeight="1">
      <c r="B322" s="2"/>
      <c r="C322" s="2"/>
      <c r="D322" s="2"/>
      <c r="E322" s="2"/>
      <c r="L322" s="2"/>
      <c r="M322" s="2"/>
    </row>
    <row r="323" ht="15.75" customHeight="1">
      <c r="B323" s="2"/>
      <c r="C323" s="2"/>
      <c r="D323" s="2"/>
      <c r="E323" s="2"/>
      <c r="L323" s="2"/>
      <c r="M323" s="2"/>
    </row>
    <row r="324" ht="15.75" customHeight="1">
      <c r="B324" s="2"/>
      <c r="C324" s="2"/>
      <c r="D324" s="2"/>
      <c r="E324" s="2"/>
      <c r="L324" s="2"/>
      <c r="M324" s="2"/>
    </row>
    <row r="325" ht="15.75" customHeight="1">
      <c r="B325" s="2"/>
      <c r="C325" s="2"/>
      <c r="D325" s="2"/>
      <c r="E325" s="2"/>
      <c r="L325" s="2"/>
      <c r="M325" s="2"/>
    </row>
    <row r="326" ht="15.75" customHeight="1">
      <c r="B326" s="2"/>
      <c r="C326" s="2"/>
      <c r="D326" s="2"/>
      <c r="E326" s="2"/>
      <c r="L326" s="2"/>
      <c r="M326" s="2"/>
    </row>
    <row r="327" ht="15.75" customHeight="1">
      <c r="B327" s="2"/>
      <c r="C327" s="2"/>
      <c r="D327" s="2"/>
      <c r="E327" s="2"/>
      <c r="L327" s="2"/>
      <c r="M327" s="2"/>
    </row>
    <row r="328" ht="15.75" customHeight="1">
      <c r="B328" s="2"/>
      <c r="C328" s="2"/>
      <c r="D328" s="2"/>
      <c r="E328" s="2"/>
      <c r="L328" s="2"/>
      <c r="M328" s="2"/>
    </row>
    <row r="329" ht="15.75" customHeight="1">
      <c r="B329" s="2"/>
      <c r="C329" s="2"/>
      <c r="D329" s="2"/>
      <c r="E329" s="2"/>
      <c r="L329" s="2"/>
      <c r="M329" s="2"/>
    </row>
    <row r="330" ht="15.75" customHeight="1">
      <c r="B330" s="2"/>
      <c r="C330" s="2"/>
      <c r="D330" s="2"/>
      <c r="E330" s="2"/>
      <c r="L330" s="2"/>
      <c r="M330" s="2"/>
    </row>
    <row r="331" ht="15.75" customHeight="1">
      <c r="B331" s="2"/>
      <c r="C331" s="2"/>
      <c r="D331" s="2"/>
      <c r="E331" s="2"/>
      <c r="L331" s="2"/>
      <c r="M331" s="2"/>
    </row>
    <row r="332" ht="15.75" customHeight="1">
      <c r="B332" s="2"/>
      <c r="C332" s="2"/>
      <c r="D332" s="2"/>
      <c r="E332" s="2"/>
      <c r="L332" s="2"/>
      <c r="M332" s="2"/>
    </row>
    <row r="333" ht="15.75" customHeight="1">
      <c r="B333" s="2"/>
      <c r="C333" s="2"/>
      <c r="D333" s="2"/>
      <c r="E333" s="2"/>
      <c r="L333" s="2"/>
      <c r="M333" s="2"/>
    </row>
    <row r="334" ht="15.75" customHeight="1">
      <c r="B334" s="2"/>
      <c r="C334" s="2"/>
      <c r="D334" s="2"/>
      <c r="E334" s="2"/>
      <c r="L334" s="2"/>
      <c r="M334" s="2"/>
    </row>
    <row r="335" ht="15.75" customHeight="1">
      <c r="B335" s="2"/>
      <c r="C335" s="2"/>
      <c r="D335" s="2"/>
      <c r="E335" s="2"/>
      <c r="L335" s="2"/>
      <c r="M335" s="2"/>
    </row>
    <row r="336" ht="15.75" customHeight="1">
      <c r="B336" s="2"/>
      <c r="C336" s="2"/>
      <c r="D336" s="2"/>
      <c r="E336" s="2"/>
      <c r="L336" s="2"/>
      <c r="M336" s="2"/>
    </row>
    <row r="337" ht="15.75" customHeight="1">
      <c r="B337" s="2"/>
      <c r="C337" s="2"/>
      <c r="D337" s="2"/>
      <c r="E337" s="2"/>
      <c r="L337" s="2"/>
      <c r="M337" s="2"/>
    </row>
    <row r="338" ht="15.75" customHeight="1">
      <c r="B338" s="2"/>
      <c r="C338" s="2"/>
      <c r="D338" s="2"/>
      <c r="E338" s="2"/>
      <c r="L338" s="2"/>
      <c r="M338" s="2"/>
    </row>
    <row r="339" ht="15.75" customHeight="1">
      <c r="B339" s="2"/>
      <c r="C339" s="2"/>
      <c r="D339" s="2"/>
      <c r="E339" s="2"/>
      <c r="L339" s="2"/>
      <c r="M339" s="2"/>
    </row>
    <row r="340" ht="15.75" customHeight="1">
      <c r="B340" s="2"/>
      <c r="C340" s="2"/>
      <c r="D340" s="2"/>
      <c r="E340" s="2"/>
      <c r="L340" s="2"/>
      <c r="M340" s="2"/>
    </row>
    <row r="341" ht="15.75" customHeight="1">
      <c r="B341" s="2"/>
      <c r="C341" s="2"/>
      <c r="D341" s="2"/>
      <c r="E341" s="2"/>
      <c r="L341" s="2"/>
      <c r="M341" s="2"/>
    </row>
    <row r="342" ht="15.75" customHeight="1">
      <c r="B342" s="2"/>
      <c r="C342" s="2"/>
      <c r="D342" s="2"/>
      <c r="E342" s="2"/>
      <c r="L342" s="2"/>
      <c r="M342" s="2"/>
    </row>
    <row r="343" ht="15.75" customHeight="1">
      <c r="B343" s="2"/>
      <c r="C343" s="2"/>
      <c r="D343" s="2"/>
      <c r="E343" s="2"/>
      <c r="L343" s="2"/>
      <c r="M343" s="2"/>
    </row>
    <row r="344" ht="15.75" customHeight="1">
      <c r="B344" s="2"/>
      <c r="C344" s="2"/>
      <c r="D344" s="2"/>
      <c r="E344" s="2"/>
      <c r="L344" s="2"/>
      <c r="M344" s="2"/>
    </row>
    <row r="345" ht="15.75" customHeight="1">
      <c r="B345" s="2"/>
      <c r="C345" s="2"/>
      <c r="D345" s="2"/>
      <c r="E345" s="2"/>
      <c r="L345" s="2"/>
      <c r="M345" s="2"/>
    </row>
    <row r="346" ht="15.75" customHeight="1">
      <c r="B346" s="2"/>
      <c r="C346" s="2"/>
      <c r="D346" s="2"/>
      <c r="E346" s="2"/>
      <c r="L346" s="2"/>
      <c r="M346" s="2"/>
    </row>
    <row r="347" ht="15.75" customHeight="1">
      <c r="B347" s="2"/>
      <c r="C347" s="2"/>
      <c r="D347" s="2"/>
      <c r="E347" s="2"/>
      <c r="L347" s="2"/>
      <c r="M347" s="2"/>
    </row>
    <row r="348" ht="15.75" customHeight="1">
      <c r="B348" s="2"/>
      <c r="C348" s="2"/>
      <c r="D348" s="2"/>
      <c r="E348" s="2"/>
      <c r="L348" s="2"/>
      <c r="M348" s="2"/>
    </row>
    <row r="349" ht="15.75" customHeight="1">
      <c r="B349" s="2"/>
      <c r="C349" s="2"/>
      <c r="D349" s="2"/>
      <c r="E349" s="2"/>
      <c r="L349" s="2"/>
      <c r="M349" s="2"/>
    </row>
    <row r="350" ht="15.75" customHeight="1">
      <c r="B350" s="2"/>
      <c r="C350" s="2"/>
      <c r="D350" s="2"/>
      <c r="E350" s="2"/>
      <c r="L350" s="2"/>
      <c r="M350" s="2"/>
    </row>
    <row r="351" ht="15.75" customHeight="1">
      <c r="B351" s="2"/>
      <c r="C351" s="2"/>
      <c r="D351" s="2"/>
      <c r="E351" s="2"/>
      <c r="L351" s="2"/>
      <c r="M351" s="2"/>
    </row>
    <row r="352" ht="15.75" customHeight="1">
      <c r="B352" s="2"/>
      <c r="C352" s="2"/>
      <c r="D352" s="2"/>
      <c r="E352" s="2"/>
      <c r="L352" s="2"/>
      <c r="M352" s="2"/>
    </row>
    <row r="353" ht="15.75" customHeight="1">
      <c r="B353" s="2"/>
      <c r="C353" s="2"/>
      <c r="D353" s="2"/>
      <c r="E353" s="2"/>
      <c r="L353" s="2"/>
      <c r="M353" s="2"/>
    </row>
    <row r="354" ht="15.75" customHeight="1">
      <c r="B354" s="2"/>
      <c r="C354" s="2"/>
      <c r="D354" s="2"/>
      <c r="E354" s="2"/>
      <c r="L354" s="2"/>
      <c r="M354" s="2"/>
    </row>
    <row r="355" ht="15.75" customHeight="1">
      <c r="B355" s="2"/>
      <c r="C355" s="2"/>
      <c r="D355" s="2"/>
      <c r="E355" s="2"/>
      <c r="L355" s="2"/>
      <c r="M355" s="2"/>
    </row>
    <row r="356" ht="15.75" customHeight="1">
      <c r="B356" s="2"/>
      <c r="C356" s="2"/>
      <c r="D356" s="2"/>
      <c r="E356" s="2"/>
      <c r="L356" s="2"/>
      <c r="M356" s="2"/>
    </row>
    <row r="357" ht="15.75" customHeight="1">
      <c r="B357" s="2"/>
      <c r="C357" s="2"/>
      <c r="D357" s="2"/>
      <c r="E357" s="2"/>
      <c r="L357" s="2"/>
      <c r="M357" s="2"/>
    </row>
    <row r="358" ht="15.75" customHeight="1">
      <c r="B358" s="2"/>
      <c r="C358" s="2"/>
      <c r="D358" s="2"/>
      <c r="E358" s="2"/>
      <c r="L358" s="2"/>
      <c r="M358" s="2"/>
    </row>
    <row r="359" ht="15.75" customHeight="1">
      <c r="B359" s="2"/>
      <c r="C359" s="2"/>
      <c r="D359" s="2"/>
      <c r="E359" s="2"/>
      <c r="L359" s="2"/>
      <c r="M359" s="2"/>
    </row>
    <row r="360" ht="15.75" customHeight="1">
      <c r="B360" s="2"/>
      <c r="C360" s="2"/>
      <c r="D360" s="2"/>
      <c r="E360" s="2"/>
      <c r="L360" s="2"/>
      <c r="M360" s="2"/>
    </row>
    <row r="361" ht="15.75" customHeight="1">
      <c r="B361" s="2"/>
      <c r="C361" s="2"/>
      <c r="D361" s="2"/>
      <c r="E361" s="2"/>
      <c r="L361" s="2"/>
      <c r="M361" s="2"/>
    </row>
    <row r="362" ht="15.75" customHeight="1">
      <c r="B362" s="2"/>
      <c r="C362" s="2"/>
      <c r="D362" s="2"/>
      <c r="E362" s="2"/>
      <c r="L362" s="2"/>
      <c r="M362" s="2"/>
    </row>
    <row r="363" ht="15.75" customHeight="1">
      <c r="B363" s="2"/>
      <c r="C363" s="2"/>
      <c r="D363" s="2"/>
      <c r="E363" s="2"/>
      <c r="L363" s="2"/>
      <c r="M363" s="2"/>
    </row>
    <row r="364" ht="15.75" customHeight="1">
      <c r="B364" s="2"/>
      <c r="C364" s="2"/>
      <c r="D364" s="2"/>
      <c r="E364" s="2"/>
      <c r="L364" s="2"/>
      <c r="M364" s="2"/>
    </row>
    <row r="365" ht="15.75" customHeight="1">
      <c r="B365" s="2"/>
      <c r="C365" s="2"/>
      <c r="D365" s="2"/>
      <c r="E365" s="2"/>
      <c r="L365" s="2"/>
      <c r="M365" s="2"/>
    </row>
    <row r="366" ht="15.75" customHeight="1">
      <c r="B366" s="2"/>
      <c r="C366" s="2"/>
      <c r="D366" s="2"/>
      <c r="E366" s="2"/>
      <c r="L366" s="2"/>
      <c r="M366" s="2"/>
    </row>
    <row r="367" ht="15.75" customHeight="1">
      <c r="B367" s="2"/>
      <c r="C367" s="2"/>
      <c r="D367" s="2"/>
      <c r="E367" s="2"/>
      <c r="L367" s="2"/>
      <c r="M367" s="2"/>
    </row>
    <row r="368" ht="15.75" customHeight="1">
      <c r="B368" s="2"/>
      <c r="C368" s="2"/>
      <c r="D368" s="2"/>
      <c r="E368" s="2"/>
      <c r="L368" s="2"/>
      <c r="M368" s="2"/>
    </row>
    <row r="369" ht="15.75" customHeight="1">
      <c r="B369" s="2"/>
      <c r="C369" s="2"/>
      <c r="D369" s="2"/>
      <c r="E369" s="2"/>
      <c r="L369" s="2"/>
      <c r="M369" s="2"/>
    </row>
    <row r="370" ht="15.75" customHeight="1">
      <c r="B370" s="2"/>
      <c r="C370" s="2"/>
      <c r="D370" s="2"/>
      <c r="E370" s="2"/>
      <c r="L370" s="2"/>
      <c r="M370" s="2"/>
    </row>
    <row r="371" ht="15.75" customHeight="1">
      <c r="B371" s="2"/>
      <c r="C371" s="2"/>
      <c r="D371" s="2"/>
      <c r="E371" s="2"/>
      <c r="L371" s="2"/>
      <c r="M371" s="2"/>
    </row>
    <row r="372" ht="15.75" customHeight="1">
      <c r="B372" s="2"/>
      <c r="C372" s="2"/>
      <c r="D372" s="2"/>
      <c r="E372" s="2"/>
      <c r="L372" s="2"/>
      <c r="M372" s="2"/>
    </row>
    <row r="373" ht="15.75" customHeight="1">
      <c r="B373" s="2"/>
      <c r="C373" s="2"/>
      <c r="D373" s="2"/>
      <c r="E373" s="2"/>
      <c r="L373" s="2"/>
      <c r="M373" s="2"/>
    </row>
    <row r="374" ht="15.75" customHeight="1">
      <c r="B374" s="2"/>
      <c r="C374" s="2"/>
      <c r="D374" s="2"/>
      <c r="E374" s="2"/>
      <c r="L374" s="2"/>
      <c r="M374" s="2"/>
    </row>
    <row r="375" ht="15.75" customHeight="1">
      <c r="B375" s="2"/>
      <c r="C375" s="2"/>
      <c r="D375" s="2"/>
      <c r="E375" s="2"/>
      <c r="L375" s="2"/>
      <c r="M375" s="2"/>
    </row>
    <row r="376" ht="15.75" customHeight="1">
      <c r="B376" s="2"/>
      <c r="C376" s="2"/>
      <c r="D376" s="2"/>
      <c r="E376" s="2"/>
      <c r="L376" s="2"/>
      <c r="M376" s="2"/>
    </row>
    <row r="377" ht="15.75" customHeight="1">
      <c r="B377" s="2"/>
      <c r="C377" s="2"/>
      <c r="D377" s="2"/>
      <c r="E377" s="2"/>
      <c r="L377" s="2"/>
      <c r="M377" s="2"/>
    </row>
    <row r="378" ht="15.75" customHeight="1">
      <c r="B378" s="2"/>
      <c r="C378" s="2"/>
      <c r="D378" s="2"/>
      <c r="E378" s="2"/>
      <c r="L378" s="2"/>
      <c r="M378" s="2"/>
    </row>
    <row r="379" ht="15.75" customHeight="1">
      <c r="B379" s="2"/>
      <c r="C379" s="2"/>
      <c r="D379" s="2"/>
      <c r="E379" s="2"/>
      <c r="L379" s="2"/>
      <c r="M379" s="2"/>
    </row>
    <row r="380" ht="15.75" customHeight="1">
      <c r="B380" s="2"/>
      <c r="C380" s="2"/>
      <c r="D380" s="2"/>
      <c r="E380" s="2"/>
      <c r="L380" s="2"/>
      <c r="M380" s="2"/>
    </row>
    <row r="381" ht="15.75" customHeight="1">
      <c r="B381" s="2"/>
      <c r="C381" s="2"/>
      <c r="D381" s="2"/>
      <c r="E381" s="2"/>
      <c r="L381" s="2"/>
      <c r="M381" s="2"/>
    </row>
    <row r="382" ht="15.75" customHeight="1">
      <c r="B382" s="2"/>
      <c r="C382" s="2"/>
      <c r="D382" s="2"/>
      <c r="E382" s="2"/>
      <c r="L382" s="2"/>
      <c r="M382" s="2"/>
    </row>
    <row r="383" ht="15.75" customHeight="1">
      <c r="B383" s="2"/>
      <c r="C383" s="2"/>
      <c r="D383" s="2"/>
      <c r="E383" s="2"/>
      <c r="L383" s="2"/>
      <c r="M383" s="2"/>
    </row>
    <row r="384" ht="15.75" customHeight="1">
      <c r="B384" s="2"/>
      <c r="C384" s="2"/>
      <c r="D384" s="2"/>
      <c r="E384" s="2"/>
      <c r="L384" s="2"/>
      <c r="M384" s="2"/>
    </row>
    <row r="385" ht="15.75" customHeight="1">
      <c r="B385" s="2"/>
      <c r="C385" s="2"/>
      <c r="D385" s="2"/>
      <c r="E385" s="2"/>
      <c r="L385" s="2"/>
      <c r="M385" s="2"/>
    </row>
    <row r="386" ht="15.75" customHeight="1">
      <c r="B386" s="2"/>
      <c r="C386" s="2"/>
      <c r="D386" s="2"/>
      <c r="E386" s="2"/>
      <c r="L386" s="2"/>
      <c r="M386" s="2"/>
    </row>
    <row r="387" ht="15.75" customHeight="1">
      <c r="B387" s="2"/>
      <c r="C387" s="2"/>
      <c r="D387" s="2"/>
      <c r="E387" s="2"/>
      <c r="L387" s="2"/>
      <c r="M387" s="2"/>
    </row>
    <row r="388" ht="15.75" customHeight="1">
      <c r="B388" s="2"/>
      <c r="C388" s="2"/>
      <c r="D388" s="2"/>
      <c r="E388" s="2"/>
      <c r="L388" s="2"/>
      <c r="M388" s="2"/>
    </row>
    <row r="389" ht="15.75" customHeight="1">
      <c r="B389" s="2"/>
      <c r="C389" s="2"/>
      <c r="D389" s="2"/>
      <c r="E389" s="2"/>
      <c r="L389" s="2"/>
      <c r="M389" s="2"/>
    </row>
    <row r="390" ht="15.75" customHeight="1">
      <c r="B390" s="2"/>
      <c r="C390" s="2"/>
      <c r="D390" s="2"/>
      <c r="E390" s="2"/>
      <c r="L390" s="2"/>
      <c r="M390" s="2"/>
    </row>
    <row r="391" ht="15.75" customHeight="1">
      <c r="B391" s="2"/>
      <c r="C391" s="2"/>
      <c r="D391" s="2"/>
      <c r="E391" s="2"/>
      <c r="L391" s="2"/>
      <c r="M391" s="2"/>
    </row>
    <row r="392" ht="15.75" customHeight="1">
      <c r="B392" s="2"/>
      <c r="C392" s="2"/>
      <c r="D392" s="2"/>
      <c r="E392" s="2"/>
      <c r="L392" s="2"/>
      <c r="M392" s="2"/>
    </row>
    <row r="393" ht="15.75" customHeight="1">
      <c r="B393" s="2"/>
      <c r="C393" s="2"/>
      <c r="D393" s="2"/>
      <c r="E393" s="2"/>
      <c r="L393" s="2"/>
      <c r="M393" s="2"/>
    </row>
    <row r="394" ht="15.75" customHeight="1">
      <c r="B394" s="2"/>
      <c r="C394" s="2"/>
      <c r="D394" s="2"/>
      <c r="E394" s="2"/>
      <c r="L394" s="2"/>
      <c r="M394" s="2"/>
    </row>
    <row r="395" ht="15.75" customHeight="1">
      <c r="B395" s="2"/>
      <c r="C395" s="2"/>
      <c r="D395" s="2"/>
      <c r="E395" s="2"/>
      <c r="L395" s="2"/>
      <c r="M395" s="2"/>
    </row>
    <row r="396" ht="15.75" customHeight="1">
      <c r="B396" s="2"/>
      <c r="C396" s="2"/>
      <c r="D396" s="2"/>
      <c r="E396" s="2"/>
      <c r="L396" s="2"/>
      <c r="M396" s="2"/>
    </row>
    <row r="397" ht="15.75" customHeight="1">
      <c r="B397" s="2"/>
      <c r="C397" s="2"/>
      <c r="D397" s="2"/>
      <c r="E397" s="2"/>
      <c r="L397" s="2"/>
      <c r="M397" s="2"/>
    </row>
    <row r="398" ht="15.75" customHeight="1">
      <c r="B398" s="2"/>
      <c r="C398" s="2"/>
      <c r="D398" s="2"/>
      <c r="E398" s="2"/>
      <c r="L398" s="2"/>
      <c r="M398" s="2"/>
    </row>
    <row r="399" ht="15.75" customHeight="1">
      <c r="B399" s="2"/>
      <c r="C399" s="2"/>
      <c r="D399" s="2"/>
      <c r="E399" s="2"/>
      <c r="L399" s="2"/>
      <c r="M399" s="2"/>
    </row>
    <row r="400" ht="15.75" customHeight="1">
      <c r="B400" s="2"/>
      <c r="C400" s="2"/>
      <c r="D400" s="2"/>
      <c r="E400" s="2"/>
      <c r="L400" s="2"/>
      <c r="M400" s="2"/>
    </row>
    <row r="401" ht="15.75" customHeight="1">
      <c r="B401" s="2"/>
      <c r="C401" s="2"/>
      <c r="D401" s="2"/>
      <c r="E401" s="2"/>
      <c r="L401" s="2"/>
      <c r="M401" s="2"/>
    </row>
    <row r="402" ht="15.75" customHeight="1">
      <c r="B402" s="2"/>
      <c r="C402" s="2"/>
      <c r="D402" s="2"/>
      <c r="E402" s="2"/>
      <c r="L402" s="2"/>
      <c r="M402" s="2"/>
    </row>
    <row r="403" ht="15.75" customHeight="1">
      <c r="B403" s="2"/>
      <c r="C403" s="2"/>
      <c r="D403" s="2"/>
      <c r="E403" s="2"/>
      <c r="L403" s="2"/>
      <c r="M403" s="2"/>
    </row>
    <row r="404" ht="15.75" customHeight="1">
      <c r="B404" s="2"/>
      <c r="C404" s="2"/>
      <c r="D404" s="2"/>
      <c r="E404" s="2"/>
      <c r="L404" s="2"/>
      <c r="M404" s="2"/>
    </row>
    <row r="405" ht="15.75" customHeight="1">
      <c r="B405" s="2"/>
      <c r="C405" s="2"/>
      <c r="D405" s="2"/>
      <c r="E405" s="2"/>
      <c r="L405" s="2"/>
      <c r="M405" s="2"/>
    </row>
    <row r="406" ht="15.75" customHeight="1">
      <c r="B406" s="2"/>
      <c r="C406" s="2"/>
      <c r="D406" s="2"/>
      <c r="E406" s="2"/>
      <c r="L406" s="2"/>
      <c r="M406" s="2"/>
    </row>
    <row r="407" ht="15.75" customHeight="1">
      <c r="B407" s="2"/>
      <c r="C407" s="2"/>
      <c r="D407" s="2"/>
      <c r="E407" s="2"/>
      <c r="L407" s="2"/>
      <c r="M407" s="2"/>
    </row>
    <row r="408" ht="15.75" customHeight="1">
      <c r="B408" s="2"/>
      <c r="C408" s="2"/>
      <c r="D408" s="2"/>
      <c r="E408" s="2"/>
      <c r="L408" s="2"/>
      <c r="M408" s="2"/>
    </row>
    <row r="409" ht="15.75" customHeight="1">
      <c r="B409" s="2"/>
      <c r="C409" s="2"/>
      <c r="D409" s="2"/>
      <c r="E409" s="2"/>
      <c r="L409" s="2"/>
      <c r="M409" s="2"/>
    </row>
    <row r="410" ht="15.75" customHeight="1">
      <c r="B410" s="2"/>
      <c r="C410" s="2"/>
      <c r="D410" s="2"/>
      <c r="E410" s="2"/>
      <c r="L410" s="2"/>
      <c r="M410" s="2"/>
    </row>
    <row r="411" ht="15.75" customHeight="1">
      <c r="B411" s="2"/>
      <c r="C411" s="2"/>
      <c r="D411" s="2"/>
      <c r="E411" s="2"/>
      <c r="L411" s="2"/>
      <c r="M411" s="2"/>
    </row>
    <row r="412" ht="15.75" customHeight="1">
      <c r="B412" s="2"/>
      <c r="C412" s="2"/>
      <c r="D412" s="2"/>
      <c r="E412" s="2"/>
      <c r="L412" s="2"/>
      <c r="M412" s="2"/>
    </row>
    <row r="413" ht="15.75" customHeight="1">
      <c r="B413" s="2"/>
      <c r="C413" s="2"/>
      <c r="D413" s="2"/>
      <c r="E413" s="2"/>
      <c r="L413" s="2"/>
      <c r="M413" s="2"/>
    </row>
    <row r="414" ht="15.75" customHeight="1">
      <c r="B414" s="2"/>
      <c r="C414" s="2"/>
      <c r="D414" s="2"/>
      <c r="E414" s="2"/>
      <c r="L414" s="2"/>
      <c r="M414" s="2"/>
    </row>
    <row r="415" ht="15.75" customHeight="1">
      <c r="B415" s="2"/>
      <c r="C415" s="2"/>
      <c r="D415" s="2"/>
      <c r="E415" s="2"/>
      <c r="L415" s="2"/>
      <c r="M415" s="2"/>
    </row>
    <row r="416" ht="15.75" customHeight="1">
      <c r="B416" s="2"/>
      <c r="C416" s="2"/>
      <c r="D416" s="2"/>
      <c r="E416" s="2"/>
      <c r="L416" s="2"/>
      <c r="M416" s="2"/>
    </row>
    <row r="417" ht="15.75" customHeight="1">
      <c r="B417" s="2"/>
      <c r="C417" s="2"/>
      <c r="D417" s="2"/>
      <c r="E417" s="2"/>
      <c r="L417" s="2"/>
      <c r="M417" s="2"/>
    </row>
    <row r="418" ht="15.75" customHeight="1">
      <c r="B418" s="2"/>
      <c r="C418" s="2"/>
      <c r="D418" s="2"/>
      <c r="E418" s="2"/>
      <c r="L418" s="2"/>
      <c r="M418" s="2"/>
    </row>
    <row r="419" ht="15.75" customHeight="1">
      <c r="B419" s="2"/>
      <c r="C419" s="2"/>
      <c r="D419" s="2"/>
      <c r="E419" s="2"/>
      <c r="L419" s="2"/>
      <c r="M419" s="2"/>
    </row>
    <row r="420" ht="15.75" customHeight="1">
      <c r="B420" s="2"/>
      <c r="C420" s="2"/>
      <c r="D420" s="2"/>
      <c r="E420" s="2"/>
      <c r="L420" s="2"/>
      <c r="M420" s="2"/>
    </row>
    <row r="421" ht="15.75" customHeight="1">
      <c r="B421" s="2"/>
      <c r="C421" s="2"/>
      <c r="D421" s="2"/>
      <c r="E421" s="2"/>
      <c r="L421" s="2"/>
      <c r="M421" s="2"/>
    </row>
    <row r="422" ht="15.75" customHeight="1">
      <c r="B422" s="2"/>
      <c r="C422" s="2"/>
      <c r="D422" s="2"/>
      <c r="E422" s="2"/>
      <c r="L422" s="2"/>
      <c r="M422" s="2"/>
    </row>
    <row r="423" ht="15.75" customHeight="1">
      <c r="B423" s="2"/>
      <c r="C423" s="2"/>
      <c r="D423" s="2"/>
      <c r="E423" s="2"/>
      <c r="L423" s="2"/>
      <c r="M423" s="2"/>
    </row>
    <row r="424" ht="15.75" customHeight="1">
      <c r="B424" s="2"/>
      <c r="C424" s="2"/>
      <c r="D424" s="2"/>
      <c r="E424" s="2"/>
      <c r="L424" s="2"/>
      <c r="M424" s="2"/>
    </row>
    <row r="425" ht="15.75" customHeight="1">
      <c r="B425" s="2"/>
      <c r="C425" s="2"/>
      <c r="D425" s="2"/>
      <c r="E425" s="2"/>
      <c r="L425" s="2"/>
      <c r="M425" s="2"/>
    </row>
    <row r="426" ht="15.75" customHeight="1">
      <c r="B426" s="2"/>
      <c r="C426" s="2"/>
      <c r="D426" s="2"/>
      <c r="E426" s="2"/>
      <c r="L426" s="2"/>
      <c r="M426" s="2"/>
    </row>
    <row r="427" ht="15.75" customHeight="1">
      <c r="B427" s="2"/>
      <c r="C427" s="2"/>
      <c r="D427" s="2"/>
      <c r="E427" s="2"/>
      <c r="L427" s="2"/>
      <c r="M427" s="2"/>
    </row>
    <row r="428" ht="15.75" customHeight="1">
      <c r="B428" s="2"/>
      <c r="C428" s="2"/>
      <c r="D428" s="2"/>
      <c r="E428" s="2"/>
      <c r="L428" s="2"/>
      <c r="M428" s="2"/>
    </row>
    <row r="429" ht="15.75" customHeight="1">
      <c r="B429" s="2"/>
      <c r="C429" s="2"/>
      <c r="D429" s="2"/>
      <c r="E429" s="2"/>
      <c r="L429" s="2"/>
      <c r="M429" s="2"/>
    </row>
    <row r="430" ht="15.75" customHeight="1">
      <c r="B430" s="2"/>
      <c r="C430" s="2"/>
      <c r="D430" s="2"/>
      <c r="E430" s="2"/>
      <c r="L430" s="2"/>
      <c r="M430" s="2"/>
    </row>
    <row r="431" ht="15.75" customHeight="1">
      <c r="B431" s="2"/>
      <c r="C431" s="2"/>
      <c r="D431" s="2"/>
      <c r="E431" s="2"/>
      <c r="L431" s="2"/>
      <c r="M431" s="2"/>
    </row>
    <row r="432" ht="15.75" customHeight="1">
      <c r="B432" s="2"/>
      <c r="C432" s="2"/>
      <c r="D432" s="2"/>
      <c r="E432" s="2"/>
      <c r="L432" s="2"/>
      <c r="M432" s="2"/>
    </row>
    <row r="433" ht="15.75" customHeight="1">
      <c r="B433" s="2"/>
      <c r="C433" s="2"/>
      <c r="D433" s="2"/>
      <c r="E433" s="2"/>
      <c r="L433" s="2"/>
      <c r="M433" s="2"/>
    </row>
    <row r="434" ht="15.75" customHeight="1">
      <c r="B434" s="2"/>
      <c r="C434" s="2"/>
      <c r="D434" s="2"/>
      <c r="E434" s="2"/>
      <c r="L434" s="2"/>
      <c r="M434" s="2"/>
    </row>
    <row r="435" ht="15.75" customHeight="1">
      <c r="B435" s="2"/>
      <c r="C435" s="2"/>
      <c r="D435" s="2"/>
      <c r="E435" s="2"/>
      <c r="L435" s="2"/>
      <c r="M435" s="2"/>
    </row>
    <row r="436" ht="15.75" customHeight="1">
      <c r="B436" s="2"/>
      <c r="C436" s="2"/>
      <c r="D436" s="2"/>
      <c r="E436" s="2"/>
      <c r="L436" s="2"/>
      <c r="M436" s="2"/>
    </row>
    <row r="437" ht="15.75" customHeight="1">
      <c r="B437" s="2"/>
      <c r="C437" s="2"/>
      <c r="D437" s="2"/>
      <c r="E437" s="2"/>
      <c r="L437" s="2"/>
      <c r="M437" s="2"/>
    </row>
    <row r="438" ht="15.75" customHeight="1">
      <c r="B438" s="2"/>
      <c r="C438" s="2"/>
      <c r="D438" s="2"/>
      <c r="E438" s="2"/>
      <c r="L438" s="2"/>
      <c r="M438" s="2"/>
    </row>
    <row r="439" ht="15.75" customHeight="1">
      <c r="B439" s="2"/>
      <c r="C439" s="2"/>
      <c r="D439" s="2"/>
      <c r="E439" s="2"/>
      <c r="L439" s="2"/>
      <c r="M439" s="2"/>
    </row>
    <row r="440" ht="15.75" customHeight="1">
      <c r="B440" s="2"/>
      <c r="C440" s="2"/>
      <c r="D440" s="2"/>
      <c r="E440" s="2"/>
      <c r="L440" s="2"/>
      <c r="M440" s="2"/>
    </row>
    <row r="441" ht="15.75" customHeight="1">
      <c r="B441" s="2"/>
      <c r="C441" s="2"/>
      <c r="D441" s="2"/>
      <c r="E441" s="2"/>
      <c r="L441" s="2"/>
      <c r="M441" s="2"/>
    </row>
    <row r="442" ht="15.75" customHeight="1">
      <c r="B442" s="2"/>
      <c r="C442" s="2"/>
      <c r="D442" s="2"/>
      <c r="E442" s="2"/>
      <c r="L442" s="2"/>
      <c r="M442" s="2"/>
    </row>
    <row r="443" ht="15.75" customHeight="1">
      <c r="B443" s="2"/>
      <c r="C443" s="2"/>
      <c r="D443" s="2"/>
      <c r="E443" s="2"/>
      <c r="L443" s="2"/>
      <c r="M443" s="2"/>
    </row>
    <row r="444" ht="15.75" customHeight="1">
      <c r="B444" s="2"/>
      <c r="C444" s="2"/>
      <c r="D444" s="2"/>
      <c r="E444" s="2"/>
      <c r="L444" s="2"/>
      <c r="M444" s="2"/>
    </row>
    <row r="445" ht="15.75" customHeight="1">
      <c r="B445" s="2"/>
      <c r="C445" s="2"/>
      <c r="D445" s="2"/>
      <c r="E445" s="2"/>
      <c r="L445" s="2"/>
      <c r="M445" s="2"/>
    </row>
    <row r="446" ht="15.75" customHeight="1">
      <c r="B446" s="2"/>
      <c r="C446" s="2"/>
      <c r="D446" s="2"/>
      <c r="E446" s="2"/>
      <c r="L446" s="2"/>
      <c r="M446" s="2"/>
    </row>
    <row r="447" ht="15.75" customHeight="1">
      <c r="B447" s="2"/>
      <c r="C447" s="2"/>
      <c r="D447" s="2"/>
      <c r="E447" s="2"/>
      <c r="L447" s="2"/>
      <c r="M447" s="2"/>
    </row>
    <row r="448" ht="15.75" customHeight="1">
      <c r="B448" s="2"/>
      <c r="C448" s="2"/>
      <c r="D448" s="2"/>
      <c r="E448" s="2"/>
      <c r="L448" s="2"/>
      <c r="M448" s="2"/>
    </row>
    <row r="449" ht="15.75" customHeight="1">
      <c r="B449" s="2"/>
      <c r="C449" s="2"/>
      <c r="D449" s="2"/>
      <c r="E449" s="2"/>
      <c r="L449" s="2"/>
      <c r="M449" s="2"/>
    </row>
    <row r="450" ht="15.75" customHeight="1">
      <c r="B450" s="2"/>
      <c r="C450" s="2"/>
      <c r="D450" s="2"/>
      <c r="E450" s="2"/>
      <c r="L450" s="2"/>
      <c r="M450" s="2"/>
    </row>
    <row r="451" ht="15.75" customHeight="1">
      <c r="B451" s="2"/>
      <c r="C451" s="2"/>
      <c r="D451" s="2"/>
      <c r="E451" s="2"/>
      <c r="L451" s="2"/>
      <c r="M451" s="2"/>
    </row>
    <row r="452" ht="15.75" customHeight="1">
      <c r="B452" s="2"/>
      <c r="C452" s="2"/>
      <c r="D452" s="2"/>
      <c r="E452" s="2"/>
      <c r="L452" s="2"/>
      <c r="M452" s="2"/>
    </row>
    <row r="453" ht="15.75" customHeight="1">
      <c r="B453" s="2"/>
      <c r="C453" s="2"/>
      <c r="D453" s="2"/>
      <c r="E453" s="2"/>
      <c r="L453" s="2"/>
      <c r="M453" s="2"/>
    </row>
    <row r="454" ht="15.75" customHeight="1">
      <c r="B454" s="2"/>
      <c r="C454" s="2"/>
      <c r="D454" s="2"/>
      <c r="E454" s="2"/>
      <c r="L454" s="2"/>
      <c r="M454" s="2"/>
    </row>
    <row r="455" ht="15.75" customHeight="1">
      <c r="B455" s="2"/>
      <c r="C455" s="2"/>
      <c r="D455" s="2"/>
      <c r="E455" s="2"/>
      <c r="L455" s="2"/>
      <c r="M455" s="2"/>
    </row>
    <row r="456" ht="15.75" customHeight="1">
      <c r="B456" s="2"/>
      <c r="C456" s="2"/>
      <c r="D456" s="2"/>
      <c r="E456" s="2"/>
      <c r="L456" s="2"/>
      <c r="M456" s="2"/>
    </row>
    <row r="457" ht="15.75" customHeight="1">
      <c r="B457" s="2"/>
      <c r="C457" s="2"/>
      <c r="D457" s="2"/>
      <c r="E457" s="2"/>
      <c r="L457" s="2"/>
      <c r="M457" s="2"/>
    </row>
    <row r="458" ht="15.75" customHeight="1">
      <c r="B458" s="2"/>
      <c r="C458" s="2"/>
      <c r="D458" s="2"/>
      <c r="E458" s="2"/>
      <c r="L458" s="2"/>
      <c r="M458" s="2"/>
    </row>
    <row r="459" ht="15.75" customHeight="1">
      <c r="B459" s="2"/>
      <c r="C459" s="2"/>
      <c r="D459" s="2"/>
      <c r="E459" s="2"/>
      <c r="L459" s="2"/>
      <c r="M459" s="2"/>
    </row>
    <row r="460" ht="15.75" customHeight="1">
      <c r="B460" s="2"/>
      <c r="C460" s="2"/>
      <c r="D460" s="2"/>
      <c r="E460" s="2"/>
      <c r="L460" s="2"/>
      <c r="M460" s="2"/>
    </row>
    <row r="461" ht="15.75" customHeight="1">
      <c r="B461" s="2"/>
      <c r="C461" s="2"/>
      <c r="D461" s="2"/>
      <c r="E461" s="2"/>
      <c r="L461" s="2"/>
      <c r="M461" s="2"/>
    </row>
    <row r="462" ht="15.75" customHeight="1">
      <c r="B462" s="2"/>
      <c r="C462" s="2"/>
      <c r="D462" s="2"/>
      <c r="E462" s="2"/>
      <c r="L462" s="2"/>
      <c r="M462" s="2"/>
    </row>
    <row r="463" ht="15.75" customHeight="1">
      <c r="B463" s="2"/>
      <c r="C463" s="2"/>
      <c r="D463" s="2"/>
      <c r="E463" s="2"/>
      <c r="L463" s="2"/>
      <c r="M463" s="2"/>
    </row>
    <row r="464" ht="15.75" customHeight="1">
      <c r="B464" s="2"/>
      <c r="C464" s="2"/>
      <c r="D464" s="2"/>
      <c r="E464" s="2"/>
      <c r="L464" s="2"/>
      <c r="M464" s="2"/>
    </row>
    <row r="465" ht="15.75" customHeight="1">
      <c r="B465" s="2"/>
      <c r="C465" s="2"/>
      <c r="D465" s="2"/>
      <c r="E465" s="2"/>
      <c r="L465" s="2"/>
      <c r="M465" s="2"/>
    </row>
    <row r="466" ht="15.75" customHeight="1">
      <c r="B466" s="2"/>
      <c r="C466" s="2"/>
      <c r="D466" s="2"/>
      <c r="E466" s="2"/>
      <c r="L466" s="2"/>
      <c r="M466" s="2"/>
    </row>
    <row r="467" ht="15.75" customHeight="1">
      <c r="B467" s="2"/>
      <c r="C467" s="2"/>
      <c r="D467" s="2"/>
      <c r="E467" s="2"/>
      <c r="L467" s="2"/>
      <c r="M467" s="2"/>
    </row>
    <row r="468" ht="15.75" customHeight="1">
      <c r="B468" s="2"/>
      <c r="C468" s="2"/>
      <c r="D468" s="2"/>
      <c r="E468" s="2"/>
      <c r="L468" s="2"/>
      <c r="M468" s="2"/>
    </row>
    <row r="469" ht="15.75" customHeight="1">
      <c r="B469" s="2"/>
      <c r="C469" s="2"/>
      <c r="D469" s="2"/>
      <c r="E469" s="2"/>
      <c r="L469" s="2"/>
      <c r="M469" s="2"/>
    </row>
    <row r="470" ht="15.75" customHeight="1">
      <c r="B470" s="2"/>
      <c r="C470" s="2"/>
      <c r="D470" s="2"/>
      <c r="E470" s="2"/>
      <c r="L470" s="2"/>
      <c r="M470" s="2"/>
    </row>
    <row r="471" ht="15.75" customHeight="1">
      <c r="B471" s="2"/>
      <c r="C471" s="2"/>
      <c r="D471" s="2"/>
      <c r="E471" s="2"/>
      <c r="L471" s="2"/>
      <c r="M471" s="2"/>
    </row>
    <row r="472" ht="15.75" customHeight="1">
      <c r="B472" s="2"/>
      <c r="C472" s="2"/>
      <c r="D472" s="2"/>
      <c r="E472" s="2"/>
      <c r="L472" s="2"/>
      <c r="M472" s="2"/>
    </row>
    <row r="473" ht="15.75" customHeight="1">
      <c r="B473" s="2"/>
      <c r="C473" s="2"/>
      <c r="D473" s="2"/>
      <c r="E473" s="2"/>
      <c r="L473" s="2"/>
      <c r="M473" s="2"/>
    </row>
    <row r="474" ht="15.75" customHeight="1">
      <c r="B474" s="2"/>
      <c r="C474" s="2"/>
      <c r="D474" s="2"/>
      <c r="E474" s="2"/>
      <c r="L474" s="2"/>
      <c r="M474" s="2"/>
    </row>
    <row r="475" ht="15.75" customHeight="1">
      <c r="B475" s="2"/>
      <c r="C475" s="2"/>
      <c r="D475" s="2"/>
      <c r="E475" s="2"/>
      <c r="L475" s="2"/>
      <c r="M475" s="2"/>
    </row>
    <row r="476" ht="15.75" customHeight="1">
      <c r="B476" s="2"/>
      <c r="C476" s="2"/>
      <c r="D476" s="2"/>
      <c r="E476" s="2"/>
      <c r="L476" s="2"/>
      <c r="M476" s="2"/>
    </row>
    <row r="477" ht="15.75" customHeight="1">
      <c r="B477" s="2"/>
      <c r="C477" s="2"/>
      <c r="D477" s="2"/>
      <c r="E477" s="2"/>
      <c r="L477" s="2"/>
      <c r="M477" s="2"/>
    </row>
    <row r="478" ht="15.75" customHeight="1">
      <c r="B478" s="2"/>
      <c r="C478" s="2"/>
      <c r="D478" s="2"/>
      <c r="E478" s="2"/>
      <c r="L478" s="2"/>
      <c r="M478" s="2"/>
    </row>
    <row r="479" ht="15.75" customHeight="1">
      <c r="B479" s="2"/>
      <c r="C479" s="2"/>
      <c r="D479" s="2"/>
      <c r="E479" s="2"/>
      <c r="L479" s="2"/>
      <c r="M479" s="2"/>
    </row>
    <row r="480" ht="15.75" customHeight="1">
      <c r="B480" s="2"/>
      <c r="C480" s="2"/>
      <c r="D480" s="2"/>
      <c r="E480" s="2"/>
      <c r="L480" s="2"/>
      <c r="M480" s="2"/>
    </row>
    <row r="481" ht="15.75" customHeight="1">
      <c r="B481" s="2"/>
      <c r="C481" s="2"/>
      <c r="D481" s="2"/>
      <c r="E481" s="2"/>
      <c r="L481" s="2"/>
      <c r="M481" s="2"/>
    </row>
    <row r="482" ht="15.75" customHeight="1">
      <c r="B482" s="2"/>
      <c r="C482" s="2"/>
      <c r="D482" s="2"/>
      <c r="E482" s="2"/>
      <c r="L482" s="2"/>
      <c r="M482" s="2"/>
    </row>
    <row r="483" ht="15.75" customHeight="1">
      <c r="B483" s="2"/>
      <c r="C483" s="2"/>
      <c r="D483" s="2"/>
      <c r="E483" s="2"/>
      <c r="L483" s="2"/>
      <c r="M483" s="2"/>
    </row>
    <row r="484" ht="15.75" customHeight="1">
      <c r="B484" s="2"/>
      <c r="C484" s="2"/>
      <c r="D484" s="2"/>
      <c r="E484" s="2"/>
      <c r="L484" s="2"/>
      <c r="M484" s="2"/>
    </row>
    <row r="485" ht="15.75" customHeight="1">
      <c r="B485" s="2"/>
      <c r="C485" s="2"/>
      <c r="D485" s="2"/>
      <c r="E485" s="2"/>
      <c r="L485" s="2"/>
      <c r="M485" s="2"/>
    </row>
    <row r="486" ht="15.75" customHeight="1">
      <c r="B486" s="2"/>
      <c r="C486" s="2"/>
      <c r="D486" s="2"/>
      <c r="E486" s="2"/>
      <c r="L486" s="2"/>
      <c r="M486" s="2"/>
    </row>
    <row r="487" ht="15.75" customHeight="1">
      <c r="B487" s="2"/>
      <c r="C487" s="2"/>
      <c r="D487" s="2"/>
      <c r="E487" s="2"/>
      <c r="L487" s="2"/>
      <c r="M487" s="2"/>
    </row>
    <row r="488" ht="15.75" customHeight="1">
      <c r="B488" s="2"/>
      <c r="C488" s="2"/>
      <c r="D488" s="2"/>
      <c r="E488" s="2"/>
      <c r="L488" s="2"/>
      <c r="M488" s="2"/>
    </row>
    <row r="489" ht="15.75" customHeight="1">
      <c r="B489" s="2"/>
      <c r="C489" s="2"/>
      <c r="D489" s="2"/>
      <c r="E489" s="2"/>
      <c r="L489" s="2"/>
      <c r="M489" s="2"/>
    </row>
    <row r="490" ht="15.75" customHeight="1">
      <c r="B490" s="2"/>
      <c r="C490" s="2"/>
      <c r="D490" s="2"/>
      <c r="E490" s="2"/>
      <c r="L490" s="2"/>
      <c r="M490" s="2"/>
    </row>
    <row r="491" ht="15.75" customHeight="1">
      <c r="B491" s="2"/>
      <c r="C491" s="2"/>
      <c r="D491" s="2"/>
      <c r="E491" s="2"/>
      <c r="L491" s="2"/>
      <c r="M491" s="2"/>
    </row>
    <row r="492" ht="15.75" customHeight="1">
      <c r="B492" s="2"/>
      <c r="C492" s="2"/>
      <c r="D492" s="2"/>
      <c r="E492" s="2"/>
      <c r="L492" s="2"/>
      <c r="M492" s="2"/>
    </row>
    <row r="493" ht="15.75" customHeight="1">
      <c r="B493" s="2"/>
      <c r="C493" s="2"/>
      <c r="D493" s="2"/>
      <c r="E493" s="2"/>
      <c r="L493" s="2"/>
      <c r="M493" s="2"/>
    </row>
    <row r="494" ht="15.75" customHeight="1">
      <c r="B494" s="2"/>
      <c r="C494" s="2"/>
      <c r="D494" s="2"/>
      <c r="E494" s="2"/>
      <c r="L494" s="2"/>
      <c r="M494" s="2"/>
    </row>
    <row r="495" ht="15.75" customHeight="1">
      <c r="B495" s="2"/>
      <c r="C495" s="2"/>
      <c r="D495" s="2"/>
      <c r="E495" s="2"/>
      <c r="L495" s="2"/>
      <c r="M495" s="2"/>
    </row>
    <row r="496" ht="15.75" customHeight="1">
      <c r="B496" s="2"/>
      <c r="C496" s="2"/>
      <c r="D496" s="2"/>
      <c r="E496" s="2"/>
      <c r="L496" s="2"/>
      <c r="M496" s="2"/>
    </row>
    <row r="497" ht="15.75" customHeight="1">
      <c r="B497" s="2"/>
      <c r="C497" s="2"/>
      <c r="D497" s="2"/>
      <c r="E497" s="2"/>
      <c r="L497" s="2"/>
      <c r="M497" s="2"/>
    </row>
    <row r="498" ht="15.75" customHeight="1">
      <c r="B498" s="2"/>
      <c r="C498" s="2"/>
      <c r="D498" s="2"/>
      <c r="E498" s="2"/>
      <c r="L498" s="2"/>
      <c r="M498" s="2"/>
    </row>
    <row r="499" ht="15.75" customHeight="1">
      <c r="B499" s="2"/>
      <c r="C499" s="2"/>
      <c r="D499" s="2"/>
      <c r="E499" s="2"/>
      <c r="L499" s="2"/>
      <c r="M499" s="2"/>
    </row>
    <row r="500" ht="15.75" customHeight="1">
      <c r="B500" s="2"/>
      <c r="C500" s="2"/>
      <c r="D500" s="2"/>
      <c r="E500" s="2"/>
      <c r="L500" s="2"/>
      <c r="M500" s="2"/>
    </row>
    <row r="501" ht="15.75" customHeight="1">
      <c r="B501" s="2"/>
      <c r="C501" s="2"/>
      <c r="D501" s="2"/>
      <c r="E501" s="2"/>
      <c r="L501" s="2"/>
      <c r="M501" s="2"/>
    </row>
    <row r="502" ht="15.75" customHeight="1">
      <c r="B502" s="2"/>
      <c r="C502" s="2"/>
      <c r="D502" s="2"/>
      <c r="E502" s="2"/>
      <c r="L502" s="2"/>
      <c r="M502" s="2"/>
    </row>
    <row r="503" ht="15.75" customHeight="1">
      <c r="B503" s="2"/>
      <c r="C503" s="2"/>
      <c r="D503" s="2"/>
      <c r="E503" s="2"/>
      <c r="L503" s="2"/>
      <c r="M503" s="2"/>
    </row>
    <row r="504" ht="15.75" customHeight="1">
      <c r="B504" s="2"/>
      <c r="C504" s="2"/>
      <c r="D504" s="2"/>
      <c r="E504" s="2"/>
      <c r="L504" s="2"/>
      <c r="M504" s="2"/>
    </row>
    <row r="505" ht="15.75" customHeight="1">
      <c r="B505" s="2"/>
      <c r="C505" s="2"/>
      <c r="D505" s="2"/>
      <c r="E505" s="2"/>
      <c r="L505" s="2"/>
      <c r="M505" s="2"/>
    </row>
    <row r="506" ht="15.75" customHeight="1">
      <c r="B506" s="2"/>
      <c r="C506" s="2"/>
      <c r="D506" s="2"/>
      <c r="E506" s="2"/>
      <c r="L506" s="2"/>
      <c r="M506" s="2"/>
    </row>
    <row r="507" ht="15.75" customHeight="1">
      <c r="B507" s="2"/>
      <c r="C507" s="2"/>
      <c r="D507" s="2"/>
      <c r="E507" s="2"/>
      <c r="L507" s="2"/>
      <c r="M507" s="2"/>
    </row>
    <row r="508" ht="15.75" customHeight="1">
      <c r="B508" s="2"/>
      <c r="C508" s="2"/>
      <c r="D508" s="2"/>
      <c r="E508" s="2"/>
      <c r="L508" s="2"/>
      <c r="M508" s="2"/>
    </row>
    <row r="509" ht="15.75" customHeight="1">
      <c r="B509" s="2"/>
      <c r="C509" s="2"/>
      <c r="D509" s="2"/>
      <c r="E509" s="2"/>
      <c r="L509" s="2"/>
      <c r="M509" s="2"/>
    </row>
    <row r="510" ht="15.75" customHeight="1">
      <c r="B510" s="2"/>
      <c r="C510" s="2"/>
      <c r="D510" s="2"/>
      <c r="E510" s="2"/>
      <c r="L510" s="2"/>
      <c r="M510" s="2"/>
    </row>
    <row r="511" ht="15.75" customHeight="1">
      <c r="B511" s="2"/>
      <c r="C511" s="2"/>
      <c r="D511" s="2"/>
      <c r="E511" s="2"/>
      <c r="L511" s="2"/>
      <c r="M511" s="2"/>
    </row>
    <row r="512" ht="15.75" customHeight="1">
      <c r="B512" s="2"/>
      <c r="C512" s="2"/>
      <c r="D512" s="2"/>
      <c r="E512" s="2"/>
      <c r="L512" s="2"/>
      <c r="M512" s="2"/>
    </row>
    <row r="513" ht="15.75" customHeight="1">
      <c r="B513" s="2"/>
      <c r="C513" s="2"/>
      <c r="D513" s="2"/>
      <c r="E513" s="2"/>
      <c r="L513" s="2"/>
      <c r="M513" s="2"/>
    </row>
    <row r="514" ht="15.75" customHeight="1">
      <c r="B514" s="2"/>
      <c r="C514" s="2"/>
      <c r="D514" s="2"/>
      <c r="E514" s="2"/>
      <c r="L514" s="2"/>
      <c r="M514" s="2"/>
    </row>
    <row r="515" ht="15.75" customHeight="1">
      <c r="B515" s="2"/>
      <c r="C515" s="2"/>
      <c r="D515" s="2"/>
      <c r="E515" s="2"/>
      <c r="L515" s="2"/>
      <c r="M515" s="2"/>
    </row>
    <row r="516" ht="15.75" customHeight="1">
      <c r="B516" s="2"/>
      <c r="C516" s="2"/>
      <c r="D516" s="2"/>
      <c r="E516" s="2"/>
      <c r="L516" s="2"/>
      <c r="M516" s="2"/>
    </row>
    <row r="517" ht="15.75" customHeight="1">
      <c r="B517" s="2"/>
      <c r="C517" s="2"/>
      <c r="D517" s="2"/>
      <c r="E517" s="2"/>
      <c r="L517" s="2"/>
      <c r="M517" s="2"/>
    </row>
    <row r="518" ht="15.75" customHeight="1">
      <c r="B518" s="2"/>
      <c r="C518" s="2"/>
      <c r="D518" s="2"/>
      <c r="E518" s="2"/>
      <c r="L518" s="2"/>
      <c r="M518" s="2"/>
    </row>
    <row r="519" ht="15.75" customHeight="1">
      <c r="B519" s="2"/>
      <c r="C519" s="2"/>
      <c r="D519" s="2"/>
      <c r="E519" s="2"/>
      <c r="L519" s="2"/>
      <c r="M519" s="2"/>
    </row>
    <row r="520" ht="15.75" customHeight="1">
      <c r="B520" s="2"/>
      <c r="C520" s="2"/>
      <c r="D520" s="2"/>
      <c r="E520" s="2"/>
      <c r="L520" s="2"/>
      <c r="M520" s="2"/>
    </row>
    <row r="521" ht="15.75" customHeight="1">
      <c r="B521" s="2"/>
      <c r="C521" s="2"/>
      <c r="D521" s="2"/>
      <c r="E521" s="2"/>
      <c r="L521" s="2"/>
      <c r="M521" s="2"/>
    </row>
    <row r="522" ht="15.75" customHeight="1">
      <c r="B522" s="2"/>
      <c r="C522" s="2"/>
      <c r="D522" s="2"/>
      <c r="E522" s="2"/>
      <c r="L522" s="2"/>
      <c r="M522" s="2"/>
    </row>
    <row r="523" ht="15.75" customHeight="1">
      <c r="B523" s="2"/>
      <c r="C523" s="2"/>
      <c r="D523" s="2"/>
      <c r="E523" s="2"/>
      <c r="L523" s="2"/>
      <c r="M523" s="2"/>
    </row>
    <row r="524" ht="15.75" customHeight="1">
      <c r="B524" s="2"/>
      <c r="C524" s="2"/>
      <c r="D524" s="2"/>
      <c r="E524" s="2"/>
      <c r="L524" s="2"/>
      <c r="M524" s="2"/>
    </row>
    <row r="525" ht="15.75" customHeight="1">
      <c r="B525" s="2"/>
      <c r="C525" s="2"/>
      <c r="D525" s="2"/>
      <c r="E525" s="2"/>
      <c r="L525" s="2"/>
      <c r="M525" s="2"/>
    </row>
    <row r="526" ht="15.75" customHeight="1">
      <c r="B526" s="2"/>
      <c r="C526" s="2"/>
      <c r="D526" s="2"/>
      <c r="E526" s="2"/>
      <c r="L526" s="2"/>
      <c r="M526" s="2"/>
    </row>
    <row r="527" ht="15.75" customHeight="1">
      <c r="B527" s="2"/>
      <c r="C527" s="2"/>
      <c r="D527" s="2"/>
      <c r="E527" s="2"/>
      <c r="L527" s="2"/>
      <c r="M527" s="2"/>
    </row>
    <row r="528" ht="15.75" customHeight="1">
      <c r="B528" s="2"/>
      <c r="C528" s="2"/>
      <c r="D528" s="2"/>
      <c r="E528" s="2"/>
      <c r="L528" s="2"/>
      <c r="M528" s="2"/>
    </row>
    <row r="529" ht="15.75" customHeight="1">
      <c r="B529" s="2"/>
      <c r="C529" s="2"/>
      <c r="D529" s="2"/>
      <c r="E529" s="2"/>
      <c r="L529" s="2"/>
      <c r="M529" s="2"/>
    </row>
    <row r="530" ht="15.75" customHeight="1">
      <c r="B530" s="2"/>
      <c r="C530" s="2"/>
      <c r="D530" s="2"/>
      <c r="E530" s="2"/>
      <c r="L530" s="2"/>
      <c r="M530" s="2"/>
    </row>
    <row r="531" ht="15.75" customHeight="1">
      <c r="B531" s="2"/>
      <c r="C531" s="2"/>
      <c r="D531" s="2"/>
      <c r="E531" s="2"/>
      <c r="L531" s="2"/>
      <c r="M531" s="2"/>
    </row>
    <row r="532" ht="15.75" customHeight="1">
      <c r="B532" s="2"/>
      <c r="C532" s="2"/>
      <c r="D532" s="2"/>
      <c r="E532" s="2"/>
      <c r="L532" s="2"/>
      <c r="M532" s="2"/>
    </row>
    <row r="533" ht="15.75" customHeight="1">
      <c r="B533" s="2"/>
      <c r="C533" s="2"/>
      <c r="D533" s="2"/>
      <c r="E533" s="2"/>
      <c r="L533" s="2"/>
      <c r="M533" s="2"/>
    </row>
    <row r="534" ht="15.75" customHeight="1">
      <c r="B534" s="2"/>
      <c r="C534" s="2"/>
      <c r="D534" s="2"/>
      <c r="E534" s="2"/>
      <c r="L534" s="2"/>
      <c r="M534" s="2"/>
    </row>
    <row r="535" ht="15.75" customHeight="1">
      <c r="B535" s="2"/>
      <c r="C535" s="2"/>
      <c r="D535" s="2"/>
      <c r="E535" s="2"/>
      <c r="L535" s="2"/>
      <c r="M535" s="2"/>
    </row>
    <row r="536" ht="15.75" customHeight="1">
      <c r="B536" s="2"/>
      <c r="C536" s="2"/>
      <c r="D536" s="2"/>
      <c r="E536" s="2"/>
      <c r="L536" s="2"/>
      <c r="M536" s="2"/>
    </row>
    <row r="537" ht="15.75" customHeight="1">
      <c r="B537" s="2"/>
      <c r="C537" s="2"/>
      <c r="D537" s="2"/>
      <c r="E537" s="2"/>
      <c r="L537" s="2"/>
      <c r="M537" s="2"/>
    </row>
    <row r="538" ht="15.75" customHeight="1">
      <c r="B538" s="2"/>
      <c r="C538" s="2"/>
      <c r="D538" s="2"/>
      <c r="E538" s="2"/>
      <c r="L538" s="2"/>
      <c r="M538" s="2"/>
    </row>
    <row r="539" ht="15.75" customHeight="1">
      <c r="B539" s="2"/>
      <c r="C539" s="2"/>
      <c r="D539" s="2"/>
      <c r="E539" s="2"/>
      <c r="L539" s="2"/>
      <c r="M539" s="2"/>
    </row>
    <row r="540" ht="15.75" customHeight="1">
      <c r="B540" s="2"/>
      <c r="C540" s="2"/>
      <c r="D540" s="2"/>
      <c r="E540" s="2"/>
      <c r="L540" s="2"/>
      <c r="M540" s="2"/>
    </row>
    <row r="541" ht="15.75" customHeight="1">
      <c r="B541" s="2"/>
      <c r="C541" s="2"/>
      <c r="D541" s="2"/>
      <c r="E541" s="2"/>
      <c r="L541" s="2"/>
      <c r="M541" s="2"/>
    </row>
    <row r="542" ht="15.75" customHeight="1">
      <c r="B542" s="2"/>
      <c r="C542" s="2"/>
      <c r="D542" s="2"/>
      <c r="E542" s="2"/>
      <c r="L542" s="2"/>
      <c r="M542" s="2"/>
    </row>
    <row r="543" ht="15.75" customHeight="1">
      <c r="B543" s="2"/>
      <c r="C543" s="2"/>
      <c r="D543" s="2"/>
      <c r="E543" s="2"/>
      <c r="L543" s="2"/>
      <c r="M543" s="2"/>
    </row>
    <row r="544" ht="15.75" customHeight="1">
      <c r="B544" s="2"/>
      <c r="C544" s="2"/>
      <c r="D544" s="2"/>
      <c r="E544" s="2"/>
      <c r="L544" s="2"/>
      <c r="M544" s="2"/>
    </row>
    <row r="545" ht="15.75" customHeight="1">
      <c r="B545" s="2"/>
      <c r="C545" s="2"/>
      <c r="D545" s="2"/>
      <c r="E545" s="2"/>
      <c r="L545" s="2"/>
      <c r="M545" s="2"/>
    </row>
    <row r="546" ht="15.75" customHeight="1">
      <c r="B546" s="2"/>
      <c r="C546" s="2"/>
      <c r="D546" s="2"/>
      <c r="E546" s="2"/>
      <c r="L546" s="2"/>
      <c r="M546" s="2"/>
    </row>
    <row r="547" ht="15.75" customHeight="1">
      <c r="B547" s="2"/>
      <c r="C547" s="2"/>
      <c r="D547" s="2"/>
      <c r="E547" s="2"/>
      <c r="L547" s="2"/>
      <c r="M547" s="2"/>
    </row>
    <row r="548" ht="15.75" customHeight="1">
      <c r="B548" s="2"/>
      <c r="C548" s="2"/>
      <c r="D548" s="2"/>
      <c r="E548" s="2"/>
      <c r="L548" s="2"/>
      <c r="M548" s="2"/>
    </row>
    <row r="549" ht="15.75" customHeight="1">
      <c r="B549" s="2"/>
      <c r="C549" s="2"/>
      <c r="D549" s="2"/>
      <c r="E549" s="2"/>
      <c r="L549" s="2"/>
      <c r="M549" s="2"/>
    </row>
    <row r="550" ht="15.75" customHeight="1">
      <c r="B550" s="2"/>
      <c r="C550" s="2"/>
      <c r="D550" s="2"/>
      <c r="E550" s="2"/>
      <c r="L550" s="2"/>
      <c r="M550" s="2"/>
    </row>
    <row r="551" ht="15.75" customHeight="1">
      <c r="B551" s="2"/>
      <c r="C551" s="2"/>
      <c r="D551" s="2"/>
      <c r="E551" s="2"/>
      <c r="L551" s="2"/>
      <c r="M551" s="2"/>
    </row>
    <row r="552" ht="15.75" customHeight="1">
      <c r="B552" s="2"/>
      <c r="C552" s="2"/>
      <c r="D552" s="2"/>
      <c r="E552" s="2"/>
      <c r="L552" s="2"/>
      <c r="M552" s="2"/>
    </row>
    <row r="553" ht="15.75" customHeight="1">
      <c r="B553" s="2"/>
      <c r="C553" s="2"/>
      <c r="D553" s="2"/>
      <c r="E553" s="2"/>
      <c r="L553" s="2"/>
      <c r="M553" s="2"/>
    </row>
    <row r="554" ht="15.75" customHeight="1">
      <c r="B554" s="2"/>
      <c r="C554" s="2"/>
      <c r="D554" s="2"/>
      <c r="E554" s="2"/>
      <c r="L554" s="2"/>
      <c r="M554" s="2"/>
    </row>
    <row r="555" ht="15.75" customHeight="1">
      <c r="B555" s="2"/>
      <c r="C555" s="2"/>
      <c r="D555" s="2"/>
      <c r="E555" s="2"/>
      <c r="L555" s="2"/>
      <c r="M555" s="2"/>
    </row>
    <row r="556" ht="15.75" customHeight="1">
      <c r="B556" s="2"/>
      <c r="C556" s="2"/>
      <c r="D556" s="2"/>
      <c r="E556" s="2"/>
      <c r="L556" s="2"/>
      <c r="M556" s="2"/>
    </row>
    <row r="557" ht="15.75" customHeight="1">
      <c r="B557" s="2"/>
      <c r="C557" s="2"/>
      <c r="D557" s="2"/>
      <c r="E557" s="2"/>
      <c r="L557" s="2"/>
      <c r="M557" s="2"/>
    </row>
    <row r="558" ht="15.75" customHeight="1">
      <c r="B558" s="2"/>
      <c r="C558" s="2"/>
      <c r="D558" s="2"/>
      <c r="E558" s="2"/>
      <c r="L558" s="2"/>
      <c r="M558" s="2"/>
    </row>
    <row r="559" ht="15.75" customHeight="1">
      <c r="B559" s="2"/>
      <c r="C559" s="2"/>
      <c r="D559" s="2"/>
      <c r="E559" s="2"/>
      <c r="L559" s="2"/>
      <c r="M559" s="2"/>
    </row>
    <row r="560" ht="15.75" customHeight="1">
      <c r="B560" s="2"/>
      <c r="C560" s="2"/>
      <c r="D560" s="2"/>
      <c r="E560" s="2"/>
      <c r="L560" s="2"/>
      <c r="M560" s="2"/>
    </row>
    <row r="561" ht="15.75" customHeight="1">
      <c r="B561" s="2"/>
      <c r="C561" s="2"/>
      <c r="D561" s="2"/>
      <c r="E561" s="2"/>
      <c r="L561" s="2"/>
      <c r="M561" s="2"/>
    </row>
    <row r="562" ht="15.75" customHeight="1">
      <c r="B562" s="2"/>
      <c r="C562" s="2"/>
      <c r="D562" s="2"/>
      <c r="E562" s="2"/>
      <c r="L562" s="2"/>
      <c r="M562" s="2"/>
    </row>
    <row r="563" ht="15.75" customHeight="1">
      <c r="B563" s="2"/>
      <c r="C563" s="2"/>
      <c r="D563" s="2"/>
      <c r="E563" s="2"/>
      <c r="L563" s="2"/>
      <c r="M563" s="2"/>
    </row>
    <row r="564" ht="15.75" customHeight="1">
      <c r="B564" s="2"/>
      <c r="C564" s="2"/>
      <c r="D564" s="2"/>
      <c r="E564" s="2"/>
      <c r="L564" s="2"/>
      <c r="M564" s="2"/>
    </row>
    <row r="565" ht="15.75" customHeight="1">
      <c r="B565" s="2"/>
      <c r="C565" s="2"/>
      <c r="D565" s="2"/>
      <c r="E565" s="2"/>
      <c r="L565" s="2"/>
      <c r="M565" s="2"/>
    </row>
    <row r="566" ht="15.75" customHeight="1">
      <c r="B566" s="2"/>
      <c r="C566" s="2"/>
      <c r="D566" s="2"/>
      <c r="E566" s="2"/>
      <c r="L566" s="2"/>
      <c r="M566" s="2"/>
    </row>
    <row r="567" ht="15.75" customHeight="1">
      <c r="B567" s="2"/>
      <c r="C567" s="2"/>
      <c r="D567" s="2"/>
      <c r="E567" s="2"/>
      <c r="L567" s="2"/>
      <c r="M567" s="2"/>
    </row>
    <row r="568" ht="15.75" customHeight="1">
      <c r="B568" s="2"/>
      <c r="C568" s="2"/>
      <c r="D568" s="2"/>
      <c r="E568" s="2"/>
      <c r="L568" s="2"/>
      <c r="M568" s="2"/>
    </row>
    <row r="569" ht="15.75" customHeight="1">
      <c r="B569" s="2"/>
      <c r="C569" s="2"/>
      <c r="D569" s="2"/>
      <c r="E569" s="2"/>
      <c r="L569" s="2"/>
      <c r="M569" s="2"/>
    </row>
    <row r="570" ht="15.75" customHeight="1">
      <c r="B570" s="2"/>
      <c r="C570" s="2"/>
      <c r="D570" s="2"/>
      <c r="E570" s="2"/>
      <c r="L570" s="2"/>
      <c r="M570" s="2"/>
    </row>
    <row r="571" ht="15.75" customHeight="1">
      <c r="B571" s="2"/>
      <c r="C571" s="2"/>
      <c r="D571" s="2"/>
      <c r="E571" s="2"/>
      <c r="L571" s="2"/>
      <c r="M571" s="2"/>
    </row>
    <row r="572" ht="15.75" customHeight="1">
      <c r="B572" s="2"/>
      <c r="C572" s="2"/>
      <c r="D572" s="2"/>
      <c r="E572" s="2"/>
      <c r="L572" s="2"/>
      <c r="M572" s="2"/>
    </row>
    <row r="573" ht="15.75" customHeight="1">
      <c r="B573" s="2"/>
      <c r="C573" s="2"/>
      <c r="D573" s="2"/>
      <c r="E573" s="2"/>
      <c r="L573" s="2"/>
      <c r="M573" s="2"/>
    </row>
    <row r="574" ht="15.75" customHeight="1">
      <c r="B574" s="2"/>
      <c r="C574" s="2"/>
      <c r="D574" s="2"/>
      <c r="E574" s="2"/>
      <c r="L574" s="2"/>
      <c r="M574" s="2"/>
    </row>
    <row r="575" ht="15.75" customHeight="1">
      <c r="B575" s="2"/>
      <c r="C575" s="2"/>
      <c r="D575" s="2"/>
      <c r="E575" s="2"/>
      <c r="L575" s="2"/>
      <c r="M575" s="2"/>
    </row>
    <row r="576" ht="15.75" customHeight="1">
      <c r="B576" s="2"/>
      <c r="C576" s="2"/>
      <c r="D576" s="2"/>
      <c r="E576" s="2"/>
      <c r="L576" s="2"/>
      <c r="M576" s="2"/>
    </row>
    <row r="577" ht="15.75" customHeight="1">
      <c r="B577" s="2"/>
      <c r="C577" s="2"/>
      <c r="D577" s="2"/>
      <c r="E577" s="2"/>
      <c r="L577" s="2"/>
      <c r="M577" s="2"/>
    </row>
    <row r="578" ht="15.75" customHeight="1">
      <c r="B578" s="2"/>
      <c r="C578" s="2"/>
      <c r="D578" s="2"/>
      <c r="E578" s="2"/>
      <c r="L578" s="2"/>
      <c r="M578" s="2"/>
    </row>
    <row r="579" ht="15.75" customHeight="1">
      <c r="B579" s="2"/>
      <c r="C579" s="2"/>
      <c r="D579" s="2"/>
      <c r="E579" s="2"/>
      <c r="L579" s="2"/>
      <c r="M579" s="2"/>
    </row>
    <row r="580" ht="15.75" customHeight="1">
      <c r="B580" s="2"/>
      <c r="C580" s="2"/>
      <c r="D580" s="2"/>
      <c r="E580" s="2"/>
      <c r="L580" s="2"/>
      <c r="M580" s="2"/>
    </row>
    <row r="581" ht="15.75" customHeight="1">
      <c r="B581" s="2"/>
      <c r="C581" s="2"/>
      <c r="D581" s="2"/>
      <c r="E581" s="2"/>
      <c r="L581" s="2"/>
      <c r="M581" s="2"/>
    </row>
    <row r="582" ht="15.75" customHeight="1">
      <c r="B582" s="2"/>
      <c r="C582" s="2"/>
      <c r="D582" s="2"/>
      <c r="E582" s="2"/>
      <c r="L582" s="2"/>
      <c r="M582" s="2"/>
    </row>
    <row r="583" ht="15.75" customHeight="1">
      <c r="B583" s="2"/>
      <c r="C583" s="2"/>
      <c r="D583" s="2"/>
      <c r="E583" s="2"/>
      <c r="L583" s="2"/>
      <c r="M583" s="2"/>
    </row>
    <row r="584" ht="15.75" customHeight="1">
      <c r="B584" s="2"/>
      <c r="C584" s="2"/>
      <c r="D584" s="2"/>
      <c r="E584" s="2"/>
      <c r="L584" s="2"/>
      <c r="M584" s="2"/>
    </row>
    <row r="585" ht="15.75" customHeight="1">
      <c r="B585" s="2"/>
      <c r="C585" s="2"/>
      <c r="D585" s="2"/>
      <c r="E585" s="2"/>
      <c r="L585" s="2"/>
      <c r="M585" s="2"/>
    </row>
    <row r="586" ht="15.75" customHeight="1">
      <c r="B586" s="2"/>
      <c r="C586" s="2"/>
      <c r="D586" s="2"/>
      <c r="E586" s="2"/>
      <c r="L586" s="2"/>
      <c r="M586" s="2"/>
    </row>
    <row r="587" ht="15.75" customHeight="1">
      <c r="B587" s="2"/>
      <c r="C587" s="2"/>
      <c r="D587" s="2"/>
      <c r="E587" s="2"/>
      <c r="L587" s="2"/>
      <c r="M587" s="2"/>
    </row>
    <row r="588" ht="15.75" customHeight="1">
      <c r="B588" s="2"/>
      <c r="C588" s="2"/>
      <c r="D588" s="2"/>
      <c r="E588" s="2"/>
      <c r="L588" s="2"/>
      <c r="M588" s="2"/>
    </row>
    <row r="589" ht="15.75" customHeight="1">
      <c r="B589" s="2"/>
      <c r="C589" s="2"/>
      <c r="D589" s="2"/>
      <c r="E589" s="2"/>
      <c r="L589" s="2"/>
      <c r="M589" s="2"/>
    </row>
    <row r="590" ht="15.75" customHeight="1">
      <c r="B590" s="2"/>
      <c r="C590" s="2"/>
      <c r="D590" s="2"/>
      <c r="E590" s="2"/>
      <c r="L590" s="2"/>
      <c r="M590" s="2"/>
    </row>
    <row r="591" ht="15.75" customHeight="1">
      <c r="B591" s="2"/>
      <c r="C591" s="2"/>
      <c r="D591" s="2"/>
      <c r="E591" s="2"/>
      <c r="L591" s="2"/>
      <c r="M591" s="2"/>
    </row>
    <row r="592" ht="15.75" customHeight="1">
      <c r="B592" s="2"/>
      <c r="C592" s="2"/>
      <c r="D592" s="2"/>
      <c r="E592" s="2"/>
      <c r="L592" s="2"/>
      <c r="M592" s="2"/>
    </row>
    <row r="593" ht="15.75" customHeight="1">
      <c r="B593" s="2"/>
      <c r="C593" s="2"/>
      <c r="D593" s="2"/>
      <c r="E593" s="2"/>
      <c r="L593" s="2"/>
      <c r="M593" s="2"/>
    </row>
    <row r="594" ht="15.75" customHeight="1">
      <c r="B594" s="2"/>
      <c r="C594" s="2"/>
      <c r="D594" s="2"/>
      <c r="E594" s="2"/>
      <c r="L594" s="2"/>
      <c r="M594" s="2"/>
    </row>
    <row r="595" ht="15.75" customHeight="1">
      <c r="B595" s="2"/>
      <c r="C595" s="2"/>
      <c r="D595" s="2"/>
      <c r="E595" s="2"/>
      <c r="L595" s="2"/>
      <c r="M595" s="2"/>
    </row>
    <row r="596" ht="15.75" customHeight="1">
      <c r="B596" s="2"/>
      <c r="C596" s="2"/>
      <c r="D596" s="2"/>
      <c r="E596" s="2"/>
      <c r="L596" s="2"/>
      <c r="M596" s="2"/>
    </row>
    <row r="597" ht="15.75" customHeight="1">
      <c r="B597" s="2"/>
      <c r="C597" s="2"/>
      <c r="D597" s="2"/>
      <c r="E597" s="2"/>
      <c r="L597" s="2"/>
      <c r="M597" s="2"/>
    </row>
    <row r="598" ht="15.75" customHeight="1">
      <c r="B598" s="2"/>
      <c r="C598" s="2"/>
      <c r="D598" s="2"/>
      <c r="E598" s="2"/>
      <c r="L598" s="2"/>
      <c r="M598" s="2"/>
    </row>
    <row r="599" ht="15.75" customHeight="1">
      <c r="B599" s="2"/>
      <c r="C599" s="2"/>
      <c r="D599" s="2"/>
      <c r="E599" s="2"/>
      <c r="L599" s="2"/>
      <c r="M599" s="2"/>
    </row>
    <row r="600" ht="15.75" customHeight="1">
      <c r="B600" s="2"/>
      <c r="C600" s="2"/>
      <c r="D600" s="2"/>
      <c r="E600" s="2"/>
      <c r="L600" s="2"/>
      <c r="M600" s="2"/>
    </row>
    <row r="601" ht="15.75" customHeight="1">
      <c r="B601" s="2"/>
      <c r="C601" s="2"/>
      <c r="D601" s="2"/>
      <c r="E601" s="2"/>
      <c r="L601" s="2"/>
      <c r="M601" s="2"/>
    </row>
    <row r="602" ht="15.75" customHeight="1">
      <c r="B602" s="2"/>
      <c r="C602" s="2"/>
      <c r="D602" s="2"/>
      <c r="E602" s="2"/>
      <c r="L602" s="2"/>
      <c r="M602" s="2"/>
    </row>
    <row r="603" ht="15.75" customHeight="1">
      <c r="B603" s="2"/>
      <c r="C603" s="2"/>
      <c r="D603" s="2"/>
      <c r="E603" s="2"/>
      <c r="L603" s="2"/>
      <c r="M603" s="2"/>
    </row>
    <row r="604" ht="15.75" customHeight="1">
      <c r="B604" s="2"/>
      <c r="C604" s="2"/>
      <c r="D604" s="2"/>
      <c r="E604" s="2"/>
      <c r="L604" s="2"/>
      <c r="M604" s="2"/>
    </row>
    <row r="605" ht="15.75" customHeight="1">
      <c r="B605" s="2"/>
      <c r="C605" s="2"/>
      <c r="D605" s="2"/>
      <c r="E605" s="2"/>
      <c r="L605" s="2"/>
      <c r="M605" s="2"/>
    </row>
    <row r="606" ht="15.75" customHeight="1">
      <c r="B606" s="2"/>
      <c r="C606" s="2"/>
      <c r="D606" s="2"/>
      <c r="E606" s="2"/>
      <c r="L606" s="2"/>
      <c r="M606" s="2"/>
    </row>
    <row r="607" ht="15.75" customHeight="1">
      <c r="B607" s="2"/>
      <c r="C607" s="2"/>
      <c r="D607" s="2"/>
      <c r="E607" s="2"/>
      <c r="L607" s="2"/>
      <c r="M607" s="2"/>
    </row>
    <row r="608" ht="15.75" customHeight="1">
      <c r="B608" s="2"/>
      <c r="C608" s="2"/>
      <c r="D608" s="2"/>
      <c r="E608" s="2"/>
      <c r="L608" s="2"/>
      <c r="M608" s="2"/>
    </row>
    <row r="609" ht="15.75" customHeight="1">
      <c r="B609" s="2"/>
      <c r="C609" s="2"/>
      <c r="D609" s="2"/>
      <c r="E609" s="2"/>
      <c r="L609" s="2"/>
      <c r="M609" s="2"/>
    </row>
    <row r="610" ht="15.75" customHeight="1">
      <c r="B610" s="2"/>
      <c r="C610" s="2"/>
      <c r="D610" s="2"/>
      <c r="E610" s="2"/>
      <c r="L610" s="2"/>
      <c r="M610" s="2"/>
    </row>
    <row r="611" ht="15.75" customHeight="1">
      <c r="B611" s="2"/>
      <c r="C611" s="2"/>
      <c r="D611" s="2"/>
      <c r="E611" s="2"/>
      <c r="L611" s="2"/>
      <c r="M611" s="2"/>
    </row>
    <row r="612" ht="15.75" customHeight="1">
      <c r="B612" s="2"/>
      <c r="C612" s="2"/>
      <c r="D612" s="2"/>
      <c r="E612" s="2"/>
      <c r="L612" s="2"/>
      <c r="M612" s="2"/>
    </row>
    <row r="613" ht="15.75" customHeight="1">
      <c r="B613" s="2"/>
      <c r="C613" s="2"/>
      <c r="D613" s="2"/>
      <c r="E613" s="2"/>
      <c r="L613" s="2"/>
      <c r="M613" s="2"/>
    </row>
    <row r="614" ht="15.75" customHeight="1">
      <c r="B614" s="2"/>
      <c r="C614" s="2"/>
      <c r="D614" s="2"/>
      <c r="E614" s="2"/>
      <c r="L614" s="2"/>
      <c r="M614" s="2"/>
    </row>
    <row r="615" ht="15.75" customHeight="1">
      <c r="B615" s="2"/>
      <c r="C615" s="2"/>
      <c r="D615" s="2"/>
      <c r="E615" s="2"/>
      <c r="L615" s="2"/>
      <c r="M615" s="2"/>
    </row>
    <row r="616" ht="15.75" customHeight="1">
      <c r="B616" s="2"/>
      <c r="C616" s="2"/>
      <c r="D616" s="2"/>
      <c r="E616" s="2"/>
      <c r="L616" s="2"/>
      <c r="M616" s="2"/>
    </row>
    <row r="617" ht="15.75" customHeight="1">
      <c r="B617" s="2"/>
      <c r="C617" s="2"/>
      <c r="D617" s="2"/>
      <c r="E617" s="2"/>
      <c r="L617" s="2"/>
      <c r="M617" s="2"/>
    </row>
    <row r="618" ht="15.75" customHeight="1">
      <c r="B618" s="2"/>
      <c r="C618" s="2"/>
      <c r="D618" s="2"/>
      <c r="E618" s="2"/>
      <c r="L618" s="2"/>
      <c r="M618" s="2"/>
    </row>
    <row r="619" ht="15.75" customHeight="1">
      <c r="B619" s="2"/>
      <c r="C619" s="2"/>
      <c r="D619" s="2"/>
      <c r="E619" s="2"/>
      <c r="L619" s="2"/>
      <c r="M619" s="2"/>
    </row>
    <row r="620" ht="15.75" customHeight="1">
      <c r="B620" s="2"/>
      <c r="C620" s="2"/>
      <c r="D620" s="2"/>
      <c r="E620" s="2"/>
      <c r="L620" s="2"/>
      <c r="M620" s="2"/>
    </row>
    <row r="621" ht="15.75" customHeight="1">
      <c r="B621" s="2"/>
      <c r="C621" s="2"/>
      <c r="D621" s="2"/>
      <c r="E621" s="2"/>
      <c r="L621" s="2"/>
      <c r="M621" s="2"/>
    </row>
    <row r="622" ht="15.75" customHeight="1">
      <c r="B622" s="2"/>
      <c r="C622" s="2"/>
      <c r="D622" s="2"/>
      <c r="E622" s="2"/>
      <c r="L622" s="2"/>
      <c r="M622" s="2"/>
    </row>
    <row r="623" ht="15.75" customHeight="1">
      <c r="B623" s="2"/>
      <c r="C623" s="2"/>
      <c r="D623" s="2"/>
      <c r="E623" s="2"/>
      <c r="L623" s="2"/>
      <c r="M623" s="2"/>
    </row>
    <row r="624" ht="15.75" customHeight="1">
      <c r="B624" s="2"/>
      <c r="C624" s="2"/>
      <c r="D624" s="2"/>
      <c r="E624" s="2"/>
      <c r="L624" s="2"/>
      <c r="M624" s="2"/>
    </row>
    <row r="625" ht="15.75" customHeight="1">
      <c r="B625" s="2"/>
      <c r="C625" s="2"/>
      <c r="D625" s="2"/>
      <c r="E625" s="2"/>
      <c r="L625" s="2"/>
      <c r="M625" s="2"/>
    </row>
    <row r="626" ht="15.75" customHeight="1">
      <c r="B626" s="2"/>
      <c r="C626" s="2"/>
      <c r="D626" s="2"/>
      <c r="E626" s="2"/>
      <c r="L626" s="2"/>
      <c r="M626" s="2"/>
    </row>
    <row r="627" ht="15.75" customHeight="1">
      <c r="B627" s="2"/>
      <c r="C627" s="2"/>
      <c r="D627" s="2"/>
      <c r="E627" s="2"/>
      <c r="L627" s="2"/>
      <c r="M627" s="2"/>
    </row>
    <row r="628" ht="15.75" customHeight="1">
      <c r="B628" s="2"/>
      <c r="C628" s="2"/>
      <c r="D628" s="2"/>
      <c r="E628" s="2"/>
      <c r="L628" s="2"/>
      <c r="M628" s="2"/>
    </row>
    <row r="629" ht="15.75" customHeight="1">
      <c r="B629" s="2"/>
      <c r="C629" s="2"/>
      <c r="D629" s="2"/>
      <c r="E629" s="2"/>
      <c r="L629" s="2"/>
      <c r="M629" s="2"/>
    </row>
    <row r="630" ht="15.75" customHeight="1">
      <c r="B630" s="2"/>
      <c r="C630" s="2"/>
      <c r="D630" s="2"/>
      <c r="E630" s="2"/>
      <c r="L630" s="2"/>
      <c r="M630" s="2"/>
    </row>
    <row r="631" ht="15.75" customHeight="1">
      <c r="B631" s="2"/>
      <c r="C631" s="2"/>
      <c r="D631" s="2"/>
      <c r="E631" s="2"/>
      <c r="L631" s="2"/>
      <c r="M631" s="2"/>
    </row>
    <row r="632" ht="15.75" customHeight="1">
      <c r="B632" s="2"/>
      <c r="C632" s="2"/>
      <c r="D632" s="2"/>
      <c r="E632" s="2"/>
      <c r="L632" s="2"/>
      <c r="M632" s="2"/>
    </row>
    <row r="633" ht="15.75" customHeight="1">
      <c r="B633" s="2"/>
      <c r="C633" s="2"/>
      <c r="D633" s="2"/>
      <c r="E633" s="2"/>
      <c r="L633" s="2"/>
      <c r="M633" s="2"/>
    </row>
    <row r="634" ht="15.75" customHeight="1">
      <c r="B634" s="2"/>
      <c r="C634" s="2"/>
      <c r="D634" s="2"/>
      <c r="E634" s="2"/>
      <c r="L634" s="2"/>
      <c r="M634" s="2"/>
    </row>
    <row r="635" ht="15.75" customHeight="1">
      <c r="B635" s="2"/>
      <c r="C635" s="2"/>
      <c r="D635" s="2"/>
      <c r="E635" s="2"/>
      <c r="L635" s="2"/>
      <c r="M635" s="2"/>
    </row>
    <row r="636" ht="15.75" customHeight="1">
      <c r="B636" s="2"/>
      <c r="C636" s="2"/>
      <c r="D636" s="2"/>
      <c r="E636" s="2"/>
      <c r="L636" s="2"/>
      <c r="M636" s="2"/>
    </row>
    <row r="637" ht="15.75" customHeight="1">
      <c r="B637" s="2"/>
      <c r="C637" s="2"/>
      <c r="D637" s="2"/>
      <c r="E637" s="2"/>
      <c r="L637" s="2"/>
      <c r="M637" s="2"/>
    </row>
    <row r="638" ht="15.75" customHeight="1">
      <c r="B638" s="2"/>
      <c r="C638" s="2"/>
      <c r="D638" s="2"/>
      <c r="E638" s="2"/>
      <c r="L638" s="2"/>
      <c r="M638" s="2"/>
    </row>
    <row r="639" ht="15.75" customHeight="1">
      <c r="B639" s="2"/>
      <c r="C639" s="2"/>
      <c r="D639" s="2"/>
      <c r="E639" s="2"/>
      <c r="L639" s="2"/>
      <c r="M639" s="2"/>
    </row>
    <row r="640" ht="15.75" customHeight="1">
      <c r="B640" s="2"/>
      <c r="C640" s="2"/>
      <c r="D640" s="2"/>
      <c r="E640" s="2"/>
      <c r="L640" s="2"/>
      <c r="M640" s="2"/>
    </row>
    <row r="641" ht="15.75" customHeight="1">
      <c r="B641" s="2"/>
      <c r="C641" s="2"/>
      <c r="D641" s="2"/>
      <c r="E641" s="2"/>
      <c r="L641" s="2"/>
      <c r="M641" s="2"/>
    </row>
    <row r="642" ht="15.75" customHeight="1">
      <c r="B642" s="2"/>
      <c r="C642" s="2"/>
      <c r="D642" s="2"/>
      <c r="E642" s="2"/>
      <c r="L642" s="2"/>
      <c r="M642" s="2"/>
    </row>
    <row r="643" ht="15.75" customHeight="1">
      <c r="B643" s="2"/>
      <c r="C643" s="2"/>
      <c r="D643" s="2"/>
      <c r="E643" s="2"/>
      <c r="L643" s="2"/>
      <c r="M643" s="2"/>
    </row>
    <row r="644" ht="15.75" customHeight="1">
      <c r="B644" s="2"/>
      <c r="C644" s="2"/>
      <c r="D644" s="2"/>
      <c r="E644" s="2"/>
      <c r="L644" s="2"/>
      <c r="M644" s="2"/>
    </row>
    <row r="645" ht="15.75" customHeight="1">
      <c r="B645" s="2"/>
      <c r="C645" s="2"/>
      <c r="D645" s="2"/>
      <c r="E645" s="2"/>
      <c r="L645" s="2"/>
      <c r="M645" s="2"/>
    </row>
    <row r="646" ht="15.75" customHeight="1">
      <c r="B646" s="2"/>
      <c r="C646" s="2"/>
      <c r="D646" s="2"/>
      <c r="E646" s="2"/>
      <c r="L646" s="2"/>
      <c r="M646" s="2"/>
    </row>
    <row r="647" ht="15.75" customHeight="1">
      <c r="B647" s="2"/>
      <c r="C647" s="2"/>
      <c r="D647" s="2"/>
      <c r="E647" s="2"/>
      <c r="L647" s="2"/>
      <c r="M647" s="2"/>
    </row>
    <row r="648" ht="15.75" customHeight="1">
      <c r="B648" s="2"/>
      <c r="C648" s="2"/>
      <c r="D648" s="2"/>
      <c r="E648" s="2"/>
      <c r="L648" s="2"/>
      <c r="M648" s="2"/>
    </row>
    <row r="649" ht="15.75" customHeight="1">
      <c r="B649" s="2"/>
      <c r="C649" s="2"/>
      <c r="D649" s="2"/>
      <c r="E649" s="2"/>
      <c r="L649" s="2"/>
      <c r="M649" s="2"/>
    </row>
    <row r="650" ht="15.75" customHeight="1">
      <c r="B650" s="2"/>
      <c r="C650" s="2"/>
      <c r="D650" s="2"/>
      <c r="E650" s="2"/>
      <c r="L650" s="2"/>
      <c r="M650" s="2"/>
    </row>
    <row r="651" ht="15.75" customHeight="1">
      <c r="B651" s="2"/>
      <c r="C651" s="2"/>
      <c r="D651" s="2"/>
      <c r="E651" s="2"/>
      <c r="L651" s="2"/>
      <c r="M651" s="2"/>
    </row>
    <row r="652" ht="15.75" customHeight="1">
      <c r="B652" s="2"/>
      <c r="C652" s="2"/>
      <c r="D652" s="2"/>
      <c r="E652" s="2"/>
      <c r="L652" s="2"/>
      <c r="M652" s="2"/>
    </row>
    <row r="653" ht="15.75" customHeight="1">
      <c r="B653" s="2"/>
      <c r="C653" s="2"/>
      <c r="D653" s="2"/>
      <c r="E653" s="2"/>
      <c r="L653" s="2"/>
      <c r="M653" s="2"/>
    </row>
    <row r="654" ht="15.75" customHeight="1">
      <c r="B654" s="2"/>
      <c r="C654" s="2"/>
      <c r="D654" s="2"/>
      <c r="E654" s="2"/>
      <c r="L654" s="2"/>
      <c r="M654" s="2"/>
    </row>
    <row r="655" ht="15.75" customHeight="1">
      <c r="B655" s="2"/>
      <c r="C655" s="2"/>
      <c r="D655" s="2"/>
      <c r="E655" s="2"/>
      <c r="L655" s="2"/>
      <c r="M655" s="2"/>
    </row>
    <row r="656" ht="15.75" customHeight="1">
      <c r="B656" s="2"/>
      <c r="C656" s="2"/>
      <c r="D656" s="2"/>
      <c r="E656" s="2"/>
      <c r="L656" s="2"/>
      <c r="M656" s="2"/>
    </row>
    <row r="657" ht="15.75" customHeight="1">
      <c r="B657" s="2"/>
      <c r="C657" s="2"/>
      <c r="D657" s="2"/>
      <c r="E657" s="2"/>
      <c r="L657" s="2"/>
      <c r="M657" s="2"/>
    </row>
    <row r="658" ht="15.75" customHeight="1">
      <c r="B658" s="2"/>
      <c r="C658" s="2"/>
      <c r="D658" s="2"/>
      <c r="E658" s="2"/>
      <c r="L658" s="2"/>
      <c r="M658" s="2"/>
    </row>
    <row r="659" ht="15.75" customHeight="1">
      <c r="B659" s="2"/>
      <c r="C659" s="2"/>
      <c r="D659" s="2"/>
      <c r="E659" s="2"/>
      <c r="L659" s="2"/>
      <c r="M659" s="2"/>
    </row>
    <row r="660" ht="15.75" customHeight="1">
      <c r="B660" s="2"/>
      <c r="C660" s="2"/>
      <c r="D660" s="2"/>
      <c r="E660" s="2"/>
      <c r="L660" s="2"/>
      <c r="M660" s="2"/>
    </row>
    <row r="661" ht="15.75" customHeight="1">
      <c r="B661" s="2"/>
      <c r="C661" s="2"/>
      <c r="D661" s="2"/>
      <c r="E661" s="2"/>
      <c r="L661" s="2"/>
      <c r="M661" s="2"/>
    </row>
    <row r="662" ht="15.75" customHeight="1">
      <c r="B662" s="2"/>
      <c r="C662" s="2"/>
      <c r="D662" s="2"/>
      <c r="E662" s="2"/>
      <c r="L662" s="2"/>
      <c r="M662" s="2"/>
    </row>
    <row r="663" ht="15.75" customHeight="1">
      <c r="B663" s="2"/>
      <c r="C663" s="2"/>
      <c r="D663" s="2"/>
      <c r="E663" s="2"/>
      <c r="L663" s="2"/>
      <c r="M663" s="2"/>
    </row>
    <row r="664" ht="15.75" customHeight="1">
      <c r="B664" s="2"/>
      <c r="C664" s="2"/>
      <c r="D664" s="2"/>
      <c r="E664" s="2"/>
      <c r="L664" s="2"/>
      <c r="M664" s="2"/>
    </row>
    <row r="665" ht="15.75" customHeight="1">
      <c r="B665" s="2"/>
      <c r="C665" s="2"/>
      <c r="D665" s="2"/>
      <c r="E665" s="2"/>
      <c r="L665" s="2"/>
      <c r="M665" s="2"/>
    </row>
    <row r="666" ht="15.75" customHeight="1">
      <c r="B666" s="2"/>
      <c r="C666" s="2"/>
      <c r="D666" s="2"/>
      <c r="E666" s="2"/>
      <c r="L666" s="2"/>
      <c r="M666" s="2"/>
    </row>
    <row r="667" ht="15.75" customHeight="1">
      <c r="B667" s="2"/>
      <c r="C667" s="2"/>
      <c r="D667" s="2"/>
      <c r="E667" s="2"/>
      <c r="L667" s="2"/>
      <c r="M667" s="2"/>
    </row>
    <row r="668" ht="15.75" customHeight="1">
      <c r="B668" s="2"/>
      <c r="C668" s="2"/>
      <c r="D668" s="2"/>
      <c r="E668" s="2"/>
      <c r="L668" s="2"/>
      <c r="M668" s="2"/>
    </row>
    <row r="669" ht="15.75" customHeight="1">
      <c r="B669" s="2"/>
      <c r="C669" s="2"/>
      <c r="D669" s="2"/>
      <c r="E669" s="2"/>
      <c r="L669" s="2"/>
      <c r="M669" s="2"/>
    </row>
    <row r="670" ht="15.75" customHeight="1">
      <c r="B670" s="2"/>
      <c r="C670" s="2"/>
      <c r="D670" s="2"/>
      <c r="E670" s="2"/>
      <c r="L670" s="2"/>
      <c r="M670" s="2"/>
    </row>
    <row r="671" ht="15.75" customHeight="1">
      <c r="B671" s="2"/>
      <c r="C671" s="2"/>
      <c r="D671" s="2"/>
      <c r="E671" s="2"/>
      <c r="L671" s="2"/>
      <c r="M671" s="2"/>
    </row>
    <row r="672" ht="15.75" customHeight="1">
      <c r="B672" s="2"/>
      <c r="C672" s="2"/>
      <c r="D672" s="2"/>
      <c r="E672" s="2"/>
      <c r="L672" s="2"/>
      <c r="M672" s="2"/>
    </row>
    <row r="673" ht="15.75" customHeight="1">
      <c r="B673" s="2"/>
      <c r="C673" s="2"/>
      <c r="D673" s="2"/>
      <c r="E673" s="2"/>
      <c r="L673" s="2"/>
      <c r="M673" s="2"/>
    </row>
    <row r="674" ht="15.75" customHeight="1">
      <c r="B674" s="2"/>
      <c r="C674" s="2"/>
      <c r="D674" s="2"/>
      <c r="E674" s="2"/>
      <c r="L674" s="2"/>
      <c r="M674" s="2"/>
    </row>
    <row r="675" ht="15.75" customHeight="1">
      <c r="B675" s="2"/>
      <c r="C675" s="2"/>
      <c r="D675" s="2"/>
      <c r="E675" s="2"/>
      <c r="L675" s="2"/>
      <c r="M675" s="2"/>
    </row>
    <row r="676" ht="15.75" customHeight="1">
      <c r="B676" s="2"/>
      <c r="C676" s="2"/>
      <c r="D676" s="2"/>
      <c r="E676" s="2"/>
      <c r="L676" s="2"/>
      <c r="M676" s="2"/>
    </row>
    <row r="677" ht="15.75" customHeight="1">
      <c r="B677" s="2"/>
      <c r="C677" s="2"/>
      <c r="D677" s="2"/>
      <c r="E677" s="2"/>
      <c r="L677" s="2"/>
      <c r="M677" s="2"/>
    </row>
    <row r="678" ht="15.75" customHeight="1">
      <c r="B678" s="2"/>
      <c r="C678" s="2"/>
      <c r="D678" s="2"/>
      <c r="E678" s="2"/>
      <c r="L678" s="2"/>
      <c r="M678" s="2"/>
    </row>
    <row r="679" ht="15.75" customHeight="1">
      <c r="B679" s="2"/>
      <c r="C679" s="2"/>
      <c r="D679" s="2"/>
      <c r="E679" s="2"/>
      <c r="L679" s="2"/>
      <c r="M679" s="2"/>
    </row>
    <row r="680" ht="15.75" customHeight="1">
      <c r="B680" s="2"/>
      <c r="C680" s="2"/>
      <c r="D680" s="2"/>
      <c r="E680" s="2"/>
      <c r="L680" s="2"/>
      <c r="M680" s="2"/>
    </row>
    <row r="681" ht="15.75" customHeight="1">
      <c r="B681" s="2"/>
      <c r="C681" s="2"/>
      <c r="D681" s="2"/>
      <c r="E681" s="2"/>
      <c r="L681" s="2"/>
      <c r="M681" s="2"/>
    </row>
    <row r="682" ht="15.75" customHeight="1">
      <c r="B682" s="2"/>
      <c r="C682" s="2"/>
      <c r="D682" s="2"/>
      <c r="E682" s="2"/>
      <c r="L682" s="2"/>
      <c r="M682" s="2"/>
    </row>
    <row r="683" ht="15.75" customHeight="1">
      <c r="B683" s="2"/>
      <c r="C683" s="2"/>
      <c r="D683" s="2"/>
      <c r="E683" s="2"/>
      <c r="L683" s="2"/>
      <c r="M683" s="2"/>
    </row>
    <row r="684" ht="15.75" customHeight="1">
      <c r="B684" s="2"/>
      <c r="C684" s="2"/>
      <c r="D684" s="2"/>
      <c r="E684" s="2"/>
      <c r="L684" s="2"/>
      <c r="M684" s="2"/>
    </row>
    <row r="685" ht="15.75" customHeight="1">
      <c r="B685" s="2"/>
      <c r="C685" s="2"/>
      <c r="D685" s="2"/>
      <c r="E685" s="2"/>
      <c r="L685" s="2"/>
      <c r="M685" s="2"/>
    </row>
    <row r="686" ht="15.75" customHeight="1">
      <c r="B686" s="2"/>
      <c r="C686" s="2"/>
      <c r="D686" s="2"/>
      <c r="E686" s="2"/>
      <c r="L686" s="2"/>
      <c r="M686" s="2"/>
    </row>
    <row r="687" ht="15.75" customHeight="1">
      <c r="B687" s="2"/>
      <c r="C687" s="2"/>
      <c r="D687" s="2"/>
      <c r="E687" s="2"/>
      <c r="L687" s="2"/>
      <c r="M687" s="2"/>
    </row>
    <row r="688" ht="15.75" customHeight="1">
      <c r="B688" s="2"/>
      <c r="C688" s="2"/>
      <c r="D688" s="2"/>
      <c r="E688" s="2"/>
      <c r="L688" s="2"/>
      <c r="M688" s="2"/>
    </row>
    <row r="689" ht="15.75" customHeight="1">
      <c r="B689" s="2"/>
      <c r="C689" s="2"/>
      <c r="D689" s="2"/>
      <c r="E689" s="2"/>
      <c r="L689" s="2"/>
      <c r="M689" s="2"/>
    </row>
    <row r="690" ht="15.75" customHeight="1">
      <c r="B690" s="2"/>
      <c r="C690" s="2"/>
      <c r="D690" s="2"/>
      <c r="E690" s="2"/>
      <c r="L690" s="2"/>
      <c r="M690" s="2"/>
    </row>
    <row r="691" ht="15.75" customHeight="1">
      <c r="B691" s="2"/>
      <c r="C691" s="2"/>
      <c r="D691" s="2"/>
      <c r="E691" s="2"/>
      <c r="L691" s="2"/>
      <c r="M691" s="2"/>
    </row>
    <row r="692" ht="15.75" customHeight="1">
      <c r="B692" s="2"/>
      <c r="C692" s="2"/>
      <c r="D692" s="2"/>
      <c r="E692" s="2"/>
      <c r="L692" s="2"/>
      <c r="M692" s="2"/>
    </row>
    <row r="693" ht="15.75" customHeight="1">
      <c r="B693" s="2"/>
      <c r="C693" s="2"/>
      <c r="D693" s="2"/>
      <c r="E693" s="2"/>
      <c r="L693" s="2"/>
      <c r="M693" s="2"/>
    </row>
    <row r="694" ht="15.75" customHeight="1">
      <c r="B694" s="2"/>
      <c r="C694" s="2"/>
      <c r="D694" s="2"/>
      <c r="E694" s="2"/>
      <c r="L694" s="2"/>
      <c r="M694" s="2"/>
    </row>
    <row r="695" ht="15.75" customHeight="1">
      <c r="B695" s="2"/>
      <c r="C695" s="2"/>
      <c r="D695" s="2"/>
      <c r="E695" s="2"/>
      <c r="L695" s="2"/>
      <c r="M695" s="2"/>
    </row>
    <row r="696" ht="15.75" customHeight="1">
      <c r="B696" s="2"/>
      <c r="C696" s="2"/>
      <c r="D696" s="2"/>
      <c r="E696" s="2"/>
      <c r="L696" s="2"/>
      <c r="M696" s="2"/>
    </row>
    <row r="697" ht="15.75" customHeight="1">
      <c r="B697" s="2"/>
      <c r="C697" s="2"/>
      <c r="D697" s="2"/>
      <c r="E697" s="2"/>
      <c r="L697" s="2"/>
      <c r="M697" s="2"/>
    </row>
    <row r="698" ht="15.75" customHeight="1">
      <c r="B698" s="2"/>
      <c r="C698" s="2"/>
      <c r="D698" s="2"/>
      <c r="E698" s="2"/>
      <c r="L698" s="2"/>
      <c r="M698" s="2"/>
    </row>
    <row r="699" ht="15.75" customHeight="1">
      <c r="B699" s="2"/>
      <c r="C699" s="2"/>
      <c r="D699" s="2"/>
      <c r="E699" s="2"/>
      <c r="L699" s="2"/>
      <c r="M699" s="2"/>
    </row>
    <row r="700" ht="15.75" customHeight="1">
      <c r="B700" s="2"/>
      <c r="C700" s="2"/>
      <c r="D700" s="2"/>
      <c r="E700" s="2"/>
      <c r="L700" s="2"/>
      <c r="M700" s="2"/>
    </row>
    <row r="701" ht="15.75" customHeight="1">
      <c r="B701" s="2"/>
      <c r="C701" s="2"/>
      <c r="D701" s="2"/>
      <c r="E701" s="2"/>
      <c r="L701" s="2"/>
      <c r="M701" s="2"/>
    </row>
    <row r="702" ht="15.75" customHeight="1">
      <c r="B702" s="2"/>
      <c r="C702" s="2"/>
      <c r="D702" s="2"/>
      <c r="E702" s="2"/>
      <c r="L702" s="2"/>
      <c r="M702" s="2"/>
    </row>
    <row r="703" ht="15.75" customHeight="1">
      <c r="B703" s="2"/>
      <c r="C703" s="2"/>
      <c r="D703" s="2"/>
      <c r="E703" s="2"/>
      <c r="L703" s="2"/>
      <c r="M703" s="2"/>
    </row>
    <row r="704" ht="15.75" customHeight="1">
      <c r="B704" s="2"/>
      <c r="C704" s="2"/>
      <c r="D704" s="2"/>
      <c r="E704" s="2"/>
      <c r="L704" s="2"/>
      <c r="M704" s="2"/>
    </row>
    <row r="705" ht="15.75" customHeight="1">
      <c r="B705" s="2"/>
      <c r="C705" s="2"/>
      <c r="D705" s="2"/>
      <c r="E705" s="2"/>
      <c r="L705" s="2"/>
      <c r="M705" s="2"/>
    </row>
    <row r="706" ht="15.75" customHeight="1">
      <c r="B706" s="2"/>
      <c r="C706" s="2"/>
      <c r="D706" s="2"/>
      <c r="E706" s="2"/>
      <c r="L706" s="2"/>
      <c r="M706" s="2"/>
    </row>
    <row r="707" ht="15.75" customHeight="1">
      <c r="B707" s="2"/>
      <c r="C707" s="2"/>
      <c r="D707" s="2"/>
      <c r="E707" s="2"/>
      <c r="L707" s="2"/>
      <c r="M707" s="2"/>
    </row>
    <row r="708" ht="15.75" customHeight="1">
      <c r="B708" s="2"/>
      <c r="C708" s="2"/>
      <c r="D708" s="2"/>
      <c r="E708" s="2"/>
      <c r="L708" s="2"/>
      <c r="M708" s="2"/>
    </row>
    <row r="709" ht="15.75" customHeight="1">
      <c r="B709" s="2"/>
      <c r="C709" s="2"/>
      <c r="D709" s="2"/>
      <c r="E709" s="2"/>
      <c r="L709" s="2"/>
      <c r="M709" s="2"/>
    </row>
    <row r="710" ht="15.75" customHeight="1">
      <c r="B710" s="2"/>
      <c r="C710" s="2"/>
      <c r="D710" s="2"/>
      <c r="E710" s="2"/>
      <c r="L710" s="2"/>
      <c r="M710" s="2"/>
    </row>
    <row r="711" ht="15.75" customHeight="1">
      <c r="B711" s="2"/>
      <c r="C711" s="2"/>
      <c r="D711" s="2"/>
      <c r="E711" s="2"/>
      <c r="L711" s="2"/>
      <c r="M711" s="2"/>
    </row>
    <row r="712" ht="15.75" customHeight="1">
      <c r="B712" s="2"/>
      <c r="C712" s="2"/>
      <c r="D712" s="2"/>
      <c r="E712" s="2"/>
      <c r="L712" s="2"/>
      <c r="M712" s="2"/>
    </row>
    <row r="713" ht="15.75" customHeight="1">
      <c r="B713" s="2"/>
      <c r="C713" s="2"/>
      <c r="D713" s="2"/>
      <c r="E713" s="2"/>
      <c r="L713" s="2"/>
      <c r="M713" s="2"/>
    </row>
    <row r="714" ht="15.75" customHeight="1">
      <c r="B714" s="2"/>
      <c r="C714" s="2"/>
      <c r="D714" s="2"/>
      <c r="E714" s="2"/>
      <c r="L714" s="2"/>
      <c r="M714" s="2"/>
    </row>
    <row r="715" ht="15.75" customHeight="1">
      <c r="B715" s="2"/>
      <c r="C715" s="2"/>
      <c r="D715" s="2"/>
      <c r="E715" s="2"/>
      <c r="L715" s="2"/>
      <c r="M715" s="2"/>
    </row>
    <row r="716" ht="15.75" customHeight="1">
      <c r="B716" s="2"/>
      <c r="C716" s="2"/>
      <c r="D716" s="2"/>
      <c r="E716" s="2"/>
      <c r="L716" s="2"/>
      <c r="M716" s="2"/>
    </row>
    <row r="717" ht="15.75" customHeight="1">
      <c r="B717" s="2"/>
      <c r="C717" s="2"/>
      <c r="D717" s="2"/>
      <c r="E717" s="2"/>
      <c r="L717" s="2"/>
      <c r="M717" s="2"/>
    </row>
    <row r="718" ht="15.75" customHeight="1">
      <c r="B718" s="2"/>
      <c r="C718" s="2"/>
      <c r="D718" s="2"/>
      <c r="E718" s="2"/>
      <c r="L718" s="2"/>
      <c r="M718" s="2"/>
    </row>
    <row r="719" ht="15.75" customHeight="1">
      <c r="B719" s="2"/>
      <c r="C719" s="2"/>
      <c r="D719" s="2"/>
      <c r="E719" s="2"/>
      <c r="L719" s="2"/>
      <c r="M719" s="2"/>
    </row>
    <row r="720" ht="15.75" customHeight="1">
      <c r="B720" s="2"/>
      <c r="C720" s="2"/>
      <c r="D720" s="2"/>
      <c r="E720" s="2"/>
      <c r="L720" s="2"/>
      <c r="M720" s="2"/>
    </row>
    <row r="721" ht="15.75" customHeight="1">
      <c r="B721" s="2"/>
      <c r="C721" s="2"/>
      <c r="D721" s="2"/>
      <c r="E721" s="2"/>
      <c r="L721" s="2"/>
      <c r="M721" s="2"/>
    </row>
    <row r="722" ht="15.75" customHeight="1">
      <c r="B722" s="2"/>
      <c r="C722" s="2"/>
      <c r="D722" s="2"/>
      <c r="E722" s="2"/>
      <c r="L722" s="2"/>
      <c r="M722" s="2"/>
    </row>
    <row r="723" ht="15.75" customHeight="1">
      <c r="B723" s="2"/>
      <c r="C723" s="2"/>
      <c r="D723" s="2"/>
      <c r="E723" s="2"/>
      <c r="L723" s="2"/>
      <c r="M723" s="2"/>
    </row>
    <row r="724" ht="15.75" customHeight="1">
      <c r="B724" s="2"/>
      <c r="C724" s="2"/>
      <c r="D724" s="2"/>
      <c r="E724" s="2"/>
      <c r="L724" s="2"/>
      <c r="M724" s="2"/>
    </row>
    <row r="725" ht="15.75" customHeight="1">
      <c r="B725" s="2"/>
      <c r="C725" s="2"/>
      <c r="D725" s="2"/>
      <c r="E725" s="2"/>
      <c r="L725" s="2"/>
      <c r="M725" s="2"/>
    </row>
    <row r="726" ht="15.75" customHeight="1">
      <c r="B726" s="2"/>
      <c r="C726" s="2"/>
      <c r="D726" s="2"/>
      <c r="E726" s="2"/>
      <c r="L726" s="2"/>
      <c r="M726" s="2"/>
    </row>
    <row r="727" ht="15.75" customHeight="1">
      <c r="B727" s="2"/>
      <c r="C727" s="2"/>
      <c r="D727" s="2"/>
      <c r="E727" s="2"/>
      <c r="L727" s="2"/>
      <c r="M727" s="2"/>
    </row>
    <row r="728" ht="15.75" customHeight="1">
      <c r="B728" s="2"/>
      <c r="C728" s="2"/>
      <c r="D728" s="2"/>
      <c r="E728" s="2"/>
      <c r="L728" s="2"/>
      <c r="M728" s="2"/>
    </row>
    <row r="729" ht="15.75" customHeight="1">
      <c r="B729" s="2"/>
      <c r="C729" s="2"/>
      <c r="D729" s="2"/>
      <c r="E729" s="2"/>
      <c r="L729" s="2"/>
      <c r="M729" s="2"/>
    </row>
    <row r="730" ht="15.75" customHeight="1">
      <c r="B730" s="2"/>
      <c r="C730" s="2"/>
      <c r="D730" s="2"/>
      <c r="E730" s="2"/>
      <c r="L730" s="2"/>
      <c r="M730" s="2"/>
    </row>
    <row r="731" ht="15.75" customHeight="1">
      <c r="B731" s="2"/>
      <c r="C731" s="2"/>
      <c r="D731" s="2"/>
      <c r="E731" s="2"/>
      <c r="L731" s="2"/>
      <c r="M731" s="2"/>
    </row>
    <row r="732" ht="15.75" customHeight="1">
      <c r="B732" s="2"/>
      <c r="C732" s="2"/>
      <c r="D732" s="2"/>
      <c r="E732" s="2"/>
      <c r="L732" s="2"/>
      <c r="M732" s="2"/>
    </row>
    <row r="733" ht="15.75" customHeight="1">
      <c r="B733" s="2"/>
      <c r="C733" s="2"/>
      <c r="D733" s="2"/>
      <c r="E733" s="2"/>
      <c r="L733" s="2"/>
      <c r="M733" s="2"/>
    </row>
    <row r="734" ht="15.75" customHeight="1">
      <c r="B734" s="2"/>
      <c r="C734" s="2"/>
      <c r="D734" s="2"/>
      <c r="E734" s="2"/>
      <c r="L734" s="2"/>
      <c r="M734" s="2"/>
    </row>
    <row r="735" ht="15.75" customHeight="1">
      <c r="B735" s="2"/>
      <c r="C735" s="2"/>
      <c r="D735" s="2"/>
      <c r="E735" s="2"/>
      <c r="L735" s="2"/>
      <c r="M735" s="2"/>
    </row>
    <row r="736" ht="15.75" customHeight="1">
      <c r="B736" s="2"/>
      <c r="C736" s="2"/>
      <c r="D736" s="2"/>
      <c r="E736" s="2"/>
      <c r="L736" s="2"/>
      <c r="M736" s="2"/>
    </row>
    <row r="737" ht="15.75" customHeight="1">
      <c r="B737" s="2"/>
      <c r="C737" s="2"/>
      <c r="D737" s="2"/>
      <c r="E737" s="2"/>
      <c r="L737" s="2"/>
      <c r="M737" s="2"/>
    </row>
    <row r="738" ht="15.75" customHeight="1">
      <c r="B738" s="2"/>
      <c r="C738" s="2"/>
      <c r="D738" s="2"/>
      <c r="E738" s="2"/>
      <c r="L738" s="2"/>
      <c r="M738" s="2"/>
    </row>
    <row r="739" ht="15.75" customHeight="1">
      <c r="B739" s="2"/>
      <c r="C739" s="2"/>
      <c r="D739" s="2"/>
      <c r="E739" s="2"/>
      <c r="L739" s="2"/>
      <c r="M739" s="2"/>
    </row>
    <row r="740" ht="15.75" customHeight="1">
      <c r="B740" s="2"/>
      <c r="C740" s="2"/>
      <c r="D740" s="2"/>
      <c r="E740" s="2"/>
      <c r="L740" s="2"/>
      <c r="M740" s="2"/>
    </row>
    <row r="741" ht="15.75" customHeight="1">
      <c r="B741" s="2"/>
      <c r="C741" s="2"/>
      <c r="D741" s="2"/>
      <c r="E741" s="2"/>
      <c r="L741" s="2"/>
      <c r="M741" s="2"/>
    </row>
    <row r="742" ht="15.75" customHeight="1">
      <c r="B742" s="2"/>
      <c r="C742" s="2"/>
      <c r="D742" s="2"/>
      <c r="E742" s="2"/>
      <c r="L742" s="2"/>
      <c r="M742" s="2"/>
    </row>
    <row r="743" ht="15.75" customHeight="1">
      <c r="B743" s="2"/>
      <c r="C743" s="2"/>
      <c r="D743" s="2"/>
      <c r="E743" s="2"/>
      <c r="L743" s="2"/>
      <c r="M743" s="2"/>
    </row>
    <row r="744" ht="15.75" customHeight="1">
      <c r="B744" s="2"/>
      <c r="C744" s="2"/>
      <c r="D744" s="2"/>
      <c r="E744" s="2"/>
      <c r="L744" s="2"/>
      <c r="M744" s="2"/>
    </row>
    <row r="745" ht="15.75" customHeight="1">
      <c r="B745" s="2"/>
      <c r="C745" s="2"/>
      <c r="D745" s="2"/>
      <c r="E745" s="2"/>
      <c r="L745" s="2"/>
      <c r="M745" s="2"/>
    </row>
    <row r="746" ht="15.75" customHeight="1">
      <c r="B746" s="2"/>
      <c r="C746" s="2"/>
      <c r="D746" s="2"/>
      <c r="E746" s="2"/>
      <c r="L746" s="2"/>
      <c r="M746" s="2"/>
    </row>
    <row r="747" ht="15.75" customHeight="1">
      <c r="B747" s="2"/>
      <c r="C747" s="2"/>
      <c r="D747" s="2"/>
      <c r="E747" s="2"/>
      <c r="L747" s="2"/>
      <c r="M747" s="2"/>
    </row>
    <row r="748" ht="15.75" customHeight="1">
      <c r="B748" s="2"/>
      <c r="C748" s="2"/>
      <c r="D748" s="2"/>
      <c r="E748" s="2"/>
      <c r="L748" s="2"/>
      <c r="M748" s="2"/>
    </row>
    <row r="749" ht="15.75" customHeight="1">
      <c r="B749" s="2"/>
      <c r="C749" s="2"/>
      <c r="D749" s="2"/>
      <c r="E749" s="2"/>
      <c r="L749" s="2"/>
      <c r="M749" s="2"/>
    </row>
    <row r="750" ht="15.75" customHeight="1">
      <c r="B750" s="2"/>
      <c r="C750" s="2"/>
      <c r="D750" s="2"/>
      <c r="E750" s="2"/>
      <c r="L750" s="2"/>
      <c r="M750" s="2"/>
    </row>
    <row r="751" ht="15.75" customHeight="1">
      <c r="B751" s="2"/>
      <c r="C751" s="2"/>
      <c r="D751" s="2"/>
      <c r="E751" s="2"/>
      <c r="L751" s="2"/>
      <c r="M751" s="2"/>
    </row>
    <row r="752" ht="15.75" customHeight="1">
      <c r="B752" s="2"/>
      <c r="C752" s="2"/>
      <c r="D752" s="2"/>
      <c r="E752" s="2"/>
      <c r="L752" s="2"/>
      <c r="M752" s="2"/>
    </row>
    <row r="753" ht="15.75" customHeight="1">
      <c r="B753" s="2"/>
      <c r="C753" s="2"/>
      <c r="D753" s="2"/>
      <c r="E753" s="2"/>
      <c r="L753" s="2"/>
      <c r="M753" s="2"/>
    </row>
    <row r="754" ht="15.75" customHeight="1">
      <c r="B754" s="2"/>
      <c r="C754" s="2"/>
      <c r="D754" s="2"/>
      <c r="E754" s="2"/>
      <c r="L754" s="2"/>
      <c r="M754" s="2"/>
    </row>
    <row r="755" ht="15.75" customHeight="1">
      <c r="B755" s="2"/>
      <c r="C755" s="2"/>
      <c r="D755" s="2"/>
      <c r="E755" s="2"/>
      <c r="L755" s="2"/>
      <c r="M755" s="2"/>
    </row>
    <row r="756" ht="15.75" customHeight="1">
      <c r="B756" s="2"/>
      <c r="C756" s="2"/>
      <c r="D756" s="2"/>
      <c r="E756" s="2"/>
      <c r="L756" s="2"/>
      <c r="M756" s="2"/>
    </row>
    <row r="757" ht="15.75" customHeight="1">
      <c r="B757" s="2"/>
      <c r="C757" s="2"/>
      <c r="D757" s="2"/>
      <c r="E757" s="2"/>
      <c r="L757" s="2"/>
      <c r="M757" s="2"/>
    </row>
    <row r="758" ht="15.75" customHeight="1">
      <c r="B758" s="2"/>
      <c r="C758" s="2"/>
      <c r="D758" s="2"/>
      <c r="E758" s="2"/>
      <c r="L758" s="2"/>
      <c r="M758" s="2"/>
    </row>
    <row r="759" ht="15.75" customHeight="1">
      <c r="B759" s="2"/>
      <c r="C759" s="2"/>
      <c r="D759" s="2"/>
      <c r="E759" s="2"/>
      <c r="L759" s="2"/>
      <c r="M759" s="2"/>
    </row>
    <row r="760" ht="15.75" customHeight="1">
      <c r="B760" s="2"/>
      <c r="C760" s="2"/>
      <c r="D760" s="2"/>
      <c r="E760" s="2"/>
      <c r="L760" s="2"/>
      <c r="M760" s="2"/>
    </row>
    <row r="761" ht="15.75" customHeight="1">
      <c r="B761" s="2"/>
      <c r="C761" s="2"/>
      <c r="D761" s="2"/>
      <c r="E761" s="2"/>
      <c r="L761" s="2"/>
      <c r="M761" s="2"/>
    </row>
    <row r="762" ht="15.75" customHeight="1">
      <c r="B762" s="2"/>
      <c r="C762" s="2"/>
      <c r="D762" s="2"/>
      <c r="E762" s="2"/>
      <c r="L762" s="2"/>
      <c r="M762" s="2"/>
    </row>
    <row r="763" ht="15.75" customHeight="1">
      <c r="B763" s="2"/>
      <c r="C763" s="2"/>
      <c r="D763" s="2"/>
      <c r="E763" s="2"/>
      <c r="L763" s="2"/>
      <c r="M763" s="2"/>
    </row>
    <row r="764" ht="15.75" customHeight="1">
      <c r="B764" s="2"/>
      <c r="C764" s="2"/>
      <c r="D764" s="2"/>
      <c r="E764" s="2"/>
      <c r="L764" s="2"/>
      <c r="M764" s="2"/>
    </row>
    <row r="765" ht="15.75" customHeight="1">
      <c r="B765" s="2"/>
      <c r="C765" s="2"/>
      <c r="D765" s="2"/>
      <c r="E765" s="2"/>
      <c r="L765" s="2"/>
      <c r="M765" s="2"/>
    </row>
    <row r="766" ht="15.75" customHeight="1">
      <c r="B766" s="2"/>
      <c r="C766" s="2"/>
      <c r="D766" s="2"/>
      <c r="E766" s="2"/>
      <c r="L766" s="2"/>
      <c r="M766" s="2"/>
    </row>
    <row r="767" ht="15.75" customHeight="1">
      <c r="B767" s="2"/>
      <c r="C767" s="2"/>
      <c r="D767" s="2"/>
      <c r="E767" s="2"/>
      <c r="L767" s="2"/>
      <c r="M767" s="2"/>
    </row>
    <row r="768" ht="15.75" customHeight="1">
      <c r="B768" s="2"/>
      <c r="C768" s="2"/>
      <c r="D768" s="2"/>
      <c r="E768" s="2"/>
      <c r="L768" s="2"/>
      <c r="M768" s="2"/>
    </row>
    <row r="769" ht="15.75" customHeight="1">
      <c r="B769" s="2"/>
      <c r="C769" s="2"/>
      <c r="D769" s="2"/>
      <c r="E769" s="2"/>
      <c r="L769" s="2"/>
      <c r="M769" s="2"/>
    </row>
    <row r="770" ht="15.75" customHeight="1">
      <c r="B770" s="2"/>
      <c r="C770" s="2"/>
      <c r="D770" s="2"/>
      <c r="E770" s="2"/>
      <c r="L770" s="2"/>
      <c r="M770" s="2"/>
    </row>
    <row r="771" ht="15.75" customHeight="1">
      <c r="B771" s="2"/>
      <c r="C771" s="2"/>
      <c r="D771" s="2"/>
      <c r="E771" s="2"/>
      <c r="L771" s="2"/>
      <c r="M771" s="2"/>
    </row>
    <row r="772" ht="15.75" customHeight="1">
      <c r="B772" s="2"/>
      <c r="C772" s="2"/>
      <c r="D772" s="2"/>
      <c r="E772" s="2"/>
      <c r="L772" s="2"/>
      <c r="M772" s="2"/>
    </row>
    <row r="773" ht="15.75" customHeight="1">
      <c r="B773" s="2"/>
      <c r="C773" s="2"/>
      <c r="D773" s="2"/>
      <c r="E773" s="2"/>
      <c r="L773" s="2"/>
      <c r="M773" s="2"/>
    </row>
    <row r="774" ht="15.75" customHeight="1">
      <c r="B774" s="2"/>
      <c r="C774" s="2"/>
      <c r="D774" s="2"/>
      <c r="E774" s="2"/>
      <c r="L774" s="2"/>
      <c r="M774" s="2"/>
    </row>
    <row r="775" ht="15.75" customHeight="1">
      <c r="B775" s="2"/>
      <c r="C775" s="2"/>
      <c r="D775" s="2"/>
      <c r="E775" s="2"/>
      <c r="L775" s="2"/>
      <c r="M775" s="2"/>
    </row>
    <row r="776" ht="15.75" customHeight="1">
      <c r="B776" s="2"/>
      <c r="C776" s="2"/>
      <c r="D776" s="2"/>
      <c r="E776" s="2"/>
      <c r="L776" s="2"/>
      <c r="M776" s="2"/>
    </row>
    <row r="777" ht="15.75" customHeight="1">
      <c r="B777" s="2"/>
      <c r="C777" s="2"/>
      <c r="D777" s="2"/>
      <c r="E777" s="2"/>
      <c r="L777" s="2"/>
      <c r="M777" s="2"/>
    </row>
    <row r="778" ht="15.75" customHeight="1">
      <c r="B778" s="2"/>
      <c r="C778" s="2"/>
      <c r="D778" s="2"/>
      <c r="E778" s="2"/>
      <c r="L778" s="2"/>
      <c r="M778" s="2"/>
    </row>
    <row r="779" ht="15.75" customHeight="1">
      <c r="B779" s="2"/>
      <c r="C779" s="2"/>
      <c r="D779" s="2"/>
      <c r="E779" s="2"/>
      <c r="L779" s="2"/>
      <c r="M779" s="2"/>
    </row>
    <row r="780" ht="15.75" customHeight="1">
      <c r="B780" s="2"/>
      <c r="C780" s="2"/>
      <c r="D780" s="2"/>
      <c r="E780" s="2"/>
      <c r="L780" s="2"/>
      <c r="M780" s="2"/>
    </row>
    <row r="781" ht="15.75" customHeight="1">
      <c r="B781" s="2"/>
      <c r="C781" s="2"/>
      <c r="D781" s="2"/>
      <c r="E781" s="2"/>
      <c r="L781" s="2"/>
      <c r="M781" s="2"/>
    </row>
    <row r="782" ht="15.75" customHeight="1">
      <c r="B782" s="2"/>
      <c r="C782" s="2"/>
      <c r="D782" s="2"/>
      <c r="E782" s="2"/>
      <c r="L782" s="2"/>
      <c r="M782" s="2"/>
    </row>
    <row r="783" ht="15.75" customHeight="1">
      <c r="B783" s="2"/>
      <c r="C783" s="2"/>
      <c r="D783" s="2"/>
      <c r="E783" s="2"/>
      <c r="L783" s="2"/>
      <c r="M783" s="2"/>
    </row>
    <row r="784" ht="15.75" customHeight="1">
      <c r="B784" s="2"/>
      <c r="C784" s="2"/>
      <c r="D784" s="2"/>
      <c r="E784" s="2"/>
      <c r="L784" s="2"/>
      <c r="M784" s="2"/>
    </row>
    <row r="785" ht="15.75" customHeight="1">
      <c r="B785" s="2"/>
      <c r="C785" s="2"/>
      <c r="D785" s="2"/>
      <c r="E785" s="2"/>
      <c r="L785" s="2"/>
      <c r="M785" s="2"/>
    </row>
    <row r="786" ht="15.75" customHeight="1">
      <c r="B786" s="2"/>
      <c r="C786" s="2"/>
      <c r="D786" s="2"/>
      <c r="E786" s="2"/>
      <c r="L786" s="2"/>
      <c r="M786" s="2"/>
    </row>
    <row r="787" ht="15.75" customHeight="1">
      <c r="B787" s="2"/>
      <c r="C787" s="2"/>
      <c r="D787" s="2"/>
      <c r="E787" s="2"/>
      <c r="L787" s="2"/>
      <c r="M787" s="2"/>
    </row>
    <row r="788" ht="15.75" customHeight="1">
      <c r="B788" s="2"/>
      <c r="C788" s="2"/>
      <c r="D788" s="2"/>
      <c r="E788" s="2"/>
      <c r="L788" s="2"/>
      <c r="M788" s="2"/>
    </row>
    <row r="789" ht="15.75" customHeight="1">
      <c r="B789" s="2"/>
      <c r="C789" s="2"/>
      <c r="D789" s="2"/>
      <c r="E789" s="2"/>
      <c r="L789" s="2"/>
      <c r="M789" s="2"/>
    </row>
    <row r="790" ht="15.75" customHeight="1">
      <c r="B790" s="2"/>
      <c r="C790" s="2"/>
      <c r="D790" s="2"/>
      <c r="E790" s="2"/>
      <c r="L790" s="2"/>
      <c r="M790" s="2"/>
    </row>
    <row r="791" ht="15.75" customHeight="1">
      <c r="B791" s="2"/>
      <c r="C791" s="2"/>
      <c r="D791" s="2"/>
      <c r="E791" s="2"/>
      <c r="L791" s="2"/>
      <c r="M791" s="2"/>
    </row>
    <row r="792" ht="15.75" customHeight="1">
      <c r="B792" s="2"/>
      <c r="C792" s="2"/>
      <c r="D792" s="2"/>
      <c r="E792" s="2"/>
      <c r="L792" s="2"/>
      <c r="M792" s="2"/>
    </row>
    <row r="793" ht="15.75" customHeight="1">
      <c r="B793" s="2"/>
      <c r="C793" s="2"/>
      <c r="D793" s="2"/>
      <c r="E793" s="2"/>
      <c r="L793" s="2"/>
      <c r="M793" s="2"/>
    </row>
    <row r="794" ht="15.75" customHeight="1">
      <c r="B794" s="2"/>
      <c r="C794" s="2"/>
      <c r="D794" s="2"/>
      <c r="E794" s="2"/>
      <c r="L794" s="2"/>
      <c r="M794" s="2"/>
    </row>
    <row r="795" ht="15.75" customHeight="1">
      <c r="B795" s="2"/>
      <c r="C795" s="2"/>
      <c r="D795" s="2"/>
      <c r="E795" s="2"/>
      <c r="L795" s="2"/>
      <c r="M795" s="2"/>
    </row>
    <row r="796" ht="15.75" customHeight="1">
      <c r="B796" s="2"/>
      <c r="C796" s="2"/>
      <c r="D796" s="2"/>
      <c r="E796" s="2"/>
      <c r="L796" s="2"/>
      <c r="M796" s="2"/>
    </row>
    <row r="797" ht="15.75" customHeight="1">
      <c r="B797" s="2"/>
      <c r="C797" s="2"/>
      <c r="D797" s="2"/>
      <c r="E797" s="2"/>
      <c r="L797" s="2"/>
      <c r="M797" s="2"/>
    </row>
    <row r="798" ht="15.75" customHeight="1">
      <c r="B798" s="2"/>
      <c r="C798" s="2"/>
      <c r="D798" s="2"/>
      <c r="E798" s="2"/>
      <c r="L798" s="2"/>
      <c r="M798" s="2"/>
    </row>
    <row r="799" ht="15.75" customHeight="1">
      <c r="B799" s="2"/>
      <c r="C799" s="2"/>
      <c r="D799" s="2"/>
      <c r="E799" s="2"/>
      <c r="L799" s="2"/>
      <c r="M799" s="2"/>
    </row>
    <row r="800" ht="15.75" customHeight="1">
      <c r="B800" s="2"/>
      <c r="C800" s="2"/>
      <c r="D800" s="2"/>
      <c r="E800" s="2"/>
      <c r="L800" s="2"/>
      <c r="M800" s="2"/>
    </row>
    <row r="801" ht="15.75" customHeight="1">
      <c r="B801" s="2"/>
      <c r="C801" s="2"/>
      <c r="D801" s="2"/>
      <c r="E801" s="2"/>
      <c r="L801" s="2"/>
      <c r="M801" s="2"/>
    </row>
    <row r="802" ht="15.75" customHeight="1">
      <c r="B802" s="2"/>
      <c r="C802" s="2"/>
      <c r="D802" s="2"/>
      <c r="E802" s="2"/>
      <c r="L802" s="2"/>
      <c r="M802" s="2"/>
    </row>
    <row r="803" ht="15.75" customHeight="1">
      <c r="B803" s="2"/>
      <c r="C803" s="2"/>
      <c r="D803" s="2"/>
      <c r="E803" s="2"/>
      <c r="L803" s="2"/>
      <c r="M803" s="2"/>
    </row>
    <row r="804" ht="15.75" customHeight="1">
      <c r="B804" s="2"/>
      <c r="C804" s="2"/>
      <c r="D804" s="2"/>
      <c r="E804" s="2"/>
      <c r="L804" s="2"/>
      <c r="M804" s="2"/>
    </row>
    <row r="805" ht="15.75" customHeight="1">
      <c r="B805" s="2"/>
      <c r="C805" s="2"/>
      <c r="D805" s="2"/>
      <c r="E805" s="2"/>
      <c r="L805" s="2"/>
      <c r="M805" s="2"/>
    </row>
    <row r="806" ht="15.75" customHeight="1">
      <c r="B806" s="2"/>
      <c r="C806" s="2"/>
      <c r="D806" s="2"/>
      <c r="E806" s="2"/>
      <c r="L806" s="2"/>
      <c r="M806" s="2"/>
    </row>
    <row r="807" ht="15.75" customHeight="1">
      <c r="B807" s="2"/>
      <c r="C807" s="2"/>
      <c r="D807" s="2"/>
      <c r="E807" s="2"/>
      <c r="L807" s="2"/>
      <c r="M807" s="2"/>
    </row>
    <row r="808" ht="15.75" customHeight="1">
      <c r="B808" s="2"/>
      <c r="C808" s="2"/>
      <c r="D808" s="2"/>
      <c r="E808" s="2"/>
      <c r="L808" s="2"/>
      <c r="M808" s="2"/>
    </row>
    <row r="809" ht="15.75" customHeight="1">
      <c r="B809" s="2"/>
      <c r="C809" s="2"/>
      <c r="D809" s="2"/>
      <c r="E809" s="2"/>
      <c r="L809" s="2"/>
      <c r="M809" s="2"/>
    </row>
    <row r="810" ht="15.75" customHeight="1">
      <c r="B810" s="2"/>
      <c r="C810" s="2"/>
      <c r="D810" s="2"/>
      <c r="E810" s="2"/>
      <c r="L810" s="2"/>
      <c r="M810" s="2"/>
    </row>
    <row r="811" ht="15.75" customHeight="1">
      <c r="B811" s="2"/>
      <c r="C811" s="2"/>
      <c r="D811" s="2"/>
      <c r="E811" s="2"/>
      <c r="L811" s="2"/>
      <c r="M811" s="2"/>
    </row>
    <row r="812" ht="15.75" customHeight="1">
      <c r="B812" s="2"/>
      <c r="C812" s="2"/>
      <c r="D812" s="2"/>
      <c r="E812" s="2"/>
      <c r="L812" s="2"/>
      <c r="M812" s="2"/>
    </row>
    <row r="813" ht="15.75" customHeight="1">
      <c r="B813" s="2"/>
      <c r="C813" s="2"/>
      <c r="D813" s="2"/>
      <c r="E813" s="2"/>
      <c r="L813" s="2"/>
      <c r="M813" s="2"/>
    </row>
    <row r="814" ht="15.75" customHeight="1">
      <c r="B814" s="2"/>
      <c r="C814" s="2"/>
      <c r="D814" s="2"/>
      <c r="E814" s="2"/>
      <c r="L814" s="2"/>
      <c r="M814" s="2"/>
    </row>
    <row r="815" ht="15.75" customHeight="1">
      <c r="B815" s="2"/>
      <c r="C815" s="2"/>
      <c r="D815" s="2"/>
      <c r="E815" s="2"/>
      <c r="L815" s="2"/>
      <c r="M815" s="2"/>
    </row>
    <row r="816" ht="15.75" customHeight="1">
      <c r="B816" s="2"/>
      <c r="C816" s="2"/>
      <c r="D816" s="2"/>
      <c r="E816" s="2"/>
      <c r="L816" s="2"/>
      <c r="M816" s="2"/>
    </row>
    <row r="817" ht="15.75" customHeight="1">
      <c r="B817" s="2"/>
      <c r="C817" s="2"/>
      <c r="D817" s="2"/>
      <c r="E817" s="2"/>
      <c r="L817" s="2"/>
      <c r="M817" s="2"/>
    </row>
    <row r="818" ht="15.75" customHeight="1">
      <c r="B818" s="2"/>
      <c r="C818" s="2"/>
      <c r="D818" s="2"/>
      <c r="E818" s="2"/>
      <c r="L818" s="2"/>
      <c r="M818" s="2"/>
    </row>
    <row r="819" ht="15.75" customHeight="1">
      <c r="B819" s="2"/>
      <c r="C819" s="2"/>
      <c r="D819" s="2"/>
      <c r="E819" s="2"/>
      <c r="L819" s="2"/>
      <c r="M819" s="2"/>
    </row>
    <row r="820" ht="15.75" customHeight="1">
      <c r="B820" s="2"/>
      <c r="C820" s="2"/>
      <c r="D820" s="2"/>
      <c r="E820" s="2"/>
      <c r="L820" s="2"/>
      <c r="M820" s="2"/>
    </row>
    <row r="821" ht="15.75" customHeight="1">
      <c r="B821" s="2"/>
      <c r="C821" s="2"/>
      <c r="D821" s="2"/>
      <c r="E821" s="2"/>
      <c r="L821" s="2"/>
      <c r="M821" s="2"/>
    </row>
    <row r="822" ht="15.75" customHeight="1">
      <c r="B822" s="2"/>
      <c r="C822" s="2"/>
      <c r="D822" s="2"/>
      <c r="E822" s="2"/>
      <c r="L822" s="2"/>
      <c r="M822" s="2"/>
    </row>
    <row r="823" ht="15.75" customHeight="1">
      <c r="B823" s="2"/>
      <c r="C823" s="2"/>
      <c r="D823" s="2"/>
      <c r="E823" s="2"/>
      <c r="L823" s="2"/>
      <c r="M823" s="2"/>
    </row>
    <row r="824" ht="15.75" customHeight="1">
      <c r="B824" s="2"/>
      <c r="C824" s="2"/>
      <c r="D824" s="2"/>
      <c r="E824" s="2"/>
      <c r="L824" s="2"/>
      <c r="M824" s="2"/>
    </row>
    <row r="825" ht="15.75" customHeight="1">
      <c r="B825" s="2"/>
      <c r="C825" s="2"/>
      <c r="D825" s="2"/>
      <c r="E825" s="2"/>
      <c r="L825" s="2"/>
      <c r="M825" s="2"/>
    </row>
    <row r="826" ht="15.75" customHeight="1">
      <c r="B826" s="2"/>
      <c r="C826" s="2"/>
      <c r="D826" s="2"/>
      <c r="E826" s="2"/>
      <c r="L826" s="2"/>
      <c r="M826" s="2"/>
    </row>
    <row r="827" ht="15.75" customHeight="1">
      <c r="B827" s="2"/>
      <c r="C827" s="2"/>
      <c r="D827" s="2"/>
      <c r="E827" s="2"/>
      <c r="L827" s="2"/>
      <c r="M827" s="2"/>
    </row>
    <row r="828" ht="15.75" customHeight="1">
      <c r="B828" s="2"/>
      <c r="C828" s="2"/>
      <c r="D828" s="2"/>
      <c r="E828" s="2"/>
      <c r="L828" s="2"/>
      <c r="M828" s="2"/>
    </row>
    <row r="829" ht="15.75" customHeight="1">
      <c r="B829" s="2"/>
      <c r="C829" s="2"/>
      <c r="D829" s="2"/>
      <c r="E829" s="2"/>
      <c r="L829" s="2"/>
      <c r="M829" s="2"/>
    </row>
    <row r="830" ht="15.75" customHeight="1">
      <c r="B830" s="2"/>
      <c r="C830" s="2"/>
      <c r="D830" s="2"/>
      <c r="E830" s="2"/>
      <c r="L830" s="2"/>
      <c r="M830" s="2"/>
    </row>
    <row r="831" ht="15.75" customHeight="1">
      <c r="B831" s="2"/>
      <c r="C831" s="2"/>
      <c r="D831" s="2"/>
      <c r="E831" s="2"/>
      <c r="L831" s="2"/>
      <c r="M831" s="2"/>
    </row>
    <row r="832" ht="15.75" customHeight="1">
      <c r="B832" s="2"/>
      <c r="C832" s="2"/>
      <c r="D832" s="2"/>
      <c r="E832" s="2"/>
      <c r="L832" s="2"/>
      <c r="M832" s="2"/>
    </row>
    <row r="833" ht="15.75" customHeight="1">
      <c r="B833" s="2"/>
      <c r="C833" s="2"/>
      <c r="D833" s="2"/>
      <c r="E833" s="2"/>
      <c r="L833" s="2"/>
      <c r="M833" s="2"/>
    </row>
    <row r="834" ht="15.75" customHeight="1">
      <c r="B834" s="2"/>
      <c r="C834" s="2"/>
      <c r="D834" s="2"/>
      <c r="E834" s="2"/>
      <c r="L834" s="2"/>
      <c r="M834" s="2"/>
    </row>
    <row r="835" ht="15.75" customHeight="1">
      <c r="B835" s="2"/>
      <c r="C835" s="2"/>
      <c r="D835" s="2"/>
      <c r="E835" s="2"/>
      <c r="L835" s="2"/>
      <c r="M835" s="2"/>
    </row>
    <row r="836" ht="15.75" customHeight="1">
      <c r="B836" s="2"/>
      <c r="C836" s="2"/>
      <c r="D836" s="2"/>
      <c r="E836" s="2"/>
      <c r="L836" s="2"/>
      <c r="M836" s="2"/>
    </row>
    <row r="837" ht="15.75" customHeight="1">
      <c r="B837" s="2"/>
      <c r="C837" s="2"/>
      <c r="D837" s="2"/>
      <c r="E837" s="2"/>
      <c r="L837" s="2"/>
      <c r="M837" s="2"/>
    </row>
    <row r="838" ht="15.75" customHeight="1">
      <c r="B838" s="2"/>
      <c r="C838" s="2"/>
      <c r="D838" s="2"/>
      <c r="E838" s="2"/>
      <c r="L838" s="2"/>
      <c r="M838" s="2"/>
    </row>
    <row r="839" ht="15.75" customHeight="1">
      <c r="B839" s="2"/>
      <c r="C839" s="2"/>
      <c r="D839" s="2"/>
      <c r="E839" s="2"/>
      <c r="L839" s="2"/>
      <c r="M839" s="2"/>
    </row>
    <row r="840" ht="15.75" customHeight="1">
      <c r="B840" s="2"/>
      <c r="C840" s="2"/>
      <c r="D840" s="2"/>
      <c r="E840" s="2"/>
      <c r="L840" s="2"/>
      <c r="M840" s="2"/>
    </row>
    <row r="841" ht="15.75" customHeight="1">
      <c r="B841" s="2"/>
      <c r="C841" s="2"/>
      <c r="D841" s="2"/>
      <c r="E841" s="2"/>
      <c r="L841" s="2"/>
      <c r="M841" s="2"/>
    </row>
    <row r="842" ht="15.75" customHeight="1">
      <c r="B842" s="2"/>
      <c r="C842" s="2"/>
      <c r="D842" s="2"/>
      <c r="E842" s="2"/>
      <c r="L842" s="2"/>
      <c r="M842" s="2"/>
    </row>
    <row r="843" ht="15.75" customHeight="1">
      <c r="B843" s="2"/>
      <c r="C843" s="2"/>
      <c r="D843" s="2"/>
      <c r="E843" s="2"/>
      <c r="L843" s="2"/>
      <c r="M843" s="2"/>
    </row>
    <row r="844" ht="15.75" customHeight="1">
      <c r="B844" s="2"/>
      <c r="C844" s="2"/>
      <c r="D844" s="2"/>
      <c r="E844" s="2"/>
      <c r="L844" s="2"/>
      <c r="M844" s="2"/>
    </row>
    <row r="845" ht="15.75" customHeight="1">
      <c r="B845" s="2"/>
      <c r="C845" s="2"/>
      <c r="D845" s="2"/>
      <c r="E845" s="2"/>
      <c r="L845" s="2"/>
      <c r="M845" s="2"/>
    </row>
    <row r="846" ht="15.75" customHeight="1">
      <c r="B846" s="2"/>
      <c r="C846" s="2"/>
      <c r="D846" s="2"/>
      <c r="E846" s="2"/>
      <c r="L846" s="2"/>
      <c r="M846" s="2"/>
    </row>
    <row r="847" ht="15.75" customHeight="1">
      <c r="B847" s="2"/>
      <c r="C847" s="2"/>
      <c r="D847" s="2"/>
      <c r="E847" s="2"/>
      <c r="L847" s="2"/>
      <c r="M847" s="2"/>
    </row>
    <row r="848" ht="15.75" customHeight="1">
      <c r="B848" s="2"/>
      <c r="C848" s="2"/>
      <c r="D848" s="2"/>
      <c r="E848" s="2"/>
      <c r="L848" s="2"/>
      <c r="M848" s="2"/>
    </row>
    <row r="849" ht="15.75" customHeight="1">
      <c r="B849" s="2"/>
      <c r="C849" s="2"/>
      <c r="D849" s="2"/>
      <c r="E849" s="2"/>
      <c r="L849" s="2"/>
      <c r="M849" s="2"/>
    </row>
    <row r="850" ht="15.75" customHeight="1">
      <c r="B850" s="2"/>
      <c r="C850" s="2"/>
      <c r="D850" s="2"/>
      <c r="E850" s="2"/>
      <c r="L850" s="2"/>
      <c r="M850" s="2"/>
    </row>
    <row r="851" ht="15.75" customHeight="1">
      <c r="B851" s="2"/>
      <c r="C851" s="2"/>
      <c r="D851" s="2"/>
      <c r="E851" s="2"/>
      <c r="L851" s="2"/>
      <c r="M851" s="2"/>
    </row>
    <row r="852" ht="15.75" customHeight="1">
      <c r="B852" s="2"/>
      <c r="C852" s="2"/>
      <c r="D852" s="2"/>
      <c r="E852" s="2"/>
      <c r="L852" s="2"/>
      <c r="M852" s="2"/>
    </row>
    <row r="853" ht="15.75" customHeight="1">
      <c r="B853" s="2"/>
      <c r="C853" s="2"/>
      <c r="D853" s="2"/>
      <c r="E853" s="2"/>
      <c r="L853" s="2"/>
      <c r="M853" s="2"/>
    </row>
    <row r="854" ht="15.75" customHeight="1">
      <c r="B854" s="2"/>
      <c r="C854" s="2"/>
      <c r="D854" s="2"/>
      <c r="E854" s="2"/>
      <c r="L854" s="2"/>
      <c r="M854" s="2"/>
    </row>
    <row r="855" ht="15.75" customHeight="1">
      <c r="B855" s="2"/>
      <c r="C855" s="2"/>
      <c r="D855" s="2"/>
      <c r="E855" s="2"/>
      <c r="L855" s="2"/>
      <c r="M855" s="2"/>
    </row>
    <row r="856" ht="15.75" customHeight="1">
      <c r="B856" s="2"/>
      <c r="C856" s="2"/>
      <c r="D856" s="2"/>
      <c r="E856" s="2"/>
      <c r="L856" s="2"/>
      <c r="M856" s="2"/>
    </row>
    <row r="857" ht="15.75" customHeight="1">
      <c r="B857" s="2"/>
      <c r="C857" s="2"/>
      <c r="D857" s="2"/>
      <c r="E857" s="2"/>
      <c r="L857" s="2"/>
      <c r="M857" s="2"/>
    </row>
    <row r="858" ht="15.75" customHeight="1">
      <c r="B858" s="2"/>
      <c r="C858" s="2"/>
      <c r="D858" s="2"/>
      <c r="E858" s="2"/>
      <c r="L858" s="2"/>
      <c r="M858" s="2"/>
    </row>
    <row r="859" ht="15.75" customHeight="1">
      <c r="B859" s="2"/>
      <c r="C859" s="2"/>
      <c r="D859" s="2"/>
      <c r="E859" s="2"/>
      <c r="L859" s="2"/>
      <c r="M859" s="2"/>
    </row>
    <row r="860" ht="15.75" customHeight="1">
      <c r="B860" s="2"/>
      <c r="C860" s="2"/>
      <c r="D860" s="2"/>
      <c r="E860" s="2"/>
      <c r="L860" s="2"/>
      <c r="M860" s="2"/>
    </row>
    <row r="861" ht="15.75" customHeight="1">
      <c r="B861" s="2"/>
      <c r="C861" s="2"/>
      <c r="D861" s="2"/>
      <c r="E861" s="2"/>
      <c r="L861" s="2"/>
      <c r="M861" s="2"/>
    </row>
    <row r="862" ht="15.75" customHeight="1">
      <c r="B862" s="2"/>
      <c r="C862" s="2"/>
      <c r="D862" s="2"/>
      <c r="E862" s="2"/>
      <c r="L862" s="2"/>
      <c r="M862" s="2"/>
    </row>
    <row r="863" ht="15.75" customHeight="1">
      <c r="B863" s="2"/>
      <c r="C863" s="2"/>
      <c r="D863" s="2"/>
      <c r="E863" s="2"/>
      <c r="L863" s="2"/>
      <c r="M863" s="2"/>
    </row>
    <row r="864" ht="15.75" customHeight="1">
      <c r="B864" s="2"/>
      <c r="C864" s="2"/>
      <c r="D864" s="2"/>
      <c r="E864" s="2"/>
      <c r="L864" s="2"/>
      <c r="M864" s="2"/>
    </row>
    <row r="865" ht="15.75" customHeight="1">
      <c r="B865" s="2"/>
      <c r="C865" s="2"/>
      <c r="D865" s="2"/>
      <c r="E865" s="2"/>
      <c r="L865" s="2"/>
      <c r="M865" s="2"/>
    </row>
    <row r="866" ht="15.75" customHeight="1">
      <c r="B866" s="2"/>
      <c r="C866" s="2"/>
      <c r="D866" s="2"/>
      <c r="E866" s="2"/>
      <c r="L866" s="2"/>
      <c r="M866" s="2"/>
    </row>
    <row r="867" ht="15.75" customHeight="1">
      <c r="B867" s="2"/>
      <c r="C867" s="2"/>
      <c r="D867" s="2"/>
      <c r="E867" s="2"/>
      <c r="L867" s="2"/>
      <c r="M867" s="2"/>
    </row>
    <row r="868" ht="15.75" customHeight="1">
      <c r="B868" s="2"/>
      <c r="C868" s="2"/>
      <c r="D868" s="2"/>
      <c r="E868" s="2"/>
      <c r="L868" s="2"/>
      <c r="M868" s="2"/>
    </row>
    <row r="869" ht="15.75" customHeight="1">
      <c r="B869" s="2"/>
      <c r="C869" s="2"/>
      <c r="D869" s="2"/>
      <c r="E869" s="2"/>
      <c r="L869" s="2"/>
      <c r="M869" s="2"/>
    </row>
    <row r="870" ht="15.75" customHeight="1">
      <c r="B870" s="2"/>
      <c r="C870" s="2"/>
      <c r="D870" s="2"/>
      <c r="E870" s="2"/>
      <c r="L870" s="2"/>
      <c r="M870" s="2"/>
    </row>
    <row r="871" ht="15.75" customHeight="1">
      <c r="B871" s="2"/>
      <c r="C871" s="2"/>
      <c r="D871" s="2"/>
      <c r="E871" s="2"/>
      <c r="L871" s="2"/>
      <c r="M871" s="2"/>
    </row>
    <row r="872" ht="15.75" customHeight="1">
      <c r="B872" s="2"/>
      <c r="C872" s="2"/>
      <c r="D872" s="2"/>
      <c r="E872" s="2"/>
      <c r="L872" s="2"/>
      <c r="M872" s="2"/>
    </row>
    <row r="873" ht="15.75" customHeight="1">
      <c r="B873" s="2"/>
      <c r="C873" s="2"/>
      <c r="D873" s="2"/>
      <c r="E873" s="2"/>
      <c r="L873" s="2"/>
      <c r="M873" s="2"/>
    </row>
    <row r="874" ht="15.75" customHeight="1">
      <c r="B874" s="2"/>
      <c r="C874" s="2"/>
      <c r="D874" s="2"/>
      <c r="E874" s="2"/>
      <c r="L874" s="2"/>
      <c r="M874" s="2"/>
    </row>
    <row r="875" ht="15.75" customHeight="1">
      <c r="B875" s="2"/>
      <c r="C875" s="2"/>
      <c r="D875" s="2"/>
      <c r="E875" s="2"/>
      <c r="L875" s="2"/>
      <c r="M875" s="2"/>
    </row>
    <row r="876" ht="15.75" customHeight="1">
      <c r="B876" s="2"/>
      <c r="C876" s="2"/>
      <c r="D876" s="2"/>
      <c r="E876" s="2"/>
      <c r="L876" s="2"/>
      <c r="M876" s="2"/>
    </row>
    <row r="877" ht="15.75" customHeight="1">
      <c r="B877" s="2"/>
      <c r="C877" s="2"/>
      <c r="D877" s="2"/>
      <c r="E877" s="2"/>
      <c r="L877" s="2"/>
      <c r="M877" s="2"/>
    </row>
    <row r="878" ht="15.75" customHeight="1">
      <c r="B878" s="2"/>
      <c r="C878" s="2"/>
      <c r="D878" s="2"/>
      <c r="E878" s="2"/>
      <c r="L878" s="2"/>
      <c r="M878" s="2"/>
    </row>
    <row r="879" ht="15.75" customHeight="1">
      <c r="B879" s="2"/>
      <c r="C879" s="2"/>
      <c r="D879" s="2"/>
      <c r="E879" s="2"/>
      <c r="L879" s="2"/>
      <c r="M879" s="2"/>
    </row>
    <row r="880" ht="15.75" customHeight="1">
      <c r="B880" s="2"/>
      <c r="C880" s="2"/>
      <c r="D880" s="2"/>
      <c r="E880" s="2"/>
      <c r="L880" s="2"/>
      <c r="M880" s="2"/>
    </row>
    <row r="881" ht="15.75" customHeight="1">
      <c r="B881" s="2"/>
      <c r="C881" s="2"/>
      <c r="D881" s="2"/>
      <c r="E881" s="2"/>
      <c r="L881" s="2"/>
      <c r="M881" s="2"/>
    </row>
    <row r="882" ht="15.75" customHeight="1">
      <c r="B882" s="2"/>
      <c r="C882" s="2"/>
      <c r="D882" s="2"/>
      <c r="E882" s="2"/>
      <c r="L882" s="2"/>
      <c r="M882" s="2"/>
    </row>
    <row r="883" ht="15.75" customHeight="1">
      <c r="B883" s="2"/>
      <c r="C883" s="2"/>
      <c r="D883" s="2"/>
      <c r="E883" s="2"/>
      <c r="L883" s="2"/>
      <c r="M883" s="2"/>
    </row>
    <row r="884" ht="15.75" customHeight="1">
      <c r="B884" s="2"/>
      <c r="C884" s="2"/>
      <c r="D884" s="2"/>
      <c r="E884" s="2"/>
      <c r="L884" s="2"/>
      <c r="M884" s="2"/>
    </row>
    <row r="885" ht="15.75" customHeight="1">
      <c r="B885" s="2"/>
      <c r="C885" s="2"/>
      <c r="D885" s="2"/>
      <c r="E885" s="2"/>
      <c r="L885" s="2"/>
      <c r="M885" s="2"/>
    </row>
    <row r="886" ht="15.75" customHeight="1">
      <c r="B886" s="2"/>
      <c r="C886" s="2"/>
      <c r="D886" s="2"/>
      <c r="E886" s="2"/>
      <c r="L886" s="2"/>
      <c r="M886" s="2"/>
    </row>
    <row r="887" ht="15.75" customHeight="1">
      <c r="B887" s="2"/>
      <c r="C887" s="2"/>
      <c r="D887" s="2"/>
      <c r="E887" s="2"/>
      <c r="L887" s="2"/>
      <c r="M887" s="2"/>
    </row>
    <row r="888" ht="15.75" customHeight="1">
      <c r="B888" s="2"/>
      <c r="C888" s="2"/>
      <c r="D888" s="2"/>
      <c r="E888" s="2"/>
      <c r="L888" s="2"/>
      <c r="M888" s="2"/>
    </row>
    <row r="889" ht="15.75" customHeight="1">
      <c r="B889" s="2"/>
      <c r="C889" s="2"/>
      <c r="D889" s="2"/>
      <c r="E889" s="2"/>
      <c r="L889" s="2"/>
      <c r="M889" s="2"/>
    </row>
    <row r="890" ht="15.75" customHeight="1">
      <c r="B890" s="2"/>
      <c r="C890" s="2"/>
      <c r="D890" s="2"/>
      <c r="E890" s="2"/>
      <c r="L890" s="2"/>
      <c r="M890" s="2"/>
    </row>
    <row r="891" ht="15.75" customHeight="1">
      <c r="B891" s="2"/>
      <c r="C891" s="2"/>
      <c r="D891" s="2"/>
      <c r="E891" s="2"/>
      <c r="L891" s="2"/>
      <c r="M891" s="2"/>
    </row>
    <row r="892" ht="15.75" customHeight="1">
      <c r="B892" s="2"/>
      <c r="C892" s="2"/>
      <c r="D892" s="2"/>
      <c r="E892" s="2"/>
      <c r="L892" s="2"/>
      <c r="M892" s="2"/>
    </row>
    <row r="893" ht="15.75" customHeight="1">
      <c r="B893" s="2"/>
      <c r="C893" s="2"/>
      <c r="D893" s="2"/>
      <c r="E893" s="2"/>
      <c r="L893" s="2"/>
      <c r="M893" s="2"/>
    </row>
    <row r="894" ht="15.75" customHeight="1">
      <c r="B894" s="2"/>
      <c r="C894" s="2"/>
      <c r="D894" s="2"/>
      <c r="E894" s="2"/>
      <c r="L894" s="2"/>
      <c r="M894" s="2"/>
    </row>
    <row r="895" ht="15.75" customHeight="1">
      <c r="B895" s="2"/>
      <c r="C895" s="2"/>
      <c r="D895" s="2"/>
      <c r="E895" s="2"/>
      <c r="L895" s="2"/>
      <c r="M895" s="2"/>
    </row>
    <row r="896" ht="15.75" customHeight="1">
      <c r="B896" s="2"/>
      <c r="C896" s="2"/>
      <c r="D896" s="2"/>
      <c r="E896" s="2"/>
      <c r="L896" s="2"/>
      <c r="M896" s="2"/>
    </row>
    <row r="897" ht="15.75" customHeight="1">
      <c r="B897" s="2"/>
      <c r="C897" s="2"/>
      <c r="D897" s="2"/>
      <c r="E897" s="2"/>
      <c r="L897" s="2"/>
      <c r="M897" s="2"/>
    </row>
    <row r="898" ht="15.75" customHeight="1">
      <c r="B898" s="2"/>
      <c r="C898" s="2"/>
      <c r="D898" s="2"/>
      <c r="E898" s="2"/>
      <c r="L898" s="2"/>
      <c r="M898" s="2"/>
    </row>
    <row r="899" ht="15.75" customHeight="1">
      <c r="B899" s="2"/>
      <c r="C899" s="2"/>
      <c r="D899" s="2"/>
      <c r="E899" s="2"/>
      <c r="L899" s="2"/>
      <c r="M899" s="2"/>
    </row>
    <row r="900" ht="15.75" customHeight="1">
      <c r="B900" s="2"/>
      <c r="C900" s="2"/>
      <c r="D900" s="2"/>
      <c r="E900" s="2"/>
      <c r="L900" s="2"/>
      <c r="M900" s="2"/>
    </row>
    <row r="901" ht="15.75" customHeight="1">
      <c r="B901" s="2"/>
      <c r="C901" s="2"/>
      <c r="D901" s="2"/>
      <c r="E901" s="2"/>
      <c r="L901" s="2"/>
      <c r="M901" s="2"/>
    </row>
    <row r="902" ht="15.75" customHeight="1">
      <c r="B902" s="2"/>
      <c r="C902" s="2"/>
      <c r="D902" s="2"/>
      <c r="E902" s="2"/>
      <c r="L902" s="2"/>
      <c r="M902" s="2"/>
    </row>
    <row r="903" ht="15.75" customHeight="1">
      <c r="B903" s="2"/>
      <c r="C903" s="2"/>
      <c r="D903" s="2"/>
      <c r="E903" s="2"/>
      <c r="L903" s="2"/>
      <c r="M903" s="2"/>
    </row>
    <row r="904" ht="15.75" customHeight="1">
      <c r="B904" s="2"/>
      <c r="C904" s="2"/>
      <c r="D904" s="2"/>
      <c r="E904" s="2"/>
      <c r="L904" s="2"/>
      <c r="M904" s="2"/>
    </row>
    <row r="905" ht="15.75" customHeight="1">
      <c r="B905" s="2"/>
      <c r="C905" s="2"/>
      <c r="D905" s="2"/>
      <c r="E905" s="2"/>
      <c r="L905" s="2"/>
      <c r="M905" s="2"/>
    </row>
    <row r="906" ht="15.75" customHeight="1">
      <c r="B906" s="2"/>
      <c r="C906" s="2"/>
      <c r="D906" s="2"/>
      <c r="E906" s="2"/>
      <c r="L906" s="2"/>
      <c r="M906" s="2"/>
    </row>
    <row r="907" ht="15.75" customHeight="1">
      <c r="B907" s="2"/>
      <c r="C907" s="2"/>
      <c r="D907" s="2"/>
      <c r="E907" s="2"/>
      <c r="L907" s="2"/>
      <c r="M907" s="2"/>
    </row>
    <row r="908" ht="15.75" customHeight="1">
      <c r="B908" s="2"/>
      <c r="C908" s="2"/>
      <c r="D908" s="2"/>
      <c r="E908" s="2"/>
      <c r="L908" s="2"/>
      <c r="M908" s="2"/>
    </row>
    <row r="909" ht="15.75" customHeight="1">
      <c r="B909" s="2"/>
      <c r="C909" s="2"/>
      <c r="D909" s="2"/>
      <c r="E909" s="2"/>
      <c r="L909" s="2"/>
      <c r="M909" s="2"/>
    </row>
    <row r="910" ht="15.75" customHeight="1">
      <c r="B910" s="2"/>
      <c r="C910" s="2"/>
      <c r="D910" s="2"/>
      <c r="E910" s="2"/>
      <c r="L910" s="2"/>
      <c r="M910" s="2"/>
    </row>
    <row r="911" ht="15.75" customHeight="1">
      <c r="B911" s="2"/>
      <c r="C911" s="2"/>
      <c r="D911" s="2"/>
      <c r="E911" s="2"/>
      <c r="L911" s="2"/>
      <c r="M911" s="2"/>
    </row>
    <row r="912" ht="15.75" customHeight="1">
      <c r="B912" s="2"/>
      <c r="C912" s="2"/>
      <c r="D912" s="2"/>
      <c r="E912" s="2"/>
      <c r="L912" s="2"/>
      <c r="M912" s="2"/>
    </row>
    <row r="913" ht="15.75" customHeight="1">
      <c r="B913" s="2"/>
      <c r="C913" s="2"/>
      <c r="D913" s="2"/>
      <c r="E913" s="2"/>
      <c r="L913" s="2"/>
      <c r="M913" s="2"/>
    </row>
    <row r="914" ht="15.75" customHeight="1">
      <c r="B914" s="2"/>
      <c r="C914" s="2"/>
      <c r="D914" s="2"/>
      <c r="E914" s="2"/>
      <c r="L914" s="2"/>
      <c r="M914" s="2"/>
    </row>
    <row r="915" ht="15.75" customHeight="1">
      <c r="B915" s="2"/>
      <c r="C915" s="2"/>
      <c r="D915" s="2"/>
      <c r="E915" s="2"/>
      <c r="L915" s="2"/>
      <c r="M915" s="2"/>
    </row>
    <row r="916" ht="15.75" customHeight="1">
      <c r="B916" s="2"/>
      <c r="C916" s="2"/>
      <c r="D916" s="2"/>
      <c r="E916" s="2"/>
      <c r="L916" s="2"/>
      <c r="M916" s="2"/>
    </row>
    <row r="917" ht="15.75" customHeight="1">
      <c r="B917" s="2"/>
      <c r="C917" s="2"/>
      <c r="D917" s="2"/>
      <c r="E917" s="2"/>
      <c r="L917" s="2"/>
      <c r="M917" s="2"/>
    </row>
    <row r="918" ht="15.75" customHeight="1">
      <c r="B918" s="2"/>
      <c r="C918" s="2"/>
      <c r="D918" s="2"/>
      <c r="E918" s="2"/>
      <c r="L918" s="2"/>
      <c r="M918" s="2"/>
    </row>
    <row r="919" ht="15.75" customHeight="1">
      <c r="B919" s="2"/>
      <c r="C919" s="2"/>
      <c r="D919" s="2"/>
      <c r="E919" s="2"/>
      <c r="L919" s="2"/>
      <c r="M919" s="2"/>
    </row>
    <row r="920" ht="15.75" customHeight="1">
      <c r="B920" s="2"/>
      <c r="C920" s="2"/>
      <c r="D920" s="2"/>
      <c r="E920" s="2"/>
      <c r="L920" s="2"/>
      <c r="M920" s="2"/>
    </row>
    <row r="921" ht="15.75" customHeight="1">
      <c r="B921" s="2"/>
      <c r="C921" s="2"/>
      <c r="D921" s="2"/>
      <c r="E921" s="2"/>
      <c r="L921" s="2"/>
      <c r="M921" s="2"/>
    </row>
    <row r="922" ht="15.75" customHeight="1">
      <c r="B922" s="2"/>
      <c r="C922" s="2"/>
      <c r="D922" s="2"/>
      <c r="E922" s="2"/>
      <c r="L922" s="2"/>
      <c r="M922" s="2"/>
    </row>
    <row r="923" ht="15.75" customHeight="1">
      <c r="B923" s="2"/>
      <c r="C923" s="2"/>
      <c r="D923" s="2"/>
      <c r="E923" s="2"/>
      <c r="L923" s="2"/>
      <c r="M923" s="2"/>
    </row>
    <row r="924" ht="15.75" customHeight="1">
      <c r="B924" s="2"/>
      <c r="C924" s="2"/>
      <c r="D924" s="2"/>
      <c r="E924" s="2"/>
      <c r="L924" s="2"/>
      <c r="M924" s="2"/>
    </row>
    <row r="925" ht="15.75" customHeight="1">
      <c r="B925" s="2"/>
      <c r="C925" s="2"/>
      <c r="D925" s="2"/>
      <c r="E925" s="2"/>
      <c r="L925" s="2"/>
      <c r="M925" s="2"/>
    </row>
    <row r="926" ht="15.75" customHeight="1">
      <c r="B926" s="2"/>
      <c r="C926" s="2"/>
      <c r="D926" s="2"/>
      <c r="E926" s="2"/>
      <c r="L926" s="2"/>
      <c r="M926" s="2"/>
    </row>
    <row r="927" ht="15.75" customHeight="1">
      <c r="B927" s="2"/>
      <c r="C927" s="2"/>
      <c r="D927" s="2"/>
      <c r="E927" s="2"/>
      <c r="L927" s="2"/>
      <c r="M927" s="2"/>
    </row>
    <row r="928" ht="15.75" customHeight="1">
      <c r="B928" s="2"/>
      <c r="C928" s="2"/>
      <c r="D928" s="2"/>
      <c r="E928" s="2"/>
      <c r="L928" s="2"/>
      <c r="M928" s="2"/>
    </row>
    <row r="929" ht="15.75" customHeight="1">
      <c r="B929" s="2"/>
      <c r="C929" s="2"/>
      <c r="D929" s="2"/>
      <c r="E929" s="2"/>
      <c r="L929" s="2"/>
      <c r="M929" s="2"/>
    </row>
    <row r="930" ht="15.75" customHeight="1">
      <c r="B930" s="2"/>
      <c r="C930" s="2"/>
      <c r="D930" s="2"/>
      <c r="E930" s="2"/>
      <c r="L930" s="2"/>
      <c r="M930" s="2"/>
    </row>
    <row r="931" ht="15.75" customHeight="1">
      <c r="B931" s="2"/>
      <c r="C931" s="2"/>
      <c r="D931" s="2"/>
      <c r="E931" s="2"/>
      <c r="L931" s="2"/>
      <c r="M931" s="2"/>
    </row>
    <row r="932" ht="15.75" customHeight="1">
      <c r="B932" s="2"/>
      <c r="C932" s="2"/>
      <c r="D932" s="2"/>
      <c r="E932" s="2"/>
      <c r="L932" s="2"/>
      <c r="M932" s="2"/>
    </row>
    <row r="933" ht="15.75" customHeight="1">
      <c r="B933" s="2"/>
      <c r="C933" s="2"/>
      <c r="D933" s="2"/>
      <c r="E933" s="2"/>
      <c r="L933" s="2"/>
      <c r="M933" s="2"/>
    </row>
    <row r="934" ht="15.75" customHeight="1">
      <c r="B934" s="2"/>
      <c r="C934" s="2"/>
      <c r="D934" s="2"/>
      <c r="E934" s="2"/>
      <c r="L934" s="2"/>
      <c r="M934" s="2"/>
    </row>
    <row r="935" ht="15.75" customHeight="1">
      <c r="B935" s="2"/>
      <c r="C935" s="2"/>
      <c r="D935" s="2"/>
      <c r="E935" s="2"/>
      <c r="L935" s="2"/>
      <c r="M935" s="2"/>
    </row>
    <row r="936" ht="15.75" customHeight="1">
      <c r="B936" s="2"/>
      <c r="C936" s="2"/>
      <c r="D936" s="2"/>
      <c r="E936" s="2"/>
      <c r="L936" s="2"/>
      <c r="M936" s="2"/>
    </row>
    <row r="937" ht="15.75" customHeight="1">
      <c r="B937" s="2"/>
      <c r="C937" s="2"/>
      <c r="D937" s="2"/>
      <c r="E937" s="2"/>
      <c r="L937" s="2"/>
      <c r="M937" s="2"/>
    </row>
    <row r="938" ht="15.75" customHeight="1">
      <c r="B938" s="2"/>
      <c r="C938" s="2"/>
      <c r="D938" s="2"/>
      <c r="E938" s="2"/>
      <c r="L938" s="2"/>
      <c r="M938" s="2"/>
    </row>
    <row r="939" ht="15.75" customHeight="1">
      <c r="B939" s="2"/>
      <c r="C939" s="2"/>
      <c r="D939" s="2"/>
      <c r="E939" s="2"/>
      <c r="L939" s="2"/>
      <c r="M939" s="2"/>
    </row>
    <row r="940" ht="15.75" customHeight="1">
      <c r="B940" s="2"/>
      <c r="C940" s="2"/>
      <c r="D940" s="2"/>
      <c r="E940" s="2"/>
      <c r="L940" s="2"/>
      <c r="M940" s="2"/>
    </row>
    <row r="941" ht="15.75" customHeight="1">
      <c r="B941" s="2"/>
      <c r="C941" s="2"/>
      <c r="D941" s="2"/>
      <c r="E941" s="2"/>
      <c r="L941" s="2"/>
      <c r="M941" s="2"/>
    </row>
    <row r="942" ht="15.75" customHeight="1">
      <c r="B942" s="2"/>
      <c r="C942" s="2"/>
      <c r="D942" s="2"/>
      <c r="E942" s="2"/>
      <c r="L942" s="2"/>
      <c r="M942" s="2"/>
    </row>
    <row r="943" ht="15.75" customHeight="1">
      <c r="B943" s="2"/>
      <c r="C943" s="2"/>
      <c r="D943" s="2"/>
      <c r="E943" s="2"/>
      <c r="L943" s="2"/>
      <c r="M943" s="2"/>
    </row>
    <row r="944" ht="15.75" customHeight="1">
      <c r="B944" s="2"/>
      <c r="C944" s="2"/>
      <c r="D944" s="2"/>
      <c r="E944" s="2"/>
      <c r="L944" s="2"/>
      <c r="M944" s="2"/>
    </row>
    <row r="945" ht="15.75" customHeight="1">
      <c r="B945" s="2"/>
      <c r="C945" s="2"/>
      <c r="D945" s="2"/>
      <c r="E945" s="2"/>
      <c r="L945" s="2"/>
      <c r="M945" s="2"/>
    </row>
    <row r="946" ht="15.75" customHeight="1">
      <c r="B946" s="2"/>
      <c r="C946" s="2"/>
      <c r="D946" s="2"/>
      <c r="E946" s="2"/>
      <c r="L946" s="2"/>
      <c r="M946" s="2"/>
    </row>
    <row r="947" ht="15.75" customHeight="1">
      <c r="B947" s="2"/>
      <c r="C947" s="2"/>
      <c r="D947" s="2"/>
      <c r="E947" s="2"/>
      <c r="L947" s="2"/>
      <c r="M947" s="2"/>
    </row>
    <row r="948" ht="15.75" customHeight="1">
      <c r="B948" s="2"/>
      <c r="C948" s="2"/>
      <c r="D948" s="2"/>
      <c r="E948" s="2"/>
      <c r="L948" s="2"/>
      <c r="M948" s="2"/>
    </row>
    <row r="949" ht="15.75" customHeight="1">
      <c r="B949" s="2"/>
      <c r="C949" s="2"/>
      <c r="D949" s="2"/>
      <c r="E949" s="2"/>
      <c r="L949" s="2"/>
      <c r="M949" s="2"/>
    </row>
    <row r="950" ht="15.75" customHeight="1">
      <c r="B950" s="2"/>
      <c r="C950" s="2"/>
      <c r="D950" s="2"/>
      <c r="E950" s="2"/>
      <c r="L950" s="2"/>
      <c r="M950" s="2"/>
    </row>
    <row r="951" ht="15.75" customHeight="1">
      <c r="B951" s="2"/>
      <c r="C951" s="2"/>
      <c r="D951" s="2"/>
      <c r="E951" s="2"/>
      <c r="L951" s="2"/>
      <c r="M951" s="2"/>
    </row>
    <row r="952" ht="15.75" customHeight="1">
      <c r="B952" s="2"/>
      <c r="C952" s="2"/>
      <c r="D952" s="2"/>
      <c r="E952" s="2"/>
      <c r="L952" s="2"/>
      <c r="M952" s="2"/>
    </row>
    <row r="953" ht="15.75" customHeight="1">
      <c r="B953" s="2"/>
      <c r="C953" s="2"/>
      <c r="D953" s="2"/>
      <c r="E953" s="2"/>
      <c r="L953" s="2"/>
      <c r="M953" s="2"/>
    </row>
    <row r="954" ht="15.75" customHeight="1">
      <c r="B954" s="2"/>
      <c r="C954" s="2"/>
      <c r="D954" s="2"/>
      <c r="E954" s="2"/>
      <c r="L954" s="2"/>
      <c r="M954" s="2"/>
    </row>
    <row r="955" ht="15.75" customHeight="1">
      <c r="B955" s="2"/>
      <c r="C955" s="2"/>
      <c r="D955" s="2"/>
      <c r="E955" s="2"/>
      <c r="L955" s="2"/>
      <c r="M955" s="2"/>
    </row>
    <row r="956" ht="15.75" customHeight="1">
      <c r="B956" s="2"/>
      <c r="C956" s="2"/>
      <c r="D956" s="2"/>
      <c r="E956" s="2"/>
      <c r="L956" s="2"/>
      <c r="M956" s="2"/>
    </row>
    <row r="957" ht="15.75" customHeight="1">
      <c r="B957" s="2"/>
      <c r="C957" s="2"/>
      <c r="D957" s="2"/>
      <c r="E957" s="2"/>
      <c r="L957" s="2"/>
      <c r="M957" s="2"/>
    </row>
    <row r="958" ht="15.75" customHeight="1">
      <c r="B958" s="2"/>
      <c r="C958" s="2"/>
      <c r="D958" s="2"/>
      <c r="E958" s="2"/>
      <c r="L958" s="2"/>
      <c r="M958" s="2"/>
    </row>
    <row r="959" ht="15.75" customHeight="1">
      <c r="B959" s="2"/>
      <c r="C959" s="2"/>
      <c r="D959" s="2"/>
      <c r="E959" s="2"/>
      <c r="L959" s="2"/>
      <c r="M959" s="2"/>
    </row>
    <row r="960" ht="15.75" customHeight="1">
      <c r="B960" s="2"/>
      <c r="C960" s="2"/>
      <c r="D960" s="2"/>
      <c r="E960" s="2"/>
      <c r="L960" s="2"/>
      <c r="M960" s="2"/>
    </row>
    <row r="961" ht="15.75" customHeight="1">
      <c r="B961" s="2"/>
      <c r="C961" s="2"/>
      <c r="D961" s="2"/>
      <c r="E961" s="2"/>
      <c r="L961" s="2"/>
      <c r="M961" s="2"/>
    </row>
    <row r="962" ht="15.75" customHeight="1">
      <c r="B962" s="2"/>
      <c r="C962" s="2"/>
      <c r="D962" s="2"/>
      <c r="E962" s="2"/>
      <c r="L962" s="2"/>
      <c r="M962" s="2"/>
    </row>
    <row r="963" ht="15.75" customHeight="1">
      <c r="B963" s="2"/>
      <c r="C963" s="2"/>
      <c r="D963" s="2"/>
      <c r="E963" s="2"/>
      <c r="L963" s="2"/>
      <c r="M963" s="2"/>
    </row>
    <row r="964" ht="15.75" customHeight="1">
      <c r="B964" s="2"/>
      <c r="C964" s="2"/>
      <c r="D964" s="2"/>
      <c r="E964" s="2"/>
      <c r="L964" s="2"/>
      <c r="M964" s="2"/>
    </row>
    <row r="965" ht="15.75" customHeight="1">
      <c r="B965" s="2"/>
      <c r="C965" s="2"/>
      <c r="D965" s="2"/>
      <c r="E965" s="2"/>
      <c r="L965" s="2"/>
      <c r="M965" s="2"/>
    </row>
    <row r="966" ht="15.75" customHeight="1">
      <c r="B966" s="2"/>
      <c r="C966" s="2"/>
      <c r="D966" s="2"/>
      <c r="E966" s="2"/>
      <c r="L966" s="2"/>
      <c r="M966" s="2"/>
    </row>
    <row r="967" ht="15.75" customHeight="1">
      <c r="B967" s="2"/>
      <c r="C967" s="2"/>
      <c r="D967" s="2"/>
      <c r="E967" s="2"/>
      <c r="L967" s="2"/>
      <c r="M967" s="2"/>
    </row>
    <row r="968" ht="15.75" customHeight="1">
      <c r="B968" s="2"/>
      <c r="C968" s="2"/>
      <c r="D968" s="2"/>
      <c r="E968" s="2"/>
      <c r="L968" s="2"/>
      <c r="M968" s="2"/>
    </row>
    <row r="969" ht="15.75" customHeight="1">
      <c r="B969" s="2"/>
      <c r="C969" s="2"/>
      <c r="D969" s="2"/>
      <c r="E969" s="2"/>
      <c r="L969" s="2"/>
      <c r="M969" s="2"/>
    </row>
    <row r="970" ht="15.75" customHeight="1">
      <c r="B970" s="2"/>
      <c r="C970" s="2"/>
      <c r="D970" s="2"/>
      <c r="E970" s="2"/>
      <c r="L970" s="2"/>
      <c r="M970" s="2"/>
    </row>
    <row r="971" ht="15.75" customHeight="1">
      <c r="B971" s="2"/>
      <c r="C971" s="2"/>
      <c r="D971" s="2"/>
      <c r="E971" s="2"/>
      <c r="L971" s="2"/>
      <c r="M971" s="2"/>
    </row>
    <row r="972" ht="15.75" customHeight="1">
      <c r="B972" s="2"/>
      <c r="C972" s="2"/>
      <c r="D972" s="2"/>
      <c r="E972" s="2"/>
      <c r="L972" s="2"/>
      <c r="M972" s="2"/>
    </row>
    <row r="973" ht="15.75" customHeight="1">
      <c r="B973" s="2"/>
      <c r="C973" s="2"/>
      <c r="D973" s="2"/>
      <c r="E973" s="2"/>
      <c r="L973" s="2"/>
      <c r="M973" s="2"/>
    </row>
    <row r="974" ht="15.75" customHeight="1">
      <c r="B974" s="2"/>
      <c r="C974" s="2"/>
      <c r="D974" s="2"/>
      <c r="E974" s="2"/>
      <c r="L974" s="2"/>
      <c r="M974" s="2"/>
    </row>
    <row r="975" ht="15.75" customHeight="1">
      <c r="B975" s="2"/>
      <c r="C975" s="2"/>
      <c r="D975" s="2"/>
      <c r="E975" s="2"/>
      <c r="L975" s="2"/>
      <c r="M975" s="2"/>
    </row>
    <row r="976" ht="15.75" customHeight="1">
      <c r="B976" s="2"/>
      <c r="C976" s="2"/>
      <c r="D976" s="2"/>
      <c r="E976" s="2"/>
      <c r="L976" s="2"/>
      <c r="M976" s="2"/>
    </row>
    <row r="977" ht="15.75" customHeight="1">
      <c r="B977" s="2"/>
      <c r="C977" s="2"/>
      <c r="D977" s="2"/>
      <c r="E977" s="2"/>
      <c r="L977" s="2"/>
      <c r="M977" s="2"/>
    </row>
    <row r="978" ht="15.75" customHeight="1">
      <c r="B978" s="2"/>
      <c r="C978" s="2"/>
      <c r="D978" s="2"/>
      <c r="E978" s="2"/>
      <c r="L978" s="2"/>
      <c r="M978" s="2"/>
    </row>
    <row r="979" ht="15.75" customHeight="1">
      <c r="B979" s="2"/>
      <c r="C979" s="2"/>
      <c r="D979" s="2"/>
      <c r="E979" s="2"/>
      <c r="L979" s="2"/>
      <c r="M979" s="2"/>
    </row>
    <row r="980" ht="15.75" customHeight="1">
      <c r="B980" s="2"/>
      <c r="C980" s="2"/>
      <c r="D980" s="2"/>
      <c r="E980" s="2"/>
      <c r="L980" s="2"/>
      <c r="M980" s="2"/>
    </row>
    <row r="981" ht="15.75" customHeight="1">
      <c r="B981" s="2"/>
      <c r="C981" s="2"/>
      <c r="D981" s="2"/>
      <c r="E981" s="2"/>
      <c r="L981" s="2"/>
      <c r="M981" s="2"/>
    </row>
    <row r="982" ht="15.75" customHeight="1">
      <c r="B982" s="2"/>
      <c r="C982" s="2"/>
      <c r="D982" s="2"/>
      <c r="E982" s="2"/>
      <c r="L982" s="2"/>
      <c r="M982" s="2"/>
    </row>
    <row r="983" ht="15.75" customHeight="1">
      <c r="B983" s="2"/>
      <c r="C983" s="2"/>
      <c r="D983" s="2"/>
      <c r="E983" s="2"/>
      <c r="L983" s="2"/>
      <c r="M983" s="2"/>
    </row>
    <row r="984" ht="15.75" customHeight="1">
      <c r="B984" s="2"/>
      <c r="C984" s="2"/>
      <c r="D984" s="2"/>
      <c r="E984" s="2"/>
      <c r="L984" s="2"/>
      <c r="M984" s="2"/>
    </row>
    <row r="985" ht="15.75" customHeight="1">
      <c r="B985" s="2"/>
      <c r="C985" s="2"/>
      <c r="D985" s="2"/>
      <c r="E985" s="2"/>
      <c r="L985" s="2"/>
      <c r="M985" s="2"/>
    </row>
    <row r="986" ht="15.75" customHeight="1">
      <c r="B986" s="2"/>
      <c r="C986" s="2"/>
      <c r="D986" s="2"/>
      <c r="E986" s="2"/>
      <c r="L986" s="2"/>
      <c r="M986" s="2"/>
    </row>
    <row r="987" ht="15.75" customHeight="1">
      <c r="B987" s="2"/>
      <c r="C987" s="2"/>
      <c r="D987" s="2"/>
      <c r="E987" s="2"/>
      <c r="L987" s="2"/>
      <c r="M987" s="2"/>
    </row>
    <row r="988" ht="15.75" customHeight="1">
      <c r="B988" s="2"/>
      <c r="C988" s="2"/>
      <c r="D988" s="2"/>
      <c r="E988" s="2"/>
      <c r="L988" s="2"/>
      <c r="M988" s="2"/>
    </row>
    <row r="989" ht="15.75" customHeight="1">
      <c r="B989" s="2"/>
      <c r="C989" s="2"/>
      <c r="D989" s="2"/>
      <c r="E989" s="2"/>
      <c r="L989" s="2"/>
      <c r="M989" s="2"/>
    </row>
    <row r="990" ht="15.75" customHeight="1">
      <c r="B990" s="2"/>
      <c r="C990" s="2"/>
      <c r="D990" s="2"/>
      <c r="E990" s="2"/>
      <c r="L990" s="2"/>
      <c r="M990" s="2"/>
    </row>
    <row r="991" ht="15.75" customHeight="1">
      <c r="B991" s="2"/>
      <c r="C991" s="2"/>
      <c r="D991" s="2"/>
      <c r="E991" s="2"/>
      <c r="L991" s="2"/>
      <c r="M991" s="2"/>
    </row>
    <row r="992" ht="15.75" customHeight="1">
      <c r="B992" s="2"/>
      <c r="C992" s="2"/>
      <c r="D992" s="2"/>
      <c r="E992" s="2"/>
      <c r="L992" s="2"/>
      <c r="M992" s="2"/>
    </row>
    <row r="993" ht="15.75" customHeight="1">
      <c r="B993" s="2"/>
      <c r="C993" s="2"/>
      <c r="D993" s="2"/>
      <c r="E993" s="2"/>
      <c r="L993" s="2"/>
      <c r="M993" s="2"/>
    </row>
    <row r="994" ht="15.75" customHeight="1">
      <c r="B994" s="2"/>
      <c r="C994" s="2"/>
      <c r="D994" s="2"/>
      <c r="E994" s="2"/>
      <c r="L994" s="2"/>
      <c r="M994" s="2"/>
    </row>
    <row r="995" ht="15.75" customHeight="1">
      <c r="B995" s="2"/>
      <c r="C995" s="2"/>
      <c r="D995" s="2"/>
      <c r="E995" s="2"/>
      <c r="L995" s="2"/>
      <c r="M995" s="2"/>
    </row>
    <row r="996" ht="15.75" customHeight="1">
      <c r="B996" s="2"/>
      <c r="C996" s="2"/>
      <c r="D996" s="2"/>
      <c r="E996" s="2"/>
      <c r="L996" s="2"/>
      <c r="M996" s="2"/>
    </row>
    <row r="997" ht="15.75" customHeight="1">
      <c r="B997" s="2"/>
      <c r="C997" s="2"/>
      <c r="D997" s="2"/>
      <c r="E997" s="2"/>
      <c r="L997" s="2"/>
      <c r="M997" s="2"/>
    </row>
    <row r="998" ht="15.75" customHeight="1">
      <c r="B998" s="2"/>
      <c r="C998" s="2"/>
      <c r="D998" s="2"/>
      <c r="E998" s="2"/>
      <c r="L998" s="2"/>
      <c r="M998" s="2"/>
    </row>
    <row r="999" ht="15.75" customHeight="1">
      <c r="B999" s="2"/>
      <c r="C999" s="2"/>
      <c r="D999" s="2"/>
      <c r="E999" s="2"/>
      <c r="L999" s="2"/>
      <c r="M999" s="2"/>
    </row>
    <row r="1000" ht="15.75" customHeight="1">
      <c r="B1000" s="2"/>
      <c r="C1000" s="2"/>
      <c r="D1000" s="2"/>
      <c r="E1000" s="2"/>
      <c r="L1000" s="2"/>
      <c r="M1000" s="2"/>
    </row>
  </sheetData>
  <mergeCells count="11">
    <mergeCell ref="X10:AA10"/>
    <mergeCell ref="X20:AA20"/>
    <mergeCell ref="AC20:AE20"/>
    <mergeCell ref="AB32:AC32"/>
    <mergeCell ref="J5:N7"/>
    <mergeCell ref="P5:T7"/>
    <mergeCell ref="J8:N8"/>
    <mergeCell ref="AC8:AD8"/>
    <mergeCell ref="AH8:AK8"/>
    <mergeCell ref="AM8:AP8"/>
    <mergeCell ref="AC10:AE10"/>
  </mergeCells>
  <conditionalFormatting sqref="N10:N41">
    <cfRule type="cellIs" dxfId="0" priority="1" operator="greaterThanOrEqual">
      <formula>0</formula>
    </cfRule>
  </conditionalFormatting>
  <conditionalFormatting sqref="N10:N41">
    <cfRule type="cellIs" dxfId="1" priority="2" operator="lessThan">
      <formula>0</formula>
    </cfRule>
  </conditionalFormatting>
  <conditionalFormatting sqref="N10:N41">
    <cfRule type="cellIs" dxfId="2" priority="3" operator="lessThan">
      <formula>0</formula>
    </cfRule>
  </conditionalFormatting>
  <conditionalFormatting sqref="T10:T41">
    <cfRule type="cellIs" dxfId="0" priority="4" operator="greaterThanOrEqual">
      <formula>0</formula>
    </cfRule>
  </conditionalFormatting>
  <conditionalFormatting sqref="T10:T41">
    <cfRule type="cellIs" dxfId="1" priority="5" operator="lessThan">
      <formula>0</formula>
    </cfRule>
  </conditionalFormatting>
  <conditionalFormatting sqref="T10:T41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11"/>
    <col customWidth="1" min="3" max="3" width="21.11"/>
    <col customWidth="1" min="4" max="4" width="18.0"/>
    <col customWidth="1" min="5" max="5" width="22.33"/>
    <col customWidth="1" min="6" max="6" width="17.78"/>
    <col customWidth="1" min="7" max="7" width="10.56"/>
    <col customWidth="1" min="8" max="8" width="18.78"/>
    <col customWidth="1" min="9" max="9" width="20.78"/>
    <col customWidth="1" min="10" max="10" width="18.67"/>
    <col customWidth="1" min="11" max="11" width="18.33"/>
    <col customWidth="1" min="12" max="12" width="21.11"/>
    <col customWidth="1" min="13" max="13" width="21.78"/>
    <col customWidth="1" min="14" max="14" width="21.0"/>
    <col customWidth="1" min="15" max="15" width="10.56"/>
    <col customWidth="1" min="16" max="16" width="12.11"/>
    <col customWidth="1" min="17" max="17" width="14.44"/>
    <col customWidth="1" min="18" max="18" width="12.44"/>
    <col customWidth="1" min="19" max="19" width="14.44"/>
    <col customWidth="1" min="20" max="20" width="10.67"/>
    <col customWidth="1" min="21" max="26" width="10.56"/>
  </cols>
  <sheetData>
    <row r="1" ht="15.75" customHeight="1">
      <c r="B1" s="2"/>
      <c r="C1" s="2"/>
      <c r="D1" s="2"/>
      <c r="E1" s="2"/>
      <c r="L1" s="2"/>
      <c r="M1" s="2"/>
    </row>
    <row r="2" ht="15.75" customHeight="1"/>
    <row r="3" ht="15.75" customHeight="1">
      <c r="B3" s="2"/>
      <c r="C3" s="2"/>
      <c r="D3" s="2"/>
      <c r="E3" s="2"/>
      <c r="L3" s="2"/>
      <c r="M3" s="2"/>
    </row>
    <row r="4" ht="15.75" customHeight="1">
      <c r="B4" s="2"/>
      <c r="C4" s="2"/>
      <c r="D4" s="2"/>
      <c r="E4" s="2"/>
      <c r="H4" s="2"/>
      <c r="I4" s="2"/>
      <c r="J4" s="2"/>
      <c r="K4" s="2"/>
    </row>
    <row r="5" ht="15.75" customHeight="1">
      <c r="B5" s="17" t="s">
        <v>13</v>
      </c>
      <c r="C5" s="18"/>
      <c r="D5" s="18"/>
      <c r="E5" s="18"/>
      <c r="F5" s="19"/>
      <c r="H5" s="27" t="s">
        <v>22</v>
      </c>
      <c r="I5" s="18"/>
      <c r="J5" s="18"/>
      <c r="K5" s="18"/>
      <c r="L5" s="19"/>
    </row>
    <row r="6" ht="15.75" customHeight="1">
      <c r="B6" s="31"/>
      <c r="F6" s="32"/>
      <c r="H6" s="31"/>
      <c r="L6" s="32"/>
    </row>
    <row r="7" ht="15.75" customHeight="1">
      <c r="B7" s="34"/>
      <c r="C7" s="35"/>
      <c r="D7" s="35"/>
      <c r="E7" s="35"/>
      <c r="F7" s="36"/>
      <c r="H7" s="34"/>
      <c r="I7" s="35"/>
      <c r="J7" s="35"/>
      <c r="K7" s="35"/>
      <c r="L7" s="36"/>
    </row>
    <row r="8" ht="15.75" customHeight="1">
      <c r="B8" s="44" t="s">
        <v>32</v>
      </c>
      <c r="C8" s="44" t="s">
        <v>33</v>
      </c>
      <c r="D8" s="44" t="s">
        <v>98</v>
      </c>
      <c r="E8" s="44" t="s">
        <v>37</v>
      </c>
      <c r="F8" s="44" t="s">
        <v>38</v>
      </c>
      <c r="H8" s="44" t="s">
        <v>32</v>
      </c>
      <c r="I8" s="44" t="s">
        <v>33</v>
      </c>
      <c r="J8" s="44" t="s">
        <v>98</v>
      </c>
      <c r="K8" s="44" t="s">
        <v>37</v>
      </c>
      <c r="L8" s="44" t="s">
        <v>38</v>
      </c>
    </row>
    <row r="9" ht="15.75" customHeight="1">
      <c r="B9" s="47">
        <v>1.0</v>
      </c>
      <c r="C9" s="44" t="s">
        <v>45</v>
      </c>
      <c r="D9" s="55">
        <v>6200.0</v>
      </c>
      <c r="E9" s="55">
        <f>6269</f>
        <v>6269</v>
      </c>
      <c r="F9" s="51">
        <f t="shared" ref="F9:F39" si="1">E9-D9</f>
        <v>69</v>
      </c>
      <c r="H9" s="47">
        <v>1.0</v>
      </c>
      <c r="I9" s="44" t="s">
        <v>45</v>
      </c>
      <c r="J9" s="55">
        <v>4200.0</v>
      </c>
      <c r="K9" s="55">
        <f>4901.1-350</f>
        <v>4551.1</v>
      </c>
      <c r="L9" s="51">
        <f t="shared" ref="L9:L39" si="2">K9-J9</f>
        <v>351.1</v>
      </c>
    </row>
    <row r="10" ht="15.75" customHeight="1">
      <c r="B10" s="47">
        <v>2.0</v>
      </c>
      <c r="C10" s="44" t="s">
        <v>46</v>
      </c>
      <c r="D10" s="55">
        <v>5440.0</v>
      </c>
      <c r="E10" s="55">
        <f>6467.05</f>
        <v>6467.05</v>
      </c>
      <c r="F10" s="51">
        <f t="shared" si="1"/>
        <v>1027.05</v>
      </c>
      <c r="H10" s="47">
        <v>2.0</v>
      </c>
      <c r="I10" s="44" t="s">
        <v>46</v>
      </c>
      <c r="J10" s="55">
        <v>5200.0</v>
      </c>
      <c r="K10" s="55">
        <f>4662.88-378</f>
        <v>4284.88</v>
      </c>
      <c r="L10" s="51">
        <f t="shared" si="2"/>
        <v>-915.12</v>
      </c>
    </row>
    <row r="11" ht="15.75" customHeight="1">
      <c r="B11" s="47">
        <v>3.0</v>
      </c>
      <c r="C11" s="44" t="s">
        <v>40</v>
      </c>
      <c r="D11" s="55">
        <v>7000.0</v>
      </c>
      <c r="E11" s="55">
        <f>4237.5</f>
        <v>4237.5</v>
      </c>
      <c r="F11" s="51">
        <f t="shared" si="1"/>
        <v>-2762.5</v>
      </c>
      <c r="H11" s="47">
        <v>3.0</v>
      </c>
      <c r="I11" s="44" t="s">
        <v>40</v>
      </c>
      <c r="J11" s="55">
        <v>4200.0</v>
      </c>
      <c r="K11" s="55">
        <f>5883.69-503</f>
        <v>5380.69</v>
      </c>
      <c r="L11" s="51">
        <f t="shared" si="2"/>
        <v>1180.69</v>
      </c>
    </row>
    <row r="12" ht="15.75" customHeight="1">
      <c r="B12" s="47">
        <v>4.0</v>
      </c>
      <c r="C12" s="44" t="s">
        <v>47</v>
      </c>
      <c r="D12" s="55">
        <v>6600.0</v>
      </c>
      <c r="E12" s="55">
        <f>5210.45</f>
        <v>5210.45</v>
      </c>
      <c r="F12" s="51">
        <f t="shared" si="1"/>
        <v>-1389.55</v>
      </c>
      <c r="H12" s="47">
        <v>4.0</v>
      </c>
      <c r="I12" s="44" t="s">
        <v>47</v>
      </c>
      <c r="J12" s="55">
        <v>7200.0</v>
      </c>
      <c r="K12" s="55">
        <f>4048.6-341</f>
        <v>3707.6</v>
      </c>
      <c r="L12" s="51">
        <f t="shared" si="2"/>
        <v>-3492.4</v>
      </c>
    </row>
    <row r="13" ht="15.75" customHeight="1">
      <c r="B13" s="47">
        <v>5.0</v>
      </c>
      <c r="C13" s="44" t="s">
        <v>48</v>
      </c>
      <c r="D13" s="55">
        <v>14200.0</v>
      </c>
      <c r="E13" s="55">
        <f>15815.8-285</f>
        <v>15530.8</v>
      </c>
      <c r="F13" s="51">
        <f t="shared" si="1"/>
        <v>1330.8</v>
      </c>
      <c r="H13" s="47">
        <v>5.0</v>
      </c>
      <c r="I13" s="44" t="s">
        <v>48</v>
      </c>
      <c r="J13" s="55">
        <v>9500.0</v>
      </c>
      <c r="K13" s="55">
        <f>13221.32-883</f>
        <v>12338.32</v>
      </c>
      <c r="L13" s="51">
        <f t="shared" si="2"/>
        <v>2838.32</v>
      </c>
    </row>
    <row r="14" ht="15.75" customHeight="1">
      <c r="B14" s="47">
        <v>6.0</v>
      </c>
      <c r="C14" s="44" t="s">
        <v>41</v>
      </c>
      <c r="D14" s="55">
        <v>18000.0</v>
      </c>
      <c r="E14" s="55">
        <f>19147</f>
        <v>19147</v>
      </c>
      <c r="F14" s="51">
        <f t="shared" si="1"/>
        <v>1147</v>
      </c>
      <c r="H14" s="47">
        <v>6.0</v>
      </c>
      <c r="I14" s="44" t="s">
        <v>41</v>
      </c>
      <c r="J14" s="55">
        <v>13400.0</v>
      </c>
      <c r="K14" s="55">
        <f>12874.21-995</f>
        <v>11879.21</v>
      </c>
      <c r="L14" s="51">
        <f t="shared" si="2"/>
        <v>-1520.79</v>
      </c>
    </row>
    <row r="15" ht="15.75" customHeight="1">
      <c r="B15" s="47">
        <v>7.0</v>
      </c>
      <c r="C15" s="44" t="s">
        <v>44</v>
      </c>
      <c r="D15" s="55">
        <v>20000.0</v>
      </c>
      <c r="E15" s="55">
        <f>21120.95</f>
        <v>21120.95</v>
      </c>
      <c r="F15" s="51">
        <f t="shared" si="1"/>
        <v>1120.95</v>
      </c>
      <c r="H15" s="47">
        <v>7.0</v>
      </c>
      <c r="I15" s="44" t="s">
        <v>44</v>
      </c>
      <c r="J15" s="59">
        <v>20900.0</v>
      </c>
      <c r="K15" s="55">
        <f>21279.16-1470</f>
        <v>19809.16</v>
      </c>
      <c r="L15" s="51">
        <f t="shared" si="2"/>
        <v>-1090.84</v>
      </c>
    </row>
    <row r="16" ht="15.75" customHeight="1">
      <c r="B16" s="44">
        <v>8.0</v>
      </c>
      <c r="C16" s="44" t="s">
        <v>45</v>
      </c>
      <c r="D16" s="55">
        <v>6200.0</v>
      </c>
      <c r="E16" s="55">
        <f>9380.64</f>
        <v>9380.64</v>
      </c>
      <c r="F16" s="51">
        <f t="shared" si="1"/>
        <v>3180.64</v>
      </c>
      <c r="H16" s="44">
        <v>8.0</v>
      </c>
      <c r="I16" s="44" t="s">
        <v>45</v>
      </c>
      <c r="J16" s="55">
        <v>4200.0</v>
      </c>
      <c r="K16" s="55">
        <f>6130.3-455</f>
        <v>5675.3</v>
      </c>
      <c r="L16" s="51">
        <f t="shared" si="2"/>
        <v>1475.3</v>
      </c>
    </row>
    <row r="17" ht="15.75" customHeight="1">
      <c r="B17" s="44">
        <v>9.0</v>
      </c>
      <c r="C17" s="44" t="s">
        <v>46</v>
      </c>
      <c r="D17" s="55">
        <v>5440.0</v>
      </c>
      <c r="E17" s="55">
        <f>4947</f>
        <v>4947</v>
      </c>
      <c r="F17" s="51">
        <f t="shared" si="1"/>
        <v>-493</v>
      </c>
      <c r="H17" s="44">
        <v>9.0</v>
      </c>
      <c r="I17" s="44" t="s">
        <v>46</v>
      </c>
      <c r="J17" s="55">
        <v>5200.0</v>
      </c>
      <c r="K17" s="55">
        <f>2461.66+1582.4-311</f>
        <v>3733.06</v>
      </c>
      <c r="L17" s="51">
        <f t="shared" si="2"/>
        <v>-1466.94</v>
      </c>
    </row>
    <row r="18" ht="15.75" customHeight="1">
      <c r="B18" s="149">
        <v>10.0</v>
      </c>
      <c r="C18" s="149" t="s">
        <v>40</v>
      </c>
      <c r="D18" s="150">
        <v>20000.0</v>
      </c>
      <c r="E18" s="150">
        <f>20342.45</f>
        <v>20342.45</v>
      </c>
      <c r="F18" s="51">
        <f t="shared" si="1"/>
        <v>342.45</v>
      </c>
      <c r="H18" s="149">
        <v>10.0</v>
      </c>
      <c r="I18" s="149" t="s">
        <v>40</v>
      </c>
      <c r="J18" s="150">
        <f>6744.47+128+120+7759.36-1191-560.83</f>
        <v>13000</v>
      </c>
      <c r="K18" s="150">
        <f>6744.47+128+120+7759.36-1191</f>
        <v>13560.83</v>
      </c>
      <c r="L18" s="51">
        <f t="shared" si="2"/>
        <v>560.83</v>
      </c>
      <c r="P18" s="70"/>
      <c r="Q18" s="71" t="s">
        <v>52</v>
      </c>
      <c r="R18" s="72"/>
      <c r="S18" s="73" t="s">
        <v>53</v>
      </c>
    </row>
    <row r="19" ht="15.75" customHeight="1">
      <c r="B19" s="44">
        <v>11.0</v>
      </c>
      <c r="C19" s="44" t="s">
        <v>47</v>
      </c>
      <c r="D19" s="55">
        <v>6600.0</v>
      </c>
      <c r="E19" s="55">
        <f>6475.5</f>
        <v>6475.5</v>
      </c>
      <c r="F19" s="51">
        <f t="shared" si="1"/>
        <v>-124.5</v>
      </c>
      <c r="H19" s="44">
        <v>11.0</v>
      </c>
      <c r="I19" s="44" t="s">
        <v>47</v>
      </c>
      <c r="J19" s="55">
        <v>7200.0</v>
      </c>
      <c r="K19" s="55">
        <f>6767.73-645</f>
        <v>6122.73</v>
      </c>
      <c r="L19" s="51">
        <f t="shared" si="2"/>
        <v>-1077.27</v>
      </c>
      <c r="P19" s="74" t="s">
        <v>29</v>
      </c>
      <c r="Q19" s="75">
        <v>350000.0</v>
      </c>
      <c r="R19" s="2" t="s">
        <v>29</v>
      </c>
      <c r="S19" s="76">
        <v>282000.0</v>
      </c>
    </row>
    <row r="20" ht="15.75" customHeight="1">
      <c r="B20" s="44">
        <v>12.0</v>
      </c>
      <c r="C20" s="44" t="s">
        <v>48</v>
      </c>
      <c r="D20" s="55">
        <v>14100.0</v>
      </c>
      <c r="E20" s="55">
        <f>15777.65+2851.5-285</f>
        <v>18344.15</v>
      </c>
      <c r="F20" s="51">
        <f t="shared" si="1"/>
        <v>4244.15</v>
      </c>
      <c r="H20" s="44">
        <v>12.0</v>
      </c>
      <c r="I20" s="44" t="s">
        <v>48</v>
      </c>
      <c r="J20" s="55">
        <v>9500.0</v>
      </c>
      <c r="K20" s="55">
        <f>9242.6-705</f>
        <v>8537.6</v>
      </c>
      <c r="L20" s="51">
        <f t="shared" si="2"/>
        <v>-962.4</v>
      </c>
      <c r="P20" s="74"/>
      <c r="Q20" s="2"/>
      <c r="R20" s="2"/>
      <c r="S20" s="77"/>
    </row>
    <row r="21" ht="15.75" customHeight="1">
      <c r="B21" s="44">
        <v>13.0</v>
      </c>
      <c r="C21" s="44" t="s">
        <v>41</v>
      </c>
      <c r="D21" s="55">
        <v>18000.0</v>
      </c>
      <c r="E21" s="55">
        <f>17100</f>
        <v>17100</v>
      </c>
      <c r="F21" s="51">
        <f t="shared" si="1"/>
        <v>-900</v>
      </c>
      <c r="H21" s="44">
        <v>13.0</v>
      </c>
      <c r="I21" s="44" t="s">
        <v>41</v>
      </c>
      <c r="J21" s="55">
        <v>13400.0</v>
      </c>
      <c r="K21" s="55">
        <f>14329.81-995-12</f>
        <v>13322.81</v>
      </c>
      <c r="L21" s="51">
        <f t="shared" si="2"/>
        <v>-77.19</v>
      </c>
      <c r="P21" s="74" t="s">
        <v>58</v>
      </c>
      <c r="Q21" s="75">
        <f>SUM(E9:E15)</f>
        <v>77982.75</v>
      </c>
      <c r="R21" s="58" t="s">
        <v>58</v>
      </c>
      <c r="S21" s="76">
        <f>SUM(K9:K15)</f>
        <v>61950.96</v>
      </c>
    </row>
    <row r="22" ht="15.75" customHeight="1">
      <c r="B22" s="44">
        <v>14.0</v>
      </c>
      <c r="C22" s="44" t="s">
        <v>44</v>
      </c>
      <c r="D22" s="55">
        <v>20000.0</v>
      </c>
      <c r="E22" s="55">
        <f>19954.55-94.37</f>
        <v>19860.18</v>
      </c>
      <c r="F22" s="51">
        <f t="shared" si="1"/>
        <v>-139.82</v>
      </c>
      <c r="H22" s="44">
        <v>14.0</v>
      </c>
      <c r="I22" s="44" t="s">
        <v>44</v>
      </c>
      <c r="J22" s="59">
        <v>20900.0</v>
      </c>
      <c r="K22" s="55">
        <f>24124.22+94.37-1744</f>
        <v>22474.59</v>
      </c>
      <c r="L22" s="51">
        <f t="shared" si="2"/>
        <v>1574.59</v>
      </c>
      <c r="P22" s="74"/>
      <c r="Q22" s="79">
        <f>Q21/Q19</f>
        <v>0.2228078571</v>
      </c>
      <c r="S22" s="80">
        <f>S21/S19</f>
        <v>0.2196842553</v>
      </c>
    </row>
    <row r="23" ht="15.75" customHeight="1">
      <c r="B23" s="44">
        <v>15.0</v>
      </c>
      <c r="C23" s="44" t="s">
        <v>45</v>
      </c>
      <c r="D23" s="55">
        <v>6200.0</v>
      </c>
      <c r="E23" s="55">
        <f>8363.45</f>
        <v>8363.45</v>
      </c>
      <c r="F23" s="51">
        <f t="shared" si="1"/>
        <v>2163.45</v>
      </c>
      <c r="H23" s="44">
        <v>15.0</v>
      </c>
      <c r="I23" s="44" t="s">
        <v>45</v>
      </c>
      <c r="J23" s="55">
        <v>4200.0</v>
      </c>
      <c r="K23" s="55">
        <f>4929.78-373</f>
        <v>4556.78</v>
      </c>
      <c r="L23" s="51">
        <f t="shared" si="2"/>
        <v>356.78</v>
      </c>
      <c r="P23" s="74"/>
      <c r="Q23" s="81"/>
      <c r="S23" s="77"/>
    </row>
    <row r="24" ht="15.75" customHeight="1">
      <c r="B24" s="44">
        <v>16.0</v>
      </c>
      <c r="C24" s="44" t="s">
        <v>46</v>
      </c>
      <c r="D24" s="55">
        <v>5440.0</v>
      </c>
      <c r="E24" s="55">
        <f>9403.5</f>
        <v>9403.5</v>
      </c>
      <c r="F24" s="51">
        <f t="shared" si="1"/>
        <v>3963.5</v>
      </c>
      <c r="H24" s="44">
        <v>16.0</v>
      </c>
      <c r="I24" s="44" t="s">
        <v>46</v>
      </c>
      <c r="J24" s="55">
        <v>5200.0</v>
      </c>
      <c r="K24" s="55">
        <f>4202.94-322</f>
        <v>3880.94</v>
      </c>
      <c r="L24" s="51">
        <f t="shared" si="2"/>
        <v>-1319.06</v>
      </c>
      <c r="P24" s="74" t="s">
        <v>62</v>
      </c>
      <c r="Q24" s="75">
        <f>SUM(E16:E22)</f>
        <v>96449.92</v>
      </c>
      <c r="R24" s="58" t="s">
        <v>62</v>
      </c>
      <c r="S24" s="76">
        <f>SUM(K16:K22)</f>
        <v>73426.92</v>
      </c>
    </row>
    <row r="25" ht="15.75" customHeight="1">
      <c r="B25" s="153">
        <v>17.0</v>
      </c>
      <c r="C25" s="153" t="s">
        <v>40</v>
      </c>
      <c r="D25" s="154">
        <v>15900.0</v>
      </c>
      <c r="E25" s="154">
        <f>7210.8</f>
        <v>7210.8</v>
      </c>
      <c r="F25" s="51">
        <f t="shared" si="1"/>
        <v>-8689.2</v>
      </c>
      <c r="H25" s="153">
        <v>17.0</v>
      </c>
      <c r="I25" s="153" t="s">
        <v>40</v>
      </c>
      <c r="J25" s="154">
        <f>J32*2-2000</f>
        <v>6400</v>
      </c>
      <c r="K25" s="154">
        <f>3117.29+4201.28-541</f>
        <v>6777.57</v>
      </c>
      <c r="L25" s="51">
        <f t="shared" si="2"/>
        <v>377.57</v>
      </c>
      <c r="P25" s="74"/>
      <c r="Q25" s="79">
        <f>Q24/Q19</f>
        <v>0.2755712</v>
      </c>
      <c r="S25" s="80">
        <f>S24/S19</f>
        <v>0.2603791489</v>
      </c>
    </row>
    <row r="26" ht="15.75" customHeight="1">
      <c r="B26" s="44">
        <v>18.0</v>
      </c>
      <c r="C26" s="44" t="s">
        <v>47</v>
      </c>
      <c r="D26" s="55">
        <v>6600.0</v>
      </c>
      <c r="E26" s="55">
        <f>13434.4</f>
        <v>13434.4</v>
      </c>
      <c r="F26" s="51">
        <f t="shared" si="1"/>
        <v>6834.4</v>
      </c>
      <c r="H26" s="44">
        <v>18.0</v>
      </c>
      <c r="I26" s="44" t="s">
        <v>47</v>
      </c>
      <c r="J26" s="55">
        <v>7200.0</v>
      </c>
      <c r="K26" s="55">
        <f>5529.71-390</f>
        <v>5139.71</v>
      </c>
      <c r="L26" s="51">
        <f t="shared" si="2"/>
        <v>-2060.29</v>
      </c>
      <c r="P26" s="74"/>
      <c r="Q26" s="81"/>
      <c r="S26" s="77"/>
    </row>
    <row r="27" ht="15.75" customHeight="1">
      <c r="B27" s="44">
        <v>19.0</v>
      </c>
      <c r="C27" s="44" t="s">
        <v>48</v>
      </c>
      <c r="D27" s="55">
        <v>14100.0</v>
      </c>
      <c r="E27" s="55">
        <f>18932.13-320</f>
        <v>18612.13</v>
      </c>
      <c r="F27" s="51">
        <f t="shared" si="1"/>
        <v>4512.13</v>
      </c>
      <c r="H27" s="44">
        <v>19.0</v>
      </c>
      <c r="I27" s="44" t="s">
        <v>48</v>
      </c>
      <c r="J27" s="55">
        <v>9000.0</v>
      </c>
      <c r="K27" s="55">
        <f>11867.95-876-18</f>
        <v>10973.95</v>
      </c>
      <c r="L27" s="51">
        <f t="shared" si="2"/>
        <v>1973.95</v>
      </c>
      <c r="P27" s="74" t="s">
        <v>63</v>
      </c>
      <c r="Q27" s="75">
        <f>SUM(E23:E29)</f>
        <v>96071.46</v>
      </c>
      <c r="R27" s="58" t="s">
        <v>63</v>
      </c>
      <c r="S27" s="76">
        <f>SUM(K23:K29)</f>
        <v>67159.85</v>
      </c>
    </row>
    <row r="28" ht="15.75" customHeight="1">
      <c r="B28" s="44">
        <v>20.0</v>
      </c>
      <c r="C28" s="44" t="s">
        <v>41</v>
      </c>
      <c r="D28" s="55">
        <v>18000.0</v>
      </c>
      <c r="E28" s="55">
        <f>16360.3</f>
        <v>16360.3</v>
      </c>
      <c r="F28" s="51">
        <f t="shared" si="1"/>
        <v>-1639.7</v>
      </c>
      <c r="H28" s="44">
        <v>20.0</v>
      </c>
      <c r="I28" s="44" t="s">
        <v>41</v>
      </c>
      <c r="J28" s="55">
        <v>13400.0</v>
      </c>
      <c r="K28" s="55">
        <f>14336.61-1059</f>
        <v>13277.61</v>
      </c>
      <c r="L28" s="51">
        <f t="shared" si="2"/>
        <v>-122.39</v>
      </c>
      <c r="P28" s="74"/>
      <c r="Q28" s="79">
        <f>Q27/Q19</f>
        <v>0.2744898857</v>
      </c>
      <c r="S28" s="80">
        <f>S27/S19</f>
        <v>0.2381554965</v>
      </c>
    </row>
    <row r="29" ht="15.75" customHeight="1">
      <c r="B29" s="44">
        <v>21.0</v>
      </c>
      <c r="C29" s="44" t="s">
        <v>44</v>
      </c>
      <c r="D29" s="55">
        <v>20000.0</v>
      </c>
      <c r="E29" s="55">
        <f>22686.88</f>
        <v>22686.88</v>
      </c>
      <c r="F29" s="51">
        <f t="shared" si="1"/>
        <v>2686.88</v>
      </c>
      <c r="H29" s="44">
        <v>21.0</v>
      </c>
      <c r="I29" s="44" t="s">
        <v>44</v>
      </c>
      <c r="J29" s="59">
        <v>20900.0</v>
      </c>
      <c r="K29" s="55">
        <f>24300.29-1747</f>
        <v>22553.29</v>
      </c>
      <c r="L29" s="51">
        <f t="shared" si="2"/>
        <v>1653.29</v>
      </c>
      <c r="P29" s="74"/>
      <c r="S29" s="82"/>
    </row>
    <row r="30" ht="15.75" customHeight="1">
      <c r="B30" s="44">
        <v>22.0</v>
      </c>
      <c r="C30" s="44" t="s">
        <v>45</v>
      </c>
      <c r="D30" s="55">
        <v>6200.0</v>
      </c>
      <c r="E30" s="55">
        <f>7323.75</f>
        <v>7323.75</v>
      </c>
      <c r="F30" s="51">
        <f t="shared" si="1"/>
        <v>1123.75</v>
      </c>
      <c r="H30" s="44">
        <v>22.0</v>
      </c>
      <c r="I30" s="44" t="s">
        <v>45</v>
      </c>
      <c r="J30" s="55">
        <v>4200.0</v>
      </c>
      <c r="K30" s="55">
        <f>5359.92-280-8</f>
        <v>5071.92</v>
      </c>
      <c r="L30" s="51">
        <f t="shared" si="2"/>
        <v>871.92</v>
      </c>
      <c r="P30" s="74" t="s">
        <v>64</v>
      </c>
      <c r="Q30" s="61">
        <f>SUM(E30:E36)</f>
        <v>70287.76</v>
      </c>
      <c r="R30" s="58" t="s">
        <v>64</v>
      </c>
      <c r="S30" s="83">
        <f>SUM(K30:K36)</f>
        <v>65625.41</v>
      </c>
    </row>
    <row r="31" ht="15.75" customHeight="1">
      <c r="B31" s="44">
        <v>23.0</v>
      </c>
      <c r="C31" s="44" t="s">
        <v>46</v>
      </c>
      <c r="D31" s="55">
        <v>5440.0</v>
      </c>
      <c r="E31" s="55">
        <f>2039.5+2490.25</f>
        <v>4529.75</v>
      </c>
      <c r="F31" s="51">
        <f t="shared" si="1"/>
        <v>-910.25</v>
      </c>
      <c r="H31" s="44">
        <v>23.0</v>
      </c>
      <c r="I31" s="44" t="s">
        <v>46</v>
      </c>
      <c r="J31" s="55">
        <v>5200.0</v>
      </c>
      <c r="K31" s="55">
        <f>5198.4-347</f>
        <v>4851.4</v>
      </c>
      <c r="L31" s="51">
        <f t="shared" si="2"/>
        <v>-348.6</v>
      </c>
      <c r="P31" s="74"/>
      <c r="Q31" s="79">
        <f>Q30/Q19</f>
        <v>0.2008221714</v>
      </c>
      <c r="S31" s="80">
        <f>S30/S19</f>
        <v>0.2327142199</v>
      </c>
    </row>
    <row r="32" ht="15.75" customHeight="1">
      <c r="B32" s="44">
        <v>24.0</v>
      </c>
      <c r="C32" s="47" t="s">
        <v>40</v>
      </c>
      <c r="D32" s="55">
        <v>7000.0</v>
      </c>
      <c r="E32" s="55">
        <f>4813.5</f>
        <v>4813.5</v>
      </c>
      <c r="F32" s="51">
        <f t="shared" si="1"/>
        <v>-2186.5</v>
      </c>
      <c r="H32" s="44">
        <v>24.0</v>
      </c>
      <c r="I32" s="47" t="s">
        <v>40</v>
      </c>
      <c r="J32" s="55">
        <v>4200.0</v>
      </c>
      <c r="K32" s="55">
        <f>6420.62+137.5-479</f>
        <v>6079.12</v>
      </c>
      <c r="L32" s="51">
        <f t="shared" si="2"/>
        <v>1879.12</v>
      </c>
      <c r="P32" s="74" t="s">
        <v>65</v>
      </c>
      <c r="Q32" s="61">
        <f>SUM(E37:E39)</f>
        <v>14751.05</v>
      </c>
      <c r="R32" s="58" t="s">
        <v>65</v>
      </c>
      <c r="S32" s="83">
        <f>SUM(K37:K39)</f>
        <v>15726.93</v>
      </c>
    </row>
    <row r="33" ht="15.75" customHeight="1">
      <c r="B33" s="44">
        <v>25.0</v>
      </c>
      <c r="C33" s="47" t="s">
        <v>47</v>
      </c>
      <c r="D33" s="55">
        <v>6600.0</v>
      </c>
      <c r="E33" s="55">
        <f>5244.4+96.8</f>
        <v>5341.2</v>
      </c>
      <c r="F33" s="51">
        <f t="shared" si="1"/>
        <v>-1258.8</v>
      </c>
      <c r="H33" s="44">
        <v>25.0</v>
      </c>
      <c r="I33" s="47" t="s">
        <v>47</v>
      </c>
      <c r="J33" s="55">
        <v>7200.0</v>
      </c>
      <c r="K33" s="55">
        <f>5703.96-386</f>
        <v>5317.96</v>
      </c>
      <c r="L33" s="51">
        <f t="shared" si="2"/>
        <v>-1882.04</v>
      </c>
      <c r="P33" s="84" t="s">
        <v>102</v>
      </c>
      <c r="Q33" s="85">
        <f>Q32/Q19</f>
        <v>0.04214585714</v>
      </c>
      <c r="R33" s="86" t="s">
        <v>102</v>
      </c>
      <c r="S33" s="87">
        <f>S32/S19</f>
        <v>0.05576925532</v>
      </c>
    </row>
    <row r="34" ht="15.75" customHeight="1">
      <c r="B34" s="44">
        <v>26.0</v>
      </c>
      <c r="C34" s="47" t="s">
        <v>48</v>
      </c>
      <c r="D34" s="55">
        <v>14100.0</v>
      </c>
      <c r="E34" s="55">
        <f>12050.2-185</f>
        <v>11865.2</v>
      </c>
      <c r="F34" s="51">
        <f t="shared" si="1"/>
        <v>-2234.8</v>
      </c>
      <c r="H34" s="44">
        <v>26.0</v>
      </c>
      <c r="I34" s="47" t="s">
        <v>48</v>
      </c>
      <c r="J34" s="55">
        <v>9000.0</v>
      </c>
      <c r="K34" s="55">
        <f>12072.22-824</f>
        <v>11248.22</v>
      </c>
      <c r="L34" s="51">
        <f t="shared" si="2"/>
        <v>2248.22</v>
      </c>
      <c r="P34" s="161" t="s">
        <v>103</v>
      </c>
      <c r="Q34" s="162"/>
      <c r="R34" s="162"/>
      <c r="S34" s="163"/>
    </row>
    <row r="35" ht="15.75" customHeight="1">
      <c r="B35" s="44">
        <v>27.0</v>
      </c>
      <c r="C35" s="44" t="s">
        <v>41</v>
      </c>
      <c r="D35" s="55">
        <v>18000.0</v>
      </c>
      <c r="E35" s="55">
        <f>19346.86</f>
        <v>19346.86</v>
      </c>
      <c r="F35" s="51">
        <f t="shared" si="1"/>
        <v>1346.86</v>
      </c>
      <c r="H35" s="44">
        <v>27.0</v>
      </c>
      <c r="I35" s="44" t="s">
        <v>41</v>
      </c>
      <c r="J35" s="55">
        <v>13400.0</v>
      </c>
      <c r="K35" s="55">
        <f>14525.04-948</f>
        <v>13577.04</v>
      </c>
      <c r="L35" s="51">
        <f t="shared" si="2"/>
        <v>177.04</v>
      </c>
      <c r="O35" s="92" t="s">
        <v>72</v>
      </c>
      <c r="P35" s="93" t="s">
        <v>73</v>
      </c>
      <c r="Q35" s="94">
        <f>Q21+Q24+Q27+Q30+Q32</f>
        <v>355542.94</v>
      </c>
      <c r="R35" s="164" t="s">
        <v>74</v>
      </c>
      <c r="S35" s="96">
        <f>S21+S24+S27+S30+S32</f>
        <v>283890.07</v>
      </c>
      <c r="T35" s="92" t="s">
        <v>72</v>
      </c>
    </row>
    <row r="36" ht="15.75" customHeight="1">
      <c r="B36" s="44">
        <v>28.0</v>
      </c>
      <c r="C36" s="44" t="s">
        <v>44</v>
      </c>
      <c r="D36" s="55">
        <v>20000.0</v>
      </c>
      <c r="E36" s="55">
        <f>17067.5</f>
        <v>17067.5</v>
      </c>
      <c r="F36" s="51">
        <f t="shared" si="1"/>
        <v>-2932.5</v>
      </c>
      <c r="H36" s="44">
        <v>28.0</v>
      </c>
      <c r="I36" s="44" t="s">
        <v>44</v>
      </c>
      <c r="J36" s="59">
        <v>20900.0</v>
      </c>
      <c r="K36" s="55">
        <f>21133.75-1654</f>
        <v>19479.75</v>
      </c>
      <c r="L36" s="51">
        <f t="shared" si="2"/>
        <v>-1420.25</v>
      </c>
      <c r="O36" s="97">
        <f>Q36-R36</f>
        <v>0.01583697143</v>
      </c>
      <c r="P36" s="98"/>
      <c r="Q36" s="99">
        <f>Q35/Q19</f>
        <v>1.015836971</v>
      </c>
      <c r="R36" s="165">
        <f>31/31</f>
        <v>1</v>
      </c>
      <c r="S36" s="100">
        <f>S35/S19</f>
        <v>1.006702376</v>
      </c>
      <c r="T36" s="97">
        <f>S36-R36</f>
        <v>0.006702375887</v>
      </c>
    </row>
    <row r="37" ht="15.75" customHeight="1">
      <c r="B37" s="44">
        <v>29.0</v>
      </c>
      <c r="C37" s="44" t="s">
        <v>45</v>
      </c>
      <c r="D37" s="55">
        <v>6200.0</v>
      </c>
      <c r="E37" s="55">
        <f>3062.35</f>
        <v>3062.35</v>
      </c>
      <c r="F37" s="51">
        <f t="shared" si="1"/>
        <v>-3137.65</v>
      </c>
      <c r="H37" s="44">
        <v>29.0</v>
      </c>
      <c r="I37" s="44" t="s">
        <v>45</v>
      </c>
      <c r="J37" s="55">
        <v>4200.0</v>
      </c>
      <c r="K37" s="55">
        <f>5053.89-382-9</f>
        <v>4662.89</v>
      </c>
      <c r="L37" s="51">
        <f t="shared" si="2"/>
        <v>462.89</v>
      </c>
      <c r="P37" s="98" t="s">
        <v>76</v>
      </c>
      <c r="Q37" s="104">
        <f>Q19-Q35</f>
        <v>-5542.94</v>
      </c>
      <c r="R37" s="99"/>
      <c r="S37" s="106">
        <f>S19-S35</f>
        <v>-1890.07</v>
      </c>
    </row>
    <row r="38" ht="15.75" customHeight="1">
      <c r="B38" s="44">
        <v>30.0</v>
      </c>
      <c r="C38" s="44" t="s">
        <v>46</v>
      </c>
      <c r="D38" s="55">
        <v>5440.0</v>
      </c>
      <c r="E38" s="55">
        <f>4434.2</f>
        <v>4434.2</v>
      </c>
      <c r="F38" s="51">
        <f t="shared" si="1"/>
        <v>-1005.8</v>
      </c>
      <c r="H38" s="44">
        <v>30.0</v>
      </c>
      <c r="I38" s="44" t="s">
        <v>46</v>
      </c>
      <c r="J38" s="55">
        <v>5200.0</v>
      </c>
      <c r="K38" s="55">
        <f>4671.02-325-9</f>
        <v>4337.02</v>
      </c>
      <c r="L38" s="51">
        <f t="shared" si="2"/>
        <v>-862.98</v>
      </c>
      <c r="P38" s="110"/>
      <c r="Q38" s="112">
        <f>Q37/Q19</f>
        <v>-0.01583697143</v>
      </c>
      <c r="R38" s="112"/>
      <c r="S38" s="113">
        <f>S37/S19</f>
        <v>-0.006702375887</v>
      </c>
    </row>
    <row r="39" ht="15.75" customHeight="1">
      <c r="B39" s="44">
        <v>31.0</v>
      </c>
      <c r="C39" s="44" t="s">
        <v>40</v>
      </c>
      <c r="D39" s="55">
        <v>7000.0</v>
      </c>
      <c r="E39" s="55">
        <f>7254.5</f>
        <v>7254.5</v>
      </c>
      <c r="F39" s="51">
        <f t="shared" si="1"/>
        <v>254.5</v>
      </c>
      <c r="H39" s="44">
        <v>31.0</v>
      </c>
      <c r="I39" s="44" t="s">
        <v>40</v>
      </c>
      <c r="J39" s="55">
        <v>4837.0</v>
      </c>
      <c r="K39" s="55">
        <f>7218.02-491</f>
        <v>6727.02</v>
      </c>
      <c r="L39" s="51">
        <f t="shared" si="2"/>
        <v>1890.02</v>
      </c>
    </row>
    <row r="40" ht="15.75" customHeight="1">
      <c r="B40" s="8"/>
      <c r="C40" s="8"/>
      <c r="D40" s="107">
        <f t="shared" ref="D40:F40" si="3">SUM(D9:D39)</f>
        <v>350000</v>
      </c>
      <c r="E40" s="107">
        <f t="shared" si="3"/>
        <v>355542.94</v>
      </c>
      <c r="F40" s="105">
        <f t="shared" si="3"/>
        <v>5542.94</v>
      </c>
      <c r="H40" s="8"/>
      <c r="I40" s="8"/>
      <c r="J40" s="107">
        <f t="shared" ref="J40:L40" si="4">SUM(J9:J39)</f>
        <v>282637</v>
      </c>
      <c r="K40" s="107">
        <f t="shared" si="4"/>
        <v>283890.07</v>
      </c>
      <c r="L40" s="105">
        <f t="shared" si="4"/>
        <v>1253.07</v>
      </c>
    </row>
    <row r="41" ht="15.75" customHeight="1">
      <c r="E41" s="114">
        <f>E40/C44</f>
        <v>1.015836971</v>
      </c>
      <c r="F41" s="1"/>
      <c r="G41" s="1"/>
      <c r="H41" s="1"/>
      <c r="I41" s="1"/>
      <c r="J41" s="1"/>
      <c r="K41" s="114">
        <f>K40/I44</f>
        <v>1.006702376</v>
      </c>
      <c r="L41" s="1"/>
    </row>
    <row r="42" ht="15.75" customHeight="1">
      <c r="F42" s="1"/>
      <c r="G42" s="13"/>
      <c r="H42" s="1"/>
      <c r="I42" s="1"/>
      <c r="J42" s="1"/>
      <c r="K42" s="1"/>
      <c r="L42" s="13"/>
    </row>
    <row r="43" ht="15.75" customHeight="1">
      <c r="D43" s="115" t="s">
        <v>77</v>
      </c>
      <c r="E43" s="118">
        <f>D40+F40</f>
        <v>355542.94</v>
      </c>
      <c r="F43" s="1"/>
      <c r="G43" s="1"/>
      <c r="H43" s="158"/>
      <c r="J43" s="115" t="s">
        <v>77</v>
      </c>
      <c r="K43" s="118">
        <f>J40+L40</f>
        <v>283890.07</v>
      </c>
      <c r="L43" s="1"/>
      <c r="M43" s="158"/>
    </row>
    <row r="44" ht="15.75" customHeight="1">
      <c r="B44" s="122" t="s">
        <v>29</v>
      </c>
      <c r="C44" s="124">
        <v>350000.0</v>
      </c>
      <c r="E44" s="1"/>
      <c r="F44" s="1"/>
      <c r="G44" s="1"/>
      <c r="H44" s="122" t="s">
        <v>29</v>
      </c>
      <c r="I44" s="124">
        <v>282000.0</v>
      </c>
      <c r="J44" s="1"/>
      <c r="K44" s="1"/>
      <c r="M44" s="1"/>
      <c r="N44" s="1"/>
    </row>
    <row r="45" ht="15.75" customHeight="1"/>
    <row r="46" ht="15.75" customHeight="1">
      <c r="E46" s="58" t="s">
        <v>104</v>
      </c>
      <c r="F46" s="58" t="s">
        <v>105</v>
      </c>
    </row>
    <row r="47" ht="15.75" customHeight="1">
      <c r="E47" s="61">
        <f>C44+I44</f>
        <v>632000</v>
      </c>
      <c r="F47" s="131">
        <f>E43+K43</f>
        <v>639433.01</v>
      </c>
    </row>
    <row r="48" ht="15.75" customHeight="1"/>
    <row r="49" ht="15.75" customHeight="1">
      <c r="D49" s="166"/>
      <c r="E49" s="166" t="s">
        <v>106</v>
      </c>
      <c r="F49" s="166" t="s">
        <v>107</v>
      </c>
    </row>
    <row r="50" ht="15.75" customHeight="1">
      <c r="D50" s="166" t="s">
        <v>108</v>
      </c>
      <c r="E50" s="69">
        <f>7210.8</f>
        <v>7210.8</v>
      </c>
      <c r="F50" s="167">
        <f t="shared" ref="F50:F51" si="5">E50*25%</f>
        <v>1802.7</v>
      </c>
    </row>
    <row r="51" ht="15.75" customHeight="1">
      <c r="D51" s="166" t="s">
        <v>109</v>
      </c>
      <c r="E51" s="167">
        <f>3117.29</f>
        <v>3117.29</v>
      </c>
      <c r="F51" s="167">
        <f t="shared" si="5"/>
        <v>779.3225</v>
      </c>
    </row>
    <row r="52" ht="15.75" customHeight="1">
      <c r="D52" s="166"/>
      <c r="E52" s="166" t="s">
        <v>110</v>
      </c>
      <c r="F52" s="168">
        <f>SUM(F50:F51)</f>
        <v>2582.0225</v>
      </c>
    </row>
    <row r="53" ht="15.75" customHeight="1">
      <c r="D53" s="169"/>
      <c r="E53" s="58" t="s">
        <v>111</v>
      </c>
      <c r="F53" s="170">
        <v>2600.0</v>
      </c>
    </row>
    <row r="54" ht="15.75" customHeight="1">
      <c r="E54" s="58" t="s">
        <v>112</v>
      </c>
      <c r="F54" s="171">
        <v>850.0</v>
      </c>
    </row>
    <row r="55" ht="15.75" customHeight="1">
      <c r="E55" s="58" t="s">
        <v>113</v>
      </c>
      <c r="F55" s="172">
        <f>SUM(F53:F54)</f>
        <v>3450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5:F7"/>
    <mergeCell ref="H5:L7"/>
    <mergeCell ref="P34:S34"/>
  </mergeCells>
  <conditionalFormatting sqref="F9:F40">
    <cfRule type="cellIs" dxfId="0" priority="1" operator="greaterThanOrEqual">
      <formula>0</formula>
    </cfRule>
  </conditionalFormatting>
  <conditionalFormatting sqref="F9:F40">
    <cfRule type="cellIs" dxfId="1" priority="2" operator="lessThan">
      <formula>0</formula>
    </cfRule>
  </conditionalFormatting>
  <conditionalFormatting sqref="F9:F40">
    <cfRule type="cellIs" dxfId="2" priority="3" operator="lessThan">
      <formula>0</formula>
    </cfRule>
  </conditionalFormatting>
  <conditionalFormatting sqref="L9:L40">
    <cfRule type="cellIs" dxfId="0" priority="4" operator="greaterThanOrEqual">
      <formula>0</formula>
    </cfRule>
  </conditionalFormatting>
  <conditionalFormatting sqref="L9:L40">
    <cfRule type="cellIs" dxfId="1" priority="5" operator="lessThan">
      <formula>0</formula>
    </cfRule>
  </conditionalFormatting>
  <conditionalFormatting sqref="L9:L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7.11"/>
    <col customWidth="1" min="3" max="3" width="19.67"/>
    <col customWidth="1" min="4" max="4" width="18.67"/>
    <col customWidth="1" min="5" max="5" width="17.11"/>
    <col customWidth="1" min="6" max="6" width="18.78"/>
    <col customWidth="1" min="7" max="7" width="13.0"/>
    <col customWidth="1" min="8" max="8" width="21.0"/>
    <col customWidth="1" min="9" max="9" width="20.11"/>
    <col customWidth="1" min="10" max="10" width="14.78"/>
    <col customWidth="1" min="11" max="11" width="19.67"/>
    <col customWidth="1" min="12" max="12" width="18.67"/>
    <col customWidth="1" min="13" max="13" width="20.11"/>
    <col customWidth="1" min="14" max="14" width="18.78"/>
    <col customWidth="1" min="15" max="15" width="18.33"/>
    <col customWidth="1" min="16" max="16" width="17.0"/>
    <col customWidth="1" min="17" max="17" width="19.0"/>
    <col customWidth="1" min="18" max="18" width="18.78"/>
    <col customWidth="1" min="19" max="19" width="22.0"/>
    <col customWidth="1" min="20" max="20" width="15.78"/>
    <col customWidth="1" min="21" max="21" width="17.67"/>
    <col customWidth="1" min="22" max="23" width="11.0"/>
    <col customWidth="1" min="24" max="25" width="15.0"/>
    <col customWidth="1" min="26" max="26" width="15.11"/>
    <col customWidth="1" min="27" max="28" width="16.0"/>
    <col customWidth="1" min="29" max="30" width="15.0"/>
    <col customWidth="1" min="31" max="31" width="15.78"/>
    <col customWidth="1" min="32" max="32" width="11.0"/>
    <col customWidth="1" min="33" max="33" width="13.78"/>
    <col customWidth="1" min="34" max="34" width="21.44"/>
    <col customWidth="1" min="35" max="35" width="16.0"/>
    <col customWidth="1" min="36" max="36" width="22.44"/>
    <col customWidth="1" min="37" max="37" width="21.33"/>
    <col customWidth="1" min="38" max="38" width="14.11"/>
    <col customWidth="1" min="39" max="39" width="15.67"/>
    <col customWidth="1" min="40" max="40" width="21.44"/>
    <col customWidth="1" min="41" max="41" width="23.67"/>
    <col customWidth="1" min="42" max="42" width="21.0"/>
  </cols>
  <sheetData>
    <row r="1" ht="10.5" customHeight="1"/>
    <row r="2" ht="15.75" customHeight="1"/>
    <row r="3" ht="16.5" customHeight="1"/>
    <row r="4" ht="16.5" customHeight="1">
      <c r="B4" s="2"/>
      <c r="C4" s="2"/>
      <c r="D4" s="2"/>
      <c r="E4" s="2"/>
      <c r="L4" s="2"/>
      <c r="M4" s="2"/>
      <c r="P4" s="2"/>
      <c r="Q4" s="2"/>
      <c r="R4" s="2"/>
      <c r="S4" s="2"/>
      <c r="V4" s="15"/>
    </row>
    <row r="5" ht="15.75" customHeight="1">
      <c r="B5" s="2"/>
      <c r="C5" s="2"/>
      <c r="D5" s="2"/>
      <c r="E5" s="2"/>
      <c r="J5" s="17" t="s">
        <v>13</v>
      </c>
      <c r="K5" s="18"/>
      <c r="L5" s="18"/>
      <c r="M5" s="18"/>
      <c r="N5" s="19"/>
      <c r="P5" s="27" t="s">
        <v>22</v>
      </c>
      <c r="Q5" s="18"/>
      <c r="R5" s="18"/>
      <c r="S5" s="18"/>
      <c r="T5" s="19"/>
    </row>
    <row r="6" ht="9.0" customHeight="1">
      <c r="B6" s="2"/>
      <c r="C6" s="2"/>
      <c r="D6" s="2"/>
      <c r="E6" s="2"/>
      <c r="J6" s="31"/>
      <c r="N6" s="32"/>
      <c r="P6" s="31"/>
      <c r="T6" s="32"/>
      <c r="AN6" s="2"/>
      <c r="AO6" s="2"/>
    </row>
    <row r="7" ht="15.0" customHeight="1">
      <c r="B7" s="2"/>
      <c r="C7" s="2"/>
      <c r="D7" s="2"/>
      <c r="E7" s="2"/>
      <c r="J7" s="34"/>
      <c r="K7" s="35"/>
      <c r="L7" s="35"/>
      <c r="M7" s="35"/>
      <c r="N7" s="36"/>
      <c r="P7" s="34"/>
      <c r="Q7" s="35"/>
      <c r="R7" s="35"/>
      <c r="S7" s="35"/>
      <c r="T7" s="36"/>
      <c r="AG7" s="1"/>
      <c r="AH7" s="1"/>
      <c r="AI7" s="1"/>
      <c r="AJ7" s="1"/>
      <c r="AK7" s="1"/>
      <c r="AL7" s="1"/>
      <c r="AM7" s="1"/>
      <c r="AN7" s="8"/>
      <c r="AO7" s="8"/>
      <c r="AP7" s="1"/>
    </row>
    <row r="8" ht="21.75" customHeight="1">
      <c r="B8" s="2"/>
      <c r="C8" s="2"/>
      <c r="D8" s="2"/>
      <c r="E8" s="2"/>
      <c r="J8" s="40" t="s">
        <v>28</v>
      </c>
      <c r="K8" s="41"/>
      <c r="L8" s="41"/>
      <c r="M8" s="41"/>
      <c r="N8" s="6"/>
      <c r="P8" s="136" t="s">
        <v>28</v>
      </c>
      <c r="Q8" s="136"/>
      <c r="R8" s="136"/>
      <c r="S8" s="136"/>
      <c r="T8" s="136"/>
      <c r="X8" s="1"/>
      <c r="Y8" s="3"/>
      <c r="Z8" s="3"/>
      <c r="AB8" s="1"/>
      <c r="AC8" s="3"/>
      <c r="AG8" s="1"/>
      <c r="AH8" s="137" t="s">
        <v>84</v>
      </c>
      <c r="AI8" s="41"/>
      <c r="AJ8" s="6"/>
      <c r="AL8" s="137" t="s">
        <v>83</v>
      </c>
      <c r="AM8" s="41"/>
      <c r="AN8" s="6"/>
    </row>
    <row r="9" ht="31.5" customHeight="1">
      <c r="B9" s="2"/>
      <c r="C9" s="2"/>
      <c r="D9" s="2"/>
      <c r="E9" s="2"/>
      <c r="J9" s="44" t="s">
        <v>32</v>
      </c>
      <c r="K9" s="44" t="s">
        <v>33</v>
      </c>
      <c r="L9" s="44" t="s">
        <v>36</v>
      </c>
      <c r="M9" s="44" t="s">
        <v>37</v>
      </c>
      <c r="N9" s="44" t="s">
        <v>38</v>
      </c>
      <c r="P9" s="44" t="s">
        <v>32</v>
      </c>
      <c r="Q9" s="44" t="s">
        <v>33</v>
      </c>
      <c r="R9" s="44" t="s">
        <v>36</v>
      </c>
      <c r="S9" s="44" t="s">
        <v>37</v>
      </c>
      <c r="T9" s="44" t="s">
        <v>38</v>
      </c>
      <c r="X9" s="1"/>
      <c r="Y9" s="1"/>
      <c r="Z9" s="3"/>
      <c r="AA9" s="3"/>
      <c r="AG9" s="1"/>
      <c r="AH9" s="44" t="s">
        <v>32</v>
      </c>
      <c r="AI9" s="44" t="s">
        <v>33</v>
      </c>
      <c r="AJ9" s="138" t="s">
        <v>99</v>
      </c>
      <c r="AL9" s="44" t="s">
        <v>32</v>
      </c>
      <c r="AM9" s="44" t="s">
        <v>33</v>
      </c>
      <c r="AN9" s="138" t="s">
        <v>100</v>
      </c>
    </row>
    <row r="10" ht="15.75" customHeight="1">
      <c r="B10" s="2"/>
      <c r="C10" s="2"/>
      <c r="D10" s="2"/>
      <c r="E10" s="2"/>
      <c r="J10" s="47">
        <v>1.0</v>
      </c>
      <c r="K10" s="44" t="s">
        <v>45</v>
      </c>
      <c r="L10" s="55">
        <v>6200.0</v>
      </c>
      <c r="M10" s="55">
        <f>6269</f>
        <v>6269</v>
      </c>
      <c r="N10" s="51">
        <f t="shared" ref="N10:N40" si="1">M10-L10</f>
        <v>69</v>
      </c>
      <c r="P10" s="47">
        <v>1.0</v>
      </c>
      <c r="Q10" s="44" t="s">
        <v>45</v>
      </c>
      <c r="R10" s="55">
        <v>4200.0</v>
      </c>
      <c r="S10" s="55">
        <f>4901.1-350</f>
        <v>4551.1</v>
      </c>
      <c r="T10" s="51">
        <f t="shared" ref="T10:T40" si="2">S10-R10</f>
        <v>351.1</v>
      </c>
      <c r="X10" s="139" t="s">
        <v>89</v>
      </c>
      <c r="Y10" s="41"/>
      <c r="Z10" s="41"/>
      <c r="AA10" s="6"/>
      <c r="AC10" s="139" t="s">
        <v>1</v>
      </c>
      <c r="AD10" s="41"/>
      <c r="AE10" s="6"/>
      <c r="AG10" s="1"/>
      <c r="AH10" s="47">
        <v>1.0</v>
      </c>
      <c r="AI10" s="44" t="s">
        <v>47</v>
      </c>
      <c r="AJ10" s="160">
        <f>9878.35</f>
        <v>9878.35</v>
      </c>
      <c r="AL10" s="47">
        <v>1.0</v>
      </c>
      <c r="AM10" s="44" t="s">
        <v>47</v>
      </c>
      <c r="AN10" s="144">
        <v>6832.18</v>
      </c>
    </row>
    <row r="11" ht="15.75" customHeight="1">
      <c r="B11" s="2"/>
      <c r="C11" s="2"/>
      <c r="D11" s="2"/>
      <c r="E11" s="2"/>
      <c r="J11" s="47">
        <v>2.0</v>
      </c>
      <c r="K11" s="44" t="s">
        <v>46</v>
      </c>
      <c r="L11" s="55">
        <v>5440.0</v>
      </c>
      <c r="M11" s="55">
        <f>6467.05</f>
        <v>6467.05</v>
      </c>
      <c r="N11" s="51">
        <f t="shared" si="1"/>
        <v>1027.05</v>
      </c>
      <c r="P11" s="47">
        <v>2.0</v>
      </c>
      <c r="Q11" s="44" t="s">
        <v>46</v>
      </c>
      <c r="R11" s="55">
        <v>5200.0</v>
      </c>
      <c r="S11" s="55">
        <f>4662.88-378</f>
        <v>4284.88</v>
      </c>
      <c r="T11" s="51">
        <f t="shared" si="2"/>
        <v>-915.12</v>
      </c>
      <c r="X11" s="140"/>
      <c r="Y11" s="141">
        <v>45108.0</v>
      </c>
      <c r="Z11" s="141">
        <v>45139.0</v>
      </c>
      <c r="AA11" s="142" t="s">
        <v>90</v>
      </c>
      <c r="AC11" s="140"/>
      <c r="AD11" s="141">
        <v>45474.0</v>
      </c>
      <c r="AE11" s="141" t="s">
        <v>101</v>
      </c>
      <c r="AG11" s="1"/>
      <c r="AH11" s="47">
        <v>2.0</v>
      </c>
      <c r="AI11" s="44" t="s">
        <v>48</v>
      </c>
      <c r="AJ11" s="144">
        <v>15075.78</v>
      </c>
      <c r="AL11" s="47">
        <v>2.0</v>
      </c>
      <c r="AM11" s="44" t="s">
        <v>48</v>
      </c>
      <c r="AN11" s="144">
        <v>12252.99</v>
      </c>
    </row>
    <row r="12" ht="15.75" customHeight="1">
      <c r="B12" s="2"/>
      <c r="C12" s="2"/>
      <c r="D12" s="2"/>
      <c r="E12" s="2"/>
      <c r="J12" s="47">
        <v>3.0</v>
      </c>
      <c r="K12" s="44" t="s">
        <v>40</v>
      </c>
      <c r="L12" s="55">
        <v>7000.0</v>
      </c>
      <c r="M12" s="55">
        <f>4237.5</f>
        <v>4237.5</v>
      </c>
      <c r="N12" s="51">
        <f t="shared" si="1"/>
        <v>-2762.5</v>
      </c>
      <c r="P12" s="47">
        <v>3.0</v>
      </c>
      <c r="Q12" s="44" t="s">
        <v>40</v>
      </c>
      <c r="R12" s="55">
        <v>4200.0</v>
      </c>
      <c r="S12" s="55">
        <f>5883.69-503</f>
        <v>5380.69</v>
      </c>
      <c r="T12" s="51">
        <f t="shared" si="2"/>
        <v>1180.69</v>
      </c>
      <c r="X12" s="140" t="s">
        <v>6</v>
      </c>
      <c r="Y12" s="55">
        <v>4324.88</v>
      </c>
      <c r="Z12" s="55">
        <v>4617.36</v>
      </c>
      <c r="AA12" s="143">
        <f t="shared" ref="AA12:AA18" si="3">Z12/Y12-1</f>
        <v>0.06762730989</v>
      </c>
      <c r="AC12" s="140" t="s">
        <v>6</v>
      </c>
      <c r="AD12" s="55">
        <v>6879.84</v>
      </c>
      <c r="AE12" s="144">
        <f t="shared" ref="AE12:AE18" si="4">AD12*AA12+AD12</f>
        <v>7345.105072</v>
      </c>
      <c r="AG12" s="1"/>
      <c r="AH12" s="47">
        <v>3.0</v>
      </c>
      <c r="AI12" s="44" t="s">
        <v>41</v>
      </c>
      <c r="AJ12" s="144">
        <v>18398.44</v>
      </c>
      <c r="AL12" s="47">
        <v>3.0</v>
      </c>
      <c r="AM12" s="44" t="s">
        <v>41</v>
      </c>
      <c r="AN12" s="144">
        <v>13000.0</v>
      </c>
    </row>
    <row r="13" ht="15.75" customHeight="1">
      <c r="B13" s="2"/>
      <c r="C13" s="2"/>
      <c r="D13" s="2"/>
      <c r="E13" s="2"/>
      <c r="J13" s="47">
        <v>4.0</v>
      </c>
      <c r="K13" s="44" t="s">
        <v>47</v>
      </c>
      <c r="L13" s="55">
        <v>6600.0</v>
      </c>
      <c r="M13" s="55">
        <f>5210.45</f>
        <v>5210.45</v>
      </c>
      <c r="N13" s="51">
        <f t="shared" si="1"/>
        <v>-1389.55</v>
      </c>
      <c r="P13" s="47">
        <v>4.0</v>
      </c>
      <c r="Q13" s="44" t="s">
        <v>47</v>
      </c>
      <c r="R13" s="55">
        <v>7200.0</v>
      </c>
      <c r="S13" s="55">
        <f>4048.6-341</f>
        <v>3707.6</v>
      </c>
      <c r="T13" s="51">
        <f t="shared" si="2"/>
        <v>-3492.4</v>
      </c>
      <c r="X13" s="140" t="s">
        <v>10</v>
      </c>
      <c r="Y13" s="55">
        <v>6342.75</v>
      </c>
      <c r="Z13" s="55">
        <v>4490.59</v>
      </c>
      <c r="AA13" s="143">
        <f t="shared" si="3"/>
        <v>-0.2920121398</v>
      </c>
      <c r="AC13" s="140" t="s">
        <v>10</v>
      </c>
      <c r="AD13" s="55">
        <v>5956.3</v>
      </c>
      <c r="AE13" s="144">
        <f t="shared" si="4"/>
        <v>4216.988091</v>
      </c>
      <c r="AG13" s="1"/>
      <c r="AH13" s="47">
        <v>4.0</v>
      </c>
      <c r="AI13" s="44" t="s">
        <v>44</v>
      </c>
      <c r="AJ13" s="144">
        <v>19189.28</v>
      </c>
      <c r="AL13" s="47">
        <v>4.0</v>
      </c>
      <c r="AM13" s="44" t="s">
        <v>44</v>
      </c>
      <c r="AN13" s="144">
        <v>21000.0</v>
      </c>
    </row>
    <row r="14" ht="15.75" customHeight="1">
      <c r="B14" s="2"/>
      <c r="C14" s="2"/>
      <c r="D14" s="2"/>
      <c r="E14" s="2"/>
      <c r="J14" s="47">
        <v>5.0</v>
      </c>
      <c r="K14" s="44" t="s">
        <v>48</v>
      </c>
      <c r="L14" s="55">
        <v>14200.0</v>
      </c>
      <c r="M14" s="55">
        <f>15815.8-285</f>
        <v>15530.8</v>
      </c>
      <c r="N14" s="51">
        <f t="shared" si="1"/>
        <v>1330.8</v>
      </c>
      <c r="P14" s="47">
        <v>5.0</v>
      </c>
      <c r="Q14" s="44" t="s">
        <v>48</v>
      </c>
      <c r="R14" s="55">
        <v>9500.0</v>
      </c>
      <c r="S14" s="55">
        <f>13221.32-883</f>
        <v>12338.32</v>
      </c>
      <c r="T14" s="51">
        <f t="shared" si="2"/>
        <v>2838.32</v>
      </c>
      <c r="X14" s="140" t="s">
        <v>12</v>
      </c>
      <c r="Y14" s="55">
        <v>6104.15</v>
      </c>
      <c r="Z14" s="55">
        <v>7860.48</v>
      </c>
      <c r="AA14" s="143">
        <f t="shared" si="3"/>
        <v>0.287727202</v>
      </c>
      <c r="AC14" s="140" t="s">
        <v>12</v>
      </c>
      <c r="AD14" s="55">
        <v>5435.17</v>
      </c>
      <c r="AE14" s="144">
        <f t="shared" si="4"/>
        <v>6999.016256</v>
      </c>
      <c r="AF14" s="61"/>
      <c r="AG14" s="1"/>
      <c r="AH14" s="47">
        <v>5.0</v>
      </c>
      <c r="AI14" s="44" t="s">
        <v>45</v>
      </c>
      <c r="AJ14" s="144">
        <v>7345.11</v>
      </c>
      <c r="AL14" s="47">
        <v>5.0</v>
      </c>
      <c r="AM14" s="44" t="s">
        <v>45</v>
      </c>
      <c r="AN14" s="144">
        <v>3615.5</v>
      </c>
    </row>
    <row r="15" ht="15.75" customHeight="1">
      <c r="B15" s="2"/>
      <c r="C15" s="2"/>
      <c r="D15" s="2"/>
      <c r="E15" s="2"/>
      <c r="J15" s="47">
        <v>6.0</v>
      </c>
      <c r="K15" s="44" t="s">
        <v>41</v>
      </c>
      <c r="L15" s="55">
        <v>18000.0</v>
      </c>
      <c r="M15" s="55">
        <f>19147</f>
        <v>19147</v>
      </c>
      <c r="N15" s="51">
        <f t="shared" si="1"/>
        <v>1147</v>
      </c>
      <c r="P15" s="47">
        <v>6.0</v>
      </c>
      <c r="Q15" s="44" t="s">
        <v>41</v>
      </c>
      <c r="R15" s="55">
        <v>13400.0</v>
      </c>
      <c r="S15" s="55">
        <f>12874.21-995</f>
        <v>11879.21</v>
      </c>
      <c r="T15" s="51">
        <f t="shared" si="2"/>
        <v>-1520.79</v>
      </c>
      <c r="X15" s="140" t="s">
        <v>15</v>
      </c>
      <c r="Y15" s="55">
        <v>6926.74</v>
      </c>
      <c r="Z15" s="55">
        <v>5463.45</v>
      </c>
      <c r="AA15" s="143">
        <f t="shared" si="3"/>
        <v>-0.2112523352</v>
      </c>
      <c r="AC15" s="140" t="s">
        <v>15</v>
      </c>
      <c r="AD15" s="55">
        <v>7615.39</v>
      </c>
      <c r="AE15" s="144">
        <f t="shared" si="4"/>
        <v>6006.621079</v>
      </c>
      <c r="AG15" s="1"/>
      <c r="AH15" s="44">
        <v>6.0</v>
      </c>
      <c r="AI15" s="44" t="s">
        <v>46</v>
      </c>
      <c r="AJ15" s="144">
        <v>4216.99</v>
      </c>
      <c r="AL15" s="44">
        <v>6.0</v>
      </c>
      <c r="AM15" s="44" t="s">
        <v>46</v>
      </c>
      <c r="AN15" s="144">
        <v>5277.56</v>
      </c>
    </row>
    <row r="16" ht="15.75" customHeight="1">
      <c r="B16" s="2"/>
      <c r="C16" s="2"/>
      <c r="D16" s="2"/>
      <c r="E16" s="2"/>
      <c r="J16" s="47">
        <v>7.0</v>
      </c>
      <c r="K16" s="44" t="s">
        <v>44</v>
      </c>
      <c r="L16" s="55">
        <v>20000.0</v>
      </c>
      <c r="M16" s="55">
        <f>21120.95</f>
        <v>21120.95</v>
      </c>
      <c r="N16" s="51">
        <f t="shared" si="1"/>
        <v>1120.95</v>
      </c>
      <c r="P16" s="47">
        <v>7.0</v>
      </c>
      <c r="Q16" s="44" t="s">
        <v>44</v>
      </c>
      <c r="R16" s="59">
        <v>20900.0</v>
      </c>
      <c r="S16" s="55">
        <f>21279.16-1470</f>
        <v>19809.16</v>
      </c>
      <c r="T16" s="51">
        <f t="shared" si="2"/>
        <v>-1090.84</v>
      </c>
      <c r="X16" s="140" t="s">
        <v>17</v>
      </c>
      <c r="Y16" s="55">
        <v>11952.57</v>
      </c>
      <c r="Z16" s="55">
        <v>11200.49</v>
      </c>
      <c r="AA16" s="143">
        <f t="shared" si="3"/>
        <v>-0.06292203267</v>
      </c>
      <c r="AC16" s="140" t="s">
        <v>17</v>
      </c>
      <c r="AD16" s="55">
        <v>16088.07</v>
      </c>
      <c r="AE16" s="144">
        <f t="shared" si="4"/>
        <v>15075.77593</v>
      </c>
      <c r="AG16" s="1"/>
      <c r="AH16" s="44">
        <v>7.0</v>
      </c>
      <c r="AI16" s="44" t="s">
        <v>40</v>
      </c>
      <c r="AJ16" s="144">
        <v>6999.02</v>
      </c>
      <c r="AL16" s="44">
        <v>7.0</v>
      </c>
      <c r="AM16" s="44" t="s">
        <v>40</v>
      </c>
      <c r="AN16" s="144">
        <v>4784.47</v>
      </c>
    </row>
    <row r="17" ht="15.75" customHeight="1">
      <c r="B17" s="2"/>
      <c r="C17" s="2"/>
      <c r="D17" s="2"/>
      <c r="E17" s="2"/>
      <c r="J17" s="44">
        <v>8.0</v>
      </c>
      <c r="K17" s="44" t="s">
        <v>45</v>
      </c>
      <c r="L17" s="55">
        <v>6200.0</v>
      </c>
      <c r="M17" s="55">
        <f>9380.64</f>
        <v>9380.64</v>
      </c>
      <c r="N17" s="51">
        <f t="shared" si="1"/>
        <v>3180.64</v>
      </c>
      <c r="P17" s="44">
        <v>8.0</v>
      </c>
      <c r="Q17" s="44" t="s">
        <v>45</v>
      </c>
      <c r="R17" s="55">
        <v>4200.0</v>
      </c>
      <c r="S17" s="55">
        <f>6130.3-455</f>
        <v>5675.3</v>
      </c>
      <c r="T17" s="51">
        <f t="shared" si="2"/>
        <v>1475.3</v>
      </c>
      <c r="X17" s="140" t="s">
        <v>19</v>
      </c>
      <c r="Y17" s="55">
        <v>14238.68</v>
      </c>
      <c r="Z17" s="55">
        <v>14563.13</v>
      </c>
      <c r="AA17" s="143">
        <f t="shared" si="3"/>
        <v>0.02278652235</v>
      </c>
      <c r="AC17" s="140" t="s">
        <v>19</v>
      </c>
      <c r="AD17" s="55">
        <v>17988.54</v>
      </c>
      <c r="AE17" s="144">
        <f t="shared" si="4"/>
        <v>18398.43627</v>
      </c>
      <c r="AG17" s="1"/>
      <c r="AH17" s="44">
        <v>8.0</v>
      </c>
      <c r="AI17" s="44" t="s">
        <v>47</v>
      </c>
      <c r="AJ17" s="144">
        <v>6006.62</v>
      </c>
      <c r="AL17" s="44">
        <v>8.0</v>
      </c>
      <c r="AM17" s="44" t="s">
        <v>47</v>
      </c>
      <c r="AN17" s="144">
        <v>6832.18</v>
      </c>
    </row>
    <row r="18" ht="15.75" customHeight="1">
      <c r="B18" s="2"/>
      <c r="C18" s="2"/>
      <c r="D18" s="2"/>
      <c r="E18" s="2"/>
      <c r="J18" s="44">
        <v>9.0</v>
      </c>
      <c r="K18" s="44" t="s">
        <v>46</v>
      </c>
      <c r="L18" s="55">
        <v>5440.0</v>
      </c>
      <c r="M18" s="55">
        <f>4947</f>
        <v>4947</v>
      </c>
      <c r="N18" s="51">
        <f t="shared" si="1"/>
        <v>-493</v>
      </c>
      <c r="P18" s="44">
        <v>9.0</v>
      </c>
      <c r="Q18" s="44" t="s">
        <v>46</v>
      </c>
      <c r="R18" s="55">
        <v>5200.0</v>
      </c>
      <c r="S18" s="55">
        <f>2461.66+1582.4-311</f>
        <v>3733.06</v>
      </c>
      <c r="T18" s="51">
        <f t="shared" si="2"/>
        <v>-1466.94</v>
      </c>
      <c r="X18" s="140" t="s">
        <v>20</v>
      </c>
      <c r="Y18" s="55">
        <v>16108.8</v>
      </c>
      <c r="Z18" s="55">
        <v>15315.01</v>
      </c>
      <c r="AA18" s="145">
        <f t="shared" si="3"/>
        <v>-0.04927679281</v>
      </c>
      <c r="AC18" s="140" t="s">
        <v>20</v>
      </c>
      <c r="AD18" s="55">
        <v>20183.88</v>
      </c>
      <c r="AE18" s="144">
        <f t="shared" si="4"/>
        <v>19189.28313</v>
      </c>
      <c r="AG18" s="1"/>
      <c r="AH18" s="44">
        <v>9.0</v>
      </c>
      <c r="AI18" s="44" t="s">
        <v>48</v>
      </c>
      <c r="AJ18" s="144">
        <v>15075.78</v>
      </c>
      <c r="AL18" s="44">
        <v>9.0</v>
      </c>
      <c r="AM18" s="44" t="s">
        <v>48</v>
      </c>
      <c r="AN18" s="144">
        <v>12252.99</v>
      </c>
    </row>
    <row r="19" ht="15.75" customHeight="1">
      <c r="B19" s="2"/>
      <c r="C19" s="2"/>
      <c r="D19" s="2"/>
      <c r="E19" s="2"/>
      <c r="J19" s="149">
        <v>10.0</v>
      </c>
      <c r="K19" s="149" t="s">
        <v>40</v>
      </c>
      <c r="L19" s="150">
        <v>20000.0</v>
      </c>
      <c r="M19" s="150">
        <f>20342.45</f>
        <v>20342.45</v>
      </c>
      <c r="N19" s="51">
        <f t="shared" si="1"/>
        <v>342.45</v>
      </c>
      <c r="P19" s="149">
        <v>10.0</v>
      </c>
      <c r="Q19" s="149" t="s">
        <v>40</v>
      </c>
      <c r="R19" s="150">
        <f>6744.47+128+120+7759.36-1191-560.83</f>
        <v>13000</v>
      </c>
      <c r="S19" s="150">
        <f>6744.47+128+120+7759.36-1191</f>
        <v>13560.83</v>
      </c>
      <c r="T19" s="51">
        <f t="shared" si="2"/>
        <v>560.83</v>
      </c>
      <c r="X19" s="1"/>
      <c r="Y19" s="8"/>
      <c r="AB19" s="1"/>
      <c r="AC19" s="8"/>
      <c r="AD19" s="8"/>
      <c r="AH19" s="44">
        <v>10.0</v>
      </c>
      <c r="AI19" s="44" t="s">
        <v>41</v>
      </c>
      <c r="AJ19" s="144">
        <v>18398.44</v>
      </c>
      <c r="AL19" s="44">
        <v>10.0</v>
      </c>
      <c r="AM19" s="44" t="s">
        <v>41</v>
      </c>
      <c r="AN19" s="144">
        <v>13000.0</v>
      </c>
    </row>
    <row r="20" ht="15.75" customHeight="1">
      <c r="B20" s="2"/>
      <c r="C20" s="2"/>
      <c r="D20" s="2"/>
      <c r="E20" s="2"/>
      <c r="J20" s="44">
        <v>11.0</v>
      </c>
      <c r="K20" s="44" t="s">
        <v>47</v>
      </c>
      <c r="L20" s="55">
        <v>6600.0</v>
      </c>
      <c r="M20" s="55">
        <f>6475.5</f>
        <v>6475.5</v>
      </c>
      <c r="N20" s="51">
        <f t="shared" si="1"/>
        <v>-124.5</v>
      </c>
      <c r="P20" s="44">
        <v>11.0</v>
      </c>
      <c r="Q20" s="44" t="s">
        <v>47</v>
      </c>
      <c r="R20" s="55">
        <v>7200.0</v>
      </c>
      <c r="S20" s="55">
        <f>6767.73-645</f>
        <v>6122.73</v>
      </c>
      <c r="T20" s="51">
        <f t="shared" si="2"/>
        <v>-1077.27</v>
      </c>
      <c r="X20" s="139" t="s">
        <v>93</v>
      </c>
      <c r="Y20" s="41"/>
      <c r="Z20" s="41"/>
      <c r="AA20" s="6"/>
      <c r="AC20" s="139" t="s">
        <v>5</v>
      </c>
      <c r="AD20" s="41"/>
      <c r="AE20" s="6"/>
      <c r="AH20" s="44">
        <v>11.0</v>
      </c>
      <c r="AI20" s="44" t="s">
        <v>44</v>
      </c>
      <c r="AJ20" s="160">
        <f>19189.28+2722.47</f>
        <v>21911.75</v>
      </c>
      <c r="AL20" s="44">
        <v>11.0</v>
      </c>
      <c r="AM20" s="44" t="s">
        <v>44</v>
      </c>
      <c r="AN20" s="144">
        <f>21000+864.03</f>
        <v>21864.03</v>
      </c>
    </row>
    <row r="21" ht="18.0" customHeight="1">
      <c r="B21" s="2"/>
      <c r="C21" s="2"/>
      <c r="D21" s="2"/>
      <c r="E21" s="2"/>
      <c r="J21" s="44">
        <v>12.0</v>
      </c>
      <c r="K21" s="44" t="s">
        <v>48</v>
      </c>
      <c r="L21" s="55">
        <v>14100.0</v>
      </c>
      <c r="M21" s="55">
        <f>15777.65+2851.5-285</f>
        <v>18344.15</v>
      </c>
      <c r="N21" s="51">
        <f t="shared" si="1"/>
        <v>4244.15</v>
      </c>
      <c r="P21" s="44">
        <v>12.0</v>
      </c>
      <c r="Q21" s="44" t="s">
        <v>48</v>
      </c>
      <c r="R21" s="55">
        <v>9500.0</v>
      </c>
      <c r="S21" s="55">
        <f>9242.6-705</f>
        <v>8537.6</v>
      </c>
      <c r="T21" s="51">
        <f t="shared" si="2"/>
        <v>-962.4</v>
      </c>
      <c r="X21" s="140"/>
      <c r="Y21" s="141">
        <v>45108.0</v>
      </c>
      <c r="Z21" s="141">
        <v>45139.0</v>
      </c>
      <c r="AA21" s="142" t="s">
        <v>90</v>
      </c>
      <c r="AC21" s="140"/>
      <c r="AD21" s="141">
        <v>45474.0</v>
      </c>
      <c r="AE21" s="141" t="s">
        <v>101</v>
      </c>
      <c r="AH21" s="44">
        <v>12.0</v>
      </c>
      <c r="AI21" s="44" t="s">
        <v>45</v>
      </c>
      <c r="AJ21" s="144">
        <v>7345.11</v>
      </c>
      <c r="AL21" s="44">
        <v>12.0</v>
      </c>
      <c r="AM21" s="44" t="s">
        <v>45</v>
      </c>
      <c r="AN21" s="144">
        <v>3615.5</v>
      </c>
    </row>
    <row r="22" ht="15.75" customHeight="1">
      <c r="B22" s="2"/>
      <c r="C22" s="2"/>
      <c r="D22" s="2"/>
      <c r="E22" s="2"/>
      <c r="J22" s="44">
        <v>13.0</v>
      </c>
      <c r="K22" s="44" t="s">
        <v>41</v>
      </c>
      <c r="L22" s="55">
        <v>18000.0</v>
      </c>
      <c r="M22" s="55">
        <f>17100</f>
        <v>17100</v>
      </c>
      <c r="N22" s="51">
        <f t="shared" si="1"/>
        <v>-900</v>
      </c>
      <c r="P22" s="44">
        <v>13.0</v>
      </c>
      <c r="Q22" s="44" t="s">
        <v>41</v>
      </c>
      <c r="R22" s="55">
        <v>13400.0</v>
      </c>
      <c r="S22" s="55">
        <f>14329.81-995-12</f>
        <v>13322.81</v>
      </c>
      <c r="T22" s="51">
        <f t="shared" si="2"/>
        <v>-77.19</v>
      </c>
      <c r="X22" s="140" t="s">
        <v>6</v>
      </c>
      <c r="Y22" s="55">
        <v>3068.4</v>
      </c>
      <c r="Z22" s="55">
        <v>2262.38</v>
      </c>
      <c r="AA22" s="143">
        <f t="shared" ref="AA22:AA28" si="5">Z22/Y22-1</f>
        <v>-0.2626841351</v>
      </c>
      <c r="AC22" s="140" t="s">
        <v>6</v>
      </c>
      <c r="AD22" s="55">
        <v>4903.6</v>
      </c>
      <c r="AE22" s="144">
        <f t="shared" ref="AE22:AE28" si="6">AD22*AA22+AD22</f>
        <v>3615.502075</v>
      </c>
      <c r="AH22" s="44">
        <v>13.0</v>
      </c>
      <c r="AI22" s="44" t="s">
        <v>46</v>
      </c>
      <c r="AJ22" s="144">
        <v>4216.99</v>
      </c>
      <c r="AL22" s="44">
        <v>13.0</v>
      </c>
      <c r="AM22" s="44" t="s">
        <v>46</v>
      </c>
      <c r="AN22" s="144">
        <v>5277.56</v>
      </c>
    </row>
    <row r="23" ht="15.75" customHeight="1">
      <c r="B23" s="2"/>
      <c r="C23" s="2"/>
      <c r="D23" s="2"/>
      <c r="E23" s="2"/>
      <c r="J23" s="44">
        <v>14.0</v>
      </c>
      <c r="K23" s="44" t="s">
        <v>44</v>
      </c>
      <c r="L23" s="55">
        <v>20000.0</v>
      </c>
      <c r="M23" s="55">
        <f>19954.55-94.37</f>
        <v>19860.18</v>
      </c>
      <c r="N23" s="51">
        <f t="shared" si="1"/>
        <v>-139.82</v>
      </c>
      <c r="P23" s="44">
        <v>14.0</v>
      </c>
      <c r="Q23" s="44" t="s">
        <v>44</v>
      </c>
      <c r="R23" s="59">
        <v>20900.0</v>
      </c>
      <c r="S23" s="55">
        <f>24124.22+94.37-1744</f>
        <v>22474.59</v>
      </c>
      <c r="T23" s="51">
        <f t="shared" si="2"/>
        <v>1574.59</v>
      </c>
      <c r="X23" s="140" t="s">
        <v>10</v>
      </c>
      <c r="Y23" s="55">
        <v>3600.27</v>
      </c>
      <c r="Z23" s="55">
        <v>4505.23</v>
      </c>
      <c r="AA23" s="143">
        <f t="shared" si="5"/>
        <v>0.2513589259</v>
      </c>
      <c r="AC23" s="140" t="s">
        <v>10</v>
      </c>
      <c r="AD23" s="55">
        <v>4217.46</v>
      </c>
      <c r="AE23" s="144">
        <f t="shared" si="6"/>
        <v>5277.556215</v>
      </c>
      <c r="AH23" s="44">
        <v>14.0</v>
      </c>
      <c r="AI23" s="44" t="s">
        <v>40</v>
      </c>
      <c r="AJ23" s="144">
        <v>6999.02</v>
      </c>
      <c r="AL23" s="44">
        <v>14.0</v>
      </c>
      <c r="AM23" s="44" t="s">
        <v>40</v>
      </c>
      <c r="AN23" s="144">
        <v>4784.47</v>
      </c>
    </row>
    <row r="24" ht="15.75" customHeight="1">
      <c r="B24" s="2"/>
      <c r="C24" s="2"/>
      <c r="D24" s="2"/>
      <c r="E24" s="2"/>
      <c r="J24" s="44">
        <v>15.0</v>
      </c>
      <c r="K24" s="44" t="s">
        <v>45</v>
      </c>
      <c r="L24" s="55">
        <v>6200.0</v>
      </c>
      <c r="M24" s="55">
        <f>8363.45</f>
        <v>8363.45</v>
      </c>
      <c r="N24" s="51">
        <f t="shared" si="1"/>
        <v>2163.45</v>
      </c>
      <c r="P24" s="44">
        <v>15.0</v>
      </c>
      <c r="Q24" s="44" t="s">
        <v>45</v>
      </c>
      <c r="R24" s="55">
        <v>4200.0</v>
      </c>
      <c r="S24" s="55">
        <f>4929.78-373</f>
        <v>4556.78</v>
      </c>
      <c r="T24" s="51">
        <f t="shared" si="2"/>
        <v>356.78</v>
      </c>
      <c r="X24" s="140" t="s">
        <v>12</v>
      </c>
      <c r="Y24" s="55">
        <v>4525.23</v>
      </c>
      <c r="Z24" s="55">
        <v>3571.4</v>
      </c>
      <c r="AA24" s="143">
        <f t="shared" si="5"/>
        <v>-0.2107804465</v>
      </c>
      <c r="AC24" s="140" t="s">
        <v>12</v>
      </c>
      <c r="AD24" s="55">
        <v>6062.28</v>
      </c>
      <c r="AE24" s="144">
        <f t="shared" si="6"/>
        <v>4784.469915</v>
      </c>
      <c r="AH24" s="44">
        <v>15.0</v>
      </c>
      <c r="AI24" s="44" t="s">
        <v>47</v>
      </c>
      <c r="AJ24" s="144">
        <v>6006.62</v>
      </c>
      <c r="AL24" s="44">
        <v>15.0</v>
      </c>
      <c r="AM24" s="44" t="s">
        <v>47</v>
      </c>
      <c r="AN24" s="144">
        <v>6832.18</v>
      </c>
    </row>
    <row r="25" ht="15.75" customHeight="1">
      <c r="B25" s="2"/>
      <c r="C25" s="2"/>
      <c r="D25" s="2"/>
      <c r="E25" s="2"/>
      <c r="J25" s="44">
        <v>16.0</v>
      </c>
      <c r="K25" s="44" t="s">
        <v>46</v>
      </c>
      <c r="L25" s="55">
        <v>5440.0</v>
      </c>
      <c r="M25" s="55">
        <f>9403.5</f>
        <v>9403.5</v>
      </c>
      <c r="N25" s="51">
        <f t="shared" si="1"/>
        <v>3963.5</v>
      </c>
      <c r="P25" s="44">
        <v>16.0</v>
      </c>
      <c r="Q25" s="44" t="s">
        <v>46</v>
      </c>
      <c r="R25" s="55">
        <v>5200.0</v>
      </c>
      <c r="S25" s="55">
        <f>4202.94-322</f>
        <v>3880.94</v>
      </c>
      <c r="T25" s="51">
        <f t="shared" si="2"/>
        <v>-1319.06</v>
      </c>
      <c r="X25" s="140" t="s">
        <v>15</v>
      </c>
      <c r="Y25" s="55">
        <v>3883.68</v>
      </c>
      <c r="Z25" s="55">
        <v>5231.47</v>
      </c>
      <c r="AA25" s="143">
        <f t="shared" si="5"/>
        <v>0.3470394059</v>
      </c>
      <c r="AC25" s="140" t="s">
        <v>15</v>
      </c>
      <c r="AD25" s="55">
        <v>5072.0</v>
      </c>
      <c r="AE25" s="144">
        <f t="shared" si="6"/>
        <v>6832.183867</v>
      </c>
      <c r="AH25" s="44">
        <v>16.0</v>
      </c>
      <c r="AI25" s="44" t="s">
        <v>48</v>
      </c>
      <c r="AJ25" s="144">
        <v>15075.78</v>
      </c>
      <c r="AL25" s="44">
        <v>16.0</v>
      </c>
      <c r="AM25" s="44" t="s">
        <v>48</v>
      </c>
      <c r="AN25" s="144">
        <v>12252.99</v>
      </c>
    </row>
    <row r="26" ht="15.75" customHeight="1">
      <c r="B26" s="2"/>
      <c r="C26" s="2"/>
      <c r="D26" s="2"/>
      <c r="E26" s="2"/>
      <c r="J26" s="153">
        <v>17.0</v>
      </c>
      <c r="K26" s="153" t="s">
        <v>40</v>
      </c>
      <c r="L26" s="154">
        <v>15900.0</v>
      </c>
      <c r="M26" s="154">
        <f>7210.8</f>
        <v>7210.8</v>
      </c>
      <c r="N26" s="51">
        <f t="shared" si="1"/>
        <v>-8689.2</v>
      </c>
      <c r="P26" s="153">
        <v>17.0</v>
      </c>
      <c r="Q26" s="153" t="s">
        <v>40</v>
      </c>
      <c r="R26" s="154">
        <f>R33*2-2000</f>
        <v>6400</v>
      </c>
      <c r="S26" s="154">
        <f>3117.29+4201.28-541</f>
        <v>6777.57</v>
      </c>
      <c r="T26" s="51">
        <f t="shared" si="2"/>
        <v>377.57</v>
      </c>
      <c r="X26" s="140" t="s">
        <v>17</v>
      </c>
      <c r="Y26" s="55">
        <v>7712.84</v>
      </c>
      <c r="Z26" s="55">
        <v>8771.19</v>
      </c>
      <c r="AA26" s="143">
        <f t="shared" si="5"/>
        <v>0.1372192344</v>
      </c>
      <c r="AC26" s="140" t="s">
        <v>17</v>
      </c>
      <c r="AD26" s="55">
        <v>10774.52</v>
      </c>
      <c r="AE26" s="144">
        <f t="shared" si="6"/>
        <v>12252.99139</v>
      </c>
      <c r="AH26" s="44">
        <v>17.0</v>
      </c>
      <c r="AI26" s="44" t="s">
        <v>41</v>
      </c>
      <c r="AJ26" s="144">
        <v>18398.44</v>
      </c>
      <c r="AL26" s="44">
        <v>17.0</v>
      </c>
      <c r="AM26" s="44" t="s">
        <v>41</v>
      </c>
      <c r="AN26" s="144">
        <v>13000.0</v>
      </c>
    </row>
    <row r="27" ht="15.75" customHeight="1">
      <c r="B27" s="2"/>
      <c r="C27" s="2"/>
      <c r="D27" s="2"/>
      <c r="E27" s="2"/>
      <c r="J27" s="44">
        <v>18.0</v>
      </c>
      <c r="K27" s="44" t="s">
        <v>47</v>
      </c>
      <c r="L27" s="55">
        <v>6600.0</v>
      </c>
      <c r="M27" s="55">
        <f>13434.4</f>
        <v>13434.4</v>
      </c>
      <c r="N27" s="51">
        <f t="shared" si="1"/>
        <v>6834.4</v>
      </c>
      <c r="P27" s="44">
        <v>18.0</v>
      </c>
      <c r="Q27" s="44" t="s">
        <v>47</v>
      </c>
      <c r="R27" s="55">
        <v>7200.0</v>
      </c>
      <c r="S27" s="55">
        <f>5529.71-390</f>
        <v>5139.71</v>
      </c>
      <c r="T27" s="51">
        <f t="shared" si="2"/>
        <v>-2060.29</v>
      </c>
      <c r="X27" s="140" t="s">
        <v>19</v>
      </c>
      <c r="Y27" s="55">
        <f>10437.38</f>
        <v>10437.38</v>
      </c>
      <c r="Z27" s="55">
        <v>10318.53</v>
      </c>
      <c r="AA27" s="143">
        <f t="shared" si="5"/>
        <v>-0.01138695726</v>
      </c>
      <c r="AC27" s="140" t="s">
        <v>19</v>
      </c>
      <c r="AD27" s="55">
        <v>13014.17</v>
      </c>
      <c r="AE27" s="144">
        <f t="shared" si="6"/>
        <v>12865.9782</v>
      </c>
      <c r="AH27" s="44">
        <v>18.0</v>
      </c>
      <c r="AI27" s="44" t="s">
        <v>44</v>
      </c>
      <c r="AJ27" s="144">
        <v>19189.28</v>
      </c>
      <c r="AL27" s="44">
        <v>18.0</v>
      </c>
      <c r="AM27" s="44" t="s">
        <v>44</v>
      </c>
      <c r="AN27" s="144">
        <v>21000.0</v>
      </c>
    </row>
    <row r="28" ht="15.75" customHeight="1">
      <c r="B28" s="2"/>
      <c r="C28" s="2"/>
      <c r="D28" s="2"/>
      <c r="E28" s="2"/>
      <c r="J28" s="44">
        <v>19.0</v>
      </c>
      <c r="K28" s="44" t="s">
        <v>48</v>
      </c>
      <c r="L28" s="55">
        <v>14100.0</v>
      </c>
      <c r="M28" s="55">
        <f>18932.13-320</f>
        <v>18612.13</v>
      </c>
      <c r="N28" s="51">
        <f t="shared" si="1"/>
        <v>4512.13</v>
      </c>
      <c r="P28" s="44">
        <v>19.0</v>
      </c>
      <c r="Q28" s="44" t="s">
        <v>48</v>
      </c>
      <c r="R28" s="55">
        <v>9000.0</v>
      </c>
      <c r="S28" s="55">
        <f>11867.95-876-18</f>
        <v>10973.95</v>
      </c>
      <c r="T28" s="51">
        <f t="shared" si="2"/>
        <v>1973.95</v>
      </c>
      <c r="X28" s="140" t="s">
        <v>20</v>
      </c>
      <c r="Y28" s="55">
        <v>15963.79</v>
      </c>
      <c r="Z28" s="55">
        <v>18175.92</v>
      </c>
      <c r="AA28" s="145">
        <f t="shared" si="5"/>
        <v>0.1385717301</v>
      </c>
      <c r="AC28" s="140" t="s">
        <v>20</v>
      </c>
      <c r="AD28" s="55">
        <v>21079.2</v>
      </c>
      <c r="AE28" s="144">
        <f t="shared" si="6"/>
        <v>24000.18121</v>
      </c>
      <c r="AH28" s="44">
        <v>19.0</v>
      </c>
      <c r="AI28" s="44" t="s">
        <v>45</v>
      </c>
      <c r="AJ28" s="144">
        <v>7345.11</v>
      </c>
      <c r="AL28" s="44">
        <v>19.0</v>
      </c>
      <c r="AM28" s="44" t="s">
        <v>45</v>
      </c>
      <c r="AN28" s="144">
        <v>3615.5</v>
      </c>
    </row>
    <row r="29" ht="15.75" customHeight="1">
      <c r="B29" s="2"/>
      <c r="C29" s="2"/>
      <c r="D29" s="2"/>
      <c r="E29" s="2"/>
      <c r="J29" s="44">
        <v>20.0</v>
      </c>
      <c r="K29" s="44" t="s">
        <v>41</v>
      </c>
      <c r="L29" s="55">
        <v>18000.0</v>
      </c>
      <c r="M29" s="55">
        <f>16360.3</f>
        <v>16360.3</v>
      </c>
      <c r="N29" s="51">
        <f t="shared" si="1"/>
        <v>-1639.7</v>
      </c>
      <c r="P29" s="44">
        <v>20.0</v>
      </c>
      <c r="Q29" s="44" t="s">
        <v>41</v>
      </c>
      <c r="R29" s="55">
        <v>13400.0</v>
      </c>
      <c r="S29" s="55">
        <f>14336.61-1059</f>
        <v>13277.61</v>
      </c>
      <c r="T29" s="51">
        <f t="shared" si="2"/>
        <v>-122.39</v>
      </c>
      <c r="AG29" s="1"/>
      <c r="AH29" s="44">
        <v>20.0</v>
      </c>
      <c r="AI29" s="44" t="s">
        <v>46</v>
      </c>
      <c r="AJ29" s="144">
        <v>4216.99</v>
      </c>
      <c r="AL29" s="44">
        <v>20.0</v>
      </c>
      <c r="AM29" s="44" t="s">
        <v>46</v>
      </c>
      <c r="AN29" s="144">
        <v>5277.56</v>
      </c>
    </row>
    <row r="30" ht="15.75" customHeight="1">
      <c r="B30" s="2"/>
      <c r="C30" s="2"/>
      <c r="D30" s="2"/>
      <c r="E30" s="2"/>
      <c r="J30" s="44">
        <v>21.0</v>
      </c>
      <c r="K30" s="44" t="s">
        <v>44</v>
      </c>
      <c r="L30" s="55">
        <v>20000.0</v>
      </c>
      <c r="M30" s="55">
        <f>22686.88</f>
        <v>22686.88</v>
      </c>
      <c r="N30" s="51">
        <f t="shared" si="1"/>
        <v>2686.88</v>
      </c>
      <c r="P30" s="44">
        <v>21.0</v>
      </c>
      <c r="Q30" s="44" t="s">
        <v>44</v>
      </c>
      <c r="R30" s="59">
        <v>20900.0</v>
      </c>
      <c r="S30" s="55">
        <f>24300.29-1747</f>
        <v>22553.29</v>
      </c>
      <c r="T30" s="51">
        <f t="shared" si="2"/>
        <v>1653.29</v>
      </c>
      <c r="AE30" s="13"/>
      <c r="AG30" s="1"/>
      <c r="AH30" s="44">
        <v>21.0</v>
      </c>
      <c r="AI30" s="47" t="s">
        <v>40</v>
      </c>
      <c r="AJ30" s="144">
        <v>6999.02</v>
      </c>
      <c r="AL30" s="44">
        <v>21.0</v>
      </c>
      <c r="AM30" s="47" t="s">
        <v>40</v>
      </c>
      <c r="AN30" s="144">
        <v>4784.47</v>
      </c>
    </row>
    <row r="31" ht="15.75" customHeight="1">
      <c r="B31" s="2"/>
      <c r="C31" s="2"/>
      <c r="D31" s="2"/>
      <c r="E31" s="2"/>
      <c r="J31" s="44">
        <v>22.0</v>
      </c>
      <c r="K31" s="44" t="s">
        <v>45</v>
      </c>
      <c r="L31" s="55">
        <v>6200.0</v>
      </c>
      <c r="M31" s="55">
        <f>7323.75</f>
        <v>7323.75</v>
      </c>
      <c r="N31" s="51">
        <f t="shared" si="1"/>
        <v>1123.75</v>
      </c>
      <c r="P31" s="44">
        <v>22.0</v>
      </c>
      <c r="Q31" s="44" t="s">
        <v>45</v>
      </c>
      <c r="R31" s="55">
        <v>4200.0</v>
      </c>
      <c r="S31" s="55">
        <f>5359.92-280-8</f>
        <v>5071.92</v>
      </c>
      <c r="T31" s="51">
        <f t="shared" si="2"/>
        <v>871.92</v>
      </c>
      <c r="AG31" s="1"/>
      <c r="AH31" s="44">
        <v>22.0</v>
      </c>
      <c r="AI31" s="47" t="s">
        <v>47</v>
      </c>
      <c r="AJ31" s="144">
        <v>6006.62</v>
      </c>
      <c r="AL31" s="44">
        <v>22.0</v>
      </c>
      <c r="AM31" s="47" t="s">
        <v>47</v>
      </c>
      <c r="AN31" s="144">
        <v>6832.18</v>
      </c>
    </row>
    <row r="32" ht="15.75" customHeight="1">
      <c r="B32" s="2"/>
      <c r="C32" s="2"/>
      <c r="D32" s="2"/>
      <c r="E32" s="2"/>
      <c r="J32" s="44">
        <v>23.0</v>
      </c>
      <c r="K32" s="44" t="s">
        <v>46</v>
      </c>
      <c r="L32" s="55">
        <v>5440.0</v>
      </c>
      <c r="M32" s="55">
        <f>2039.5+2490.25</f>
        <v>4529.75</v>
      </c>
      <c r="N32" s="51">
        <f t="shared" si="1"/>
        <v>-910.25</v>
      </c>
      <c r="P32" s="44">
        <v>23.0</v>
      </c>
      <c r="Q32" s="44" t="s">
        <v>46</v>
      </c>
      <c r="R32" s="55">
        <v>5200.0</v>
      </c>
      <c r="S32" s="55">
        <f>5198.4-347</f>
        <v>4851.4</v>
      </c>
      <c r="T32" s="51">
        <f t="shared" si="2"/>
        <v>-348.6</v>
      </c>
      <c r="AG32" s="1"/>
      <c r="AH32" s="44">
        <v>23.0</v>
      </c>
      <c r="AI32" s="47" t="s">
        <v>48</v>
      </c>
      <c r="AJ32" s="144">
        <v>15075.78</v>
      </c>
      <c r="AL32" s="44">
        <v>23.0</v>
      </c>
      <c r="AM32" s="47" t="s">
        <v>48</v>
      </c>
      <c r="AN32" s="144">
        <v>12252.99</v>
      </c>
    </row>
    <row r="33" ht="15.75" customHeight="1">
      <c r="B33" s="2"/>
      <c r="C33" s="2"/>
      <c r="D33" s="2"/>
      <c r="E33" s="2"/>
      <c r="J33" s="44">
        <v>24.0</v>
      </c>
      <c r="K33" s="47" t="s">
        <v>40</v>
      </c>
      <c r="L33" s="55">
        <v>7000.0</v>
      </c>
      <c r="M33" s="55">
        <f>4813.5</f>
        <v>4813.5</v>
      </c>
      <c r="N33" s="51">
        <f t="shared" si="1"/>
        <v>-2186.5</v>
      </c>
      <c r="P33" s="44">
        <v>24.0</v>
      </c>
      <c r="Q33" s="47" t="s">
        <v>40</v>
      </c>
      <c r="R33" s="55">
        <v>4200.0</v>
      </c>
      <c r="S33" s="55">
        <f>6420.62+137.5-479</f>
        <v>6079.12</v>
      </c>
      <c r="T33" s="51">
        <f t="shared" si="2"/>
        <v>1879.12</v>
      </c>
      <c r="AG33" s="1"/>
      <c r="AH33" s="44">
        <v>24.0</v>
      </c>
      <c r="AI33" s="44" t="s">
        <v>41</v>
      </c>
      <c r="AJ33" s="144">
        <v>18398.44</v>
      </c>
      <c r="AL33" s="44">
        <v>24.0</v>
      </c>
      <c r="AM33" s="44" t="s">
        <v>41</v>
      </c>
      <c r="AN33" s="144">
        <v>13000.0</v>
      </c>
    </row>
    <row r="34" ht="15.75" customHeight="1">
      <c r="B34" s="2"/>
      <c r="C34" s="2"/>
      <c r="D34" s="2"/>
      <c r="E34" s="2"/>
      <c r="J34" s="44">
        <v>25.0</v>
      </c>
      <c r="K34" s="47" t="s">
        <v>47</v>
      </c>
      <c r="L34" s="55">
        <v>6600.0</v>
      </c>
      <c r="M34" s="55">
        <f>5244.4+96.8</f>
        <v>5341.2</v>
      </c>
      <c r="N34" s="51">
        <f t="shared" si="1"/>
        <v>-1258.8</v>
      </c>
      <c r="P34" s="44">
        <v>25.0</v>
      </c>
      <c r="Q34" s="47" t="s">
        <v>47</v>
      </c>
      <c r="R34" s="55">
        <v>7200.0</v>
      </c>
      <c r="S34" s="55">
        <f>5703.96-386</f>
        <v>5317.96</v>
      </c>
      <c r="T34" s="51">
        <f t="shared" si="2"/>
        <v>-1882.04</v>
      </c>
      <c r="AG34" s="1"/>
      <c r="AH34" s="44">
        <v>25.0</v>
      </c>
      <c r="AI34" s="44" t="s">
        <v>44</v>
      </c>
      <c r="AJ34" s="144">
        <v>19189.28</v>
      </c>
      <c r="AL34" s="44">
        <v>25.0</v>
      </c>
      <c r="AM34" s="44" t="s">
        <v>44</v>
      </c>
      <c r="AN34" s="144">
        <v>21000.0</v>
      </c>
    </row>
    <row r="35" ht="15.75" customHeight="1">
      <c r="B35" s="2"/>
      <c r="C35" s="2"/>
      <c r="D35" s="2"/>
      <c r="E35" s="2"/>
      <c r="J35" s="44">
        <v>26.0</v>
      </c>
      <c r="K35" s="47" t="s">
        <v>48</v>
      </c>
      <c r="L35" s="55">
        <v>14100.0</v>
      </c>
      <c r="M35" s="55">
        <f>12050.2-185</f>
        <v>11865.2</v>
      </c>
      <c r="N35" s="51">
        <f t="shared" si="1"/>
        <v>-2234.8</v>
      </c>
      <c r="P35" s="44">
        <v>26.0</v>
      </c>
      <c r="Q35" s="47" t="s">
        <v>48</v>
      </c>
      <c r="R35" s="55">
        <v>9000.0</v>
      </c>
      <c r="S35" s="55">
        <f>12072.22-824</f>
        <v>11248.22</v>
      </c>
      <c r="T35" s="51">
        <f t="shared" si="2"/>
        <v>2248.22</v>
      </c>
      <c r="AG35" s="1"/>
      <c r="AH35" s="44">
        <v>26.0</v>
      </c>
      <c r="AI35" s="44" t="s">
        <v>45</v>
      </c>
      <c r="AJ35" s="144">
        <v>7345.11</v>
      </c>
      <c r="AL35" s="44">
        <v>26.0</v>
      </c>
      <c r="AM35" s="44" t="s">
        <v>45</v>
      </c>
      <c r="AN35" s="144">
        <v>3615.5</v>
      </c>
    </row>
    <row r="36" ht="15.75" customHeight="1">
      <c r="B36" s="2"/>
      <c r="C36" s="2"/>
      <c r="D36" s="2"/>
      <c r="E36" s="2"/>
      <c r="J36" s="44">
        <v>27.0</v>
      </c>
      <c r="K36" s="44" t="s">
        <v>41</v>
      </c>
      <c r="L36" s="55">
        <v>18000.0</v>
      </c>
      <c r="M36" s="55">
        <f>19346.86</f>
        <v>19346.86</v>
      </c>
      <c r="N36" s="51">
        <f t="shared" si="1"/>
        <v>1346.86</v>
      </c>
      <c r="P36" s="44">
        <v>27.0</v>
      </c>
      <c r="Q36" s="44" t="s">
        <v>41</v>
      </c>
      <c r="R36" s="55">
        <v>13400.0</v>
      </c>
      <c r="S36" s="55">
        <f>14525.04-948</f>
        <v>13577.04</v>
      </c>
      <c r="T36" s="51">
        <f t="shared" si="2"/>
        <v>177.04</v>
      </c>
      <c r="X36" s="61"/>
      <c r="AG36" s="1"/>
      <c r="AH36" s="44">
        <v>27.0</v>
      </c>
      <c r="AI36" s="44" t="s">
        <v>46</v>
      </c>
      <c r="AJ36" s="144">
        <v>4216.99</v>
      </c>
      <c r="AL36" s="44">
        <v>27.0</v>
      </c>
      <c r="AM36" s="44" t="s">
        <v>46</v>
      </c>
      <c r="AN36" s="144">
        <v>5277.56</v>
      </c>
    </row>
    <row r="37" ht="15.75" customHeight="1">
      <c r="B37" s="2"/>
      <c r="C37" s="2"/>
      <c r="D37" s="2"/>
      <c r="E37" s="2"/>
      <c r="J37" s="44">
        <v>28.0</v>
      </c>
      <c r="K37" s="44" t="s">
        <v>44</v>
      </c>
      <c r="L37" s="55">
        <v>20000.0</v>
      </c>
      <c r="M37" s="55">
        <f>17067.5</f>
        <v>17067.5</v>
      </c>
      <c r="N37" s="51">
        <f t="shared" si="1"/>
        <v>-2932.5</v>
      </c>
      <c r="P37" s="44">
        <v>28.0</v>
      </c>
      <c r="Q37" s="44" t="s">
        <v>44</v>
      </c>
      <c r="R37" s="59">
        <v>20900.0</v>
      </c>
      <c r="S37" s="55">
        <f>21133.75-1654</f>
        <v>19479.75</v>
      </c>
      <c r="T37" s="51">
        <f t="shared" si="2"/>
        <v>-1420.25</v>
      </c>
      <c r="AG37" s="1"/>
      <c r="AH37" s="44">
        <v>28.0</v>
      </c>
      <c r="AI37" s="44" t="s">
        <v>40</v>
      </c>
      <c r="AJ37" s="144">
        <v>6999.02</v>
      </c>
      <c r="AL37" s="44">
        <v>28.0</v>
      </c>
      <c r="AM37" s="44" t="s">
        <v>40</v>
      </c>
      <c r="AN37" s="144">
        <v>4784.47</v>
      </c>
    </row>
    <row r="38" ht="15.75" customHeight="1">
      <c r="B38" s="2"/>
      <c r="C38" s="2"/>
      <c r="D38" s="2"/>
      <c r="E38" s="2"/>
      <c r="J38" s="44">
        <v>29.0</v>
      </c>
      <c r="K38" s="44" t="s">
        <v>45</v>
      </c>
      <c r="L38" s="55">
        <v>6200.0</v>
      </c>
      <c r="M38" s="55">
        <f>3062.35</f>
        <v>3062.35</v>
      </c>
      <c r="N38" s="51">
        <f t="shared" si="1"/>
        <v>-3137.65</v>
      </c>
      <c r="P38" s="44">
        <v>29.0</v>
      </c>
      <c r="Q38" s="44" t="s">
        <v>45</v>
      </c>
      <c r="R38" s="55">
        <v>4200.0</v>
      </c>
      <c r="S38" s="55">
        <f>5053.89-382-9</f>
        <v>4662.89</v>
      </c>
      <c r="T38" s="51">
        <f t="shared" si="2"/>
        <v>462.89</v>
      </c>
      <c r="AG38" s="1"/>
      <c r="AH38" s="44">
        <v>29.0</v>
      </c>
      <c r="AI38" s="44" t="s">
        <v>47</v>
      </c>
      <c r="AJ38" s="144">
        <v>6006.62</v>
      </c>
      <c r="AL38" s="44">
        <v>29.0</v>
      </c>
      <c r="AM38" s="44" t="s">
        <v>47</v>
      </c>
      <c r="AN38" s="144">
        <v>6832.18</v>
      </c>
    </row>
    <row r="39" ht="15.75" customHeight="1">
      <c r="B39" s="2"/>
      <c r="C39" s="2"/>
      <c r="D39" s="2"/>
      <c r="E39" s="2"/>
      <c r="J39" s="44">
        <v>30.0</v>
      </c>
      <c r="K39" s="44" t="s">
        <v>46</v>
      </c>
      <c r="L39" s="55">
        <v>5440.0</v>
      </c>
      <c r="M39" s="55">
        <f>4434.2</f>
        <v>4434.2</v>
      </c>
      <c r="N39" s="51">
        <f t="shared" si="1"/>
        <v>-1005.8</v>
      </c>
      <c r="P39" s="44">
        <v>30.0</v>
      </c>
      <c r="Q39" s="44" t="s">
        <v>46</v>
      </c>
      <c r="R39" s="55">
        <v>5200.0</v>
      </c>
      <c r="S39" s="55">
        <f>4671.02-325-9</f>
        <v>4337.02</v>
      </c>
      <c r="T39" s="51">
        <f t="shared" si="2"/>
        <v>-862.98</v>
      </c>
      <c r="AG39" s="1"/>
      <c r="AH39" s="44">
        <v>30.0</v>
      </c>
      <c r="AI39" s="44" t="s">
        <v>48</v>
      </c>
      <c r="AJ39" s="144">
        <v>15075.78</v>
      </c>
      <c r="AL39" s="44">
        <v>30.0</v>
      </c>
      <c r="AM39" s="44" t="s">
        <v>48</v>
      </c>
      <c r="AN39" s="144">
        <v>12252.99</v>
      </c>
    </row>
    <row r="40" ht="15.75" customHeight="1">
      <c r="B40" s="2"/>
      <c r="C40" s="2"/>
      <c r="D40" s="2"/>
      <c r="E40" s="2"/>
      <c r="J40" s="44">
        <v>31.0</v>
      </c>
      <c r="K40" s="44" t="s">
        <v>40</v>
      </c>
      <c r="L40" s="55">
        <v>7000.0</v>
      </c>
      <c r="M40" s="55">
        <f>7254.5</f>
        <v>7254.5</v>
      </c>
      <c r="N40" s="51">
        <f t="shared" si="1"/>
        <v>254.5</v>
      </c>
      <c r="P40" s="44">
        <v>31.0</v>
      </c>
      <c r="Q40" s="44" t="s">
        <v>40</v>
      </c>
      <c r="R40" s="55">
        <v>4837.0</v>
      </c>
      <c r="S40" s="55">
        <f>7218.02-491</f>
        <v>6727.02</v>
      </c>
      <c r="T40" s="51">
        <f t="shared" si="2"/>
        <v>1890.02</v>
      </c>
      <c r="AG40" s="1"/>
      <c r="AH40" s="44">
        <v>31.0</v>
      </c>
      <c r="AI40" s="44" t="s">
        <v>41</v>
      </c>
      <c r="AJ40" s="144">
        <v>18398.44</v>
      </c>
      <c r="AL40" s="44">
        <v>31.0</v>
      </c>
      <c r="AM40" s="44" t="s">
        <v>41</v>
      </c>
      <c r="AN40" s="144">
        <v>13000.0</v>
      </c>
    </row>
    <row r="41" ht="15.75" customHeight="1">
      <c r="B41" s="2"/>
      <c r="C41" s="2"/>
      <c r="D41" s="2"/>
      <c r="E41" s="2"/>
      <c r="J41" s="8"/>
      <c r="K41" s="8"/>
      <c r="L41" s="107">
        <f t="shared" ref="L41:N41" si="7">SUM(L10:L40)</f>
        <v>350000</v>
      </c>
      <c r="M41" s="107">
        <f t="shared" si="7"/>
        <v>355542.94</v>
      </c>
      <c r="N41" s="105">
        <f t="shared" si="7"/>
        <v>5542.94</v>
      </c>
      <c r="P41" s="8"/>
      <c r="Q41" s="8"/>
      <c r="R41" s="107">
        <f t="shared" ref="R41:T41" si="8">SUM(R10:R40)</f>
        <v>282637</v>
      </c>
      <c r="S41" s="107">
        <f t="shared" si="8"/>
        <v>283890.07</v>
      </c>
      <c r="T41" s="105">
        <f t="shared" si="8"/>
        <v>1253.07</v>
      </c>
      <c r="W41" s="61"/>
      <c r="AG41" s="1"/>
      <c r="AH41" s="8"/>
      <c r="AI41" s="8"/>
      <c r="AJ41" s="107">
        <f>SUM(AJ10:AJ40)</f>
        <v>355000</v>
      </c>
      <c r="AK41" s="107"/>
      <c r="AL41" s="8"/>
      <c r="AM41" s="8"/>
      <c r="AN41" s="107">
        <f>SUM(AN10:AN40)</f>
        <v>300000</v>
      </c>
    </row>
    <row r="42" ht="15.75" customHeight="1">
      <c r="B42" s="2"/>
      <c r="C42" s="2"/>
      <c r="D42" s="2"/>
      <c r="E42" s="2"/>
      <c r="M42" s="114">
        <f>M41/K45</f>
        <v>1.015836971</v>
      </c>
      <c r="N42" s="1"/>
      <c r="P42" s="1"/>
      <c r="Q42" s="1"/>
      <c r="R42" s="1"/>
      <c r="S42" s="114">
        <f>S41/Q45</f>
        <v>1.006702376</v>
      </c>
      <c r="T42" s="1"/>
      <c r="AG42" s="1"/>
      <c r="AH42" s="1"/>
      <c r="AI42" s="1"/>
      <c r="AJ42" s="1"/>
      <c r="AK42" s="1"/>
      <c r="AL42" s="1"/>
    </row>
    <row r="43" ht="15.75" customHeight="1">
      <c r="B43" s="2"/>
      <c r="C43" s="2"/>
      <c r="D43" s="2"/>
      <c r="E43" s="2"/>
      <c r="J43" s="2"/>
      <c r="K43" s="2"/>
      <c r="L43" s="2"/>
      <c r="M43" s="2"/>
      <c r="Q43" s="61"/>
      <c r="R43" s="2"/>
      <c r="S43" s="2"/>
      <c r="AG43" s="1"/>
      <c r="AH43" s="1"/>
      <c r="AJ43" s="173" t="s">
        <v>114</v>
      </c>
      <c r="AN43" s="173" t="s">
        <v>115</v>
      </c>
    </row>
    <row r="44" ht="15.75" customHeight="1">
      <c r="B44" s="2"/>
      <c r="C44" s="2"/>
      <c r="D44" s="2"/>
      <c r="E44" s="2"/>
      <c r="J44" s="2"/>
      <c r="K44" s="2"/>
      <c r="L44" s="115" t="s">
        <v>77</v>
      </c>
      <c r="M44" s="118">
        <f>L41+N41</f>
        <v>355542.94</v>
      </c>
      <c r="R44" s="115" t="s">
        <v>77</v>
      </c>
      <c r="S44" s="174">
        <f>R41+T41</f>
        <v>283890.07</v>
      </c>
      <c r="AG44" s="1"/>
      <c r="AH44" s="1"/>
      <c r="AK44" s="13"/>
    </row>
    <row r="45" ht="15.75" customHeight="1">
      <c r="B45" s="2"/>
      <c r="C45" s="2"/>
      <c r="D45" s="2"/>
      <c r="E45" s="2"/>
      <c r="J45" s="122" t="s">
        <v>29</v>
      </c>
      <c r="K45" s="124">
        <v>350000.0</v>
      </c>
      <c r="L45" s="2"/>
      <c r="M45" s="2"/>
      <c r="P45" s="126" t="s">
        <v>29</v>
      </c>
      <c r="Q45" s="124">
        <v>282000.0</v>
      </c>
      <c r="R45" s="2"/>
      <c r="S45" s="2"/>
      <c r="V45" s="61"/>
      <c r="AG45" s="1"/>
      <c r="AH45" s="1"/>
    </row>
    <row r="46" ht="15.75" customHeight="1">
      <c r="B46" s="2"/>
      <c r="C46" s="2"/>
      <c r="D46" s="2"/>
      <c r="E46" s="2"/>
      <c r="L46" s="2"/>
      <c r="M46" s="2"/>
      <c r="R46" s="2"/>
      <c r="S46" s="2"/>
    </row>
    <row r="47" ht="15.75" customHeight="1">
      <c r="B47" s="2"/>
      <c r="C47" s="2"/>
      <c r="D47" s="2"/>
      <c r="E47" s="2"/>
      <c r="L47" s="2"/>
      <c r="M47" s="2"/>
      <c r="R47" s="2"/>
      <c r="S47" s="2"/>
    </row>
    <row r="48" ht="15.75" customHeight="1">
      <c r="B48" s="2"/>
      <c r="C48" s="2"/>
      <c r="D48" s="2"/>
      <c r="E48" s="2"/>
      <c r="L48" s="2"/>
      <c r="M48" s="2"/>
      <c r="R48" s="2"/>
      <c r="S48" s="2"/>
    </row>
    <row r="49" ht="15.75" customHeight="1">
      <c r="B49" s="2"/>
      <c r="C49" s="2"/>
      <c r="D49" s="2"/>
      <c r="E49" s="2"/>
      <c r="L49" s="2"/>
      <c r="M49" s="2"/>
    </row>
    <row r="50" ht="15.75" customHeight="1">
      <c r="B50" s="2"/>
      <c r="C50" s="2"/>
      <c r="D50" s="2"/>
      <c r="E50" s="2"/>
      <c r="L50" s="2"/>
      <c r="M50" s="2"/>
    </row>
    <row r="51" ht="15.75" customHeight="1">
      <c r="B51" s="2"/>
      <c r="C51" s="2"/>
      <c r="D51" s="2"/>
      <c r="E51" s="2"/>
      <c r="L51" s="2"/>
      <c r="M51" s="2"/>
    </row>
    <row r="52" ht="15.75" customHeight="1">
      <c r="B52" s="2"/>
      <c r="C52" s="2"/>
      <c r="D52" s="2"/>
      <c r="E52" s="2"/>
      <c r="L52" s="2"/>
      <c r="M52" s="2"/>
    </row>
    <row r="53" ht="15.75" customHeight="1">
      <c r="B53" s="2"/>
      <c r="C53" s="2"/>
      <c r="D53" s="2"/>
      <c r="E53" s="2"/>
      <c r="L53" s="2"/>
      <c r="M53" s="2"/>
    </row>
    <row r="54" ht="15.75" customHeight="1">
      <c r="B54" s="2"/>
      <c r="C54" s="2"/>
      <c r="D54" s="2"/>
      <c r="E54" s="2"/>
      <c r="L54" s="2"/>
      <c r="M54" s="2"/>
    </row>
    <row r="55" ht="15.75" customHeight="1">
      <c r="B55" s="2"/>
      <c r="C55" s="2"/>
      <c r="D55" s="2"/>
      <c r="E55" s="2"/>
      <c r="L55" s="2"/>
      <c r="M55" s="2"/>
    </row>
    <row r="56" ht="15.75" customHeight="1">
      <c r="B56" s="2"/>
      <c r="C56" s="2"/>
      <c r="D56" s="2"/>
      <c r="E56" s="2"/>
      <c r="L56" s="2"/>
      <c r="M56" s="2"/>
    </row>
    <row r="57" ht="15.75" customHeight="1">
      <c r="B57" s="2"/>
      <c r="C57" s="2"/>
      <c r="D57" s="2"/>
      <c r="E57" s="2"/>
      <c r="L57" s="2"/>
      <c r="M57" s="2"/>
    </row>
    <row r="58" ht="15.75" customHeight="1">
      <c r="B58" s="2"/>
      <c r="C58" s="2"/>
      <c r="D58" s="2"/>
      <c r="E58" s="2"/>
      <c r="L58" s="2"/>
      <c r="M58" s="2"/>
    </row>
    <row r="59" ht="15.75" customHeight="1">
      <c r="B59" s="2"/>
      <c r="C59" s="2"/>
      <c r="D59" s="2"/>
      <c r="E59" s="2"/>
      <c r="L59" s="2"/>
      <c r="M59" s="2"/>
    </row>
    <row r="60" ht="15.75" customHeight="1">
      <c r="B60" s="2"/>
      <c r="C60" s="2"/>
      <c r="D60" s="2"/>
      <c r="E60" s="2"/>
      <c r="L60" s="2"/>
      <c r="M60" s="2"/>
    </row>
    <row r="61" ht="15.75" customHeight="1">
      <c r="B61" s="2"/>
      <c r="C61" s="2"/>
      <c r="D61" s="2"/>
      <c r="E61" s="2"/>
      <c r="L61" s="2"/>
      <c r="M61" s="2"/>
    </row>
    <row r="62" ht="15.75" customHeight="1">
      <c r="B62" s="2"/>
      <c r="C62" s="2"/>
      <c r="D62" s="2"/>
      <c r="E62" s="2"/>
      <c r="L62" s="2"/>
      <c r="M62" s="2"/>
    </row>
    <row r="63" ht="15.75" customHeight="1">
      <c r="B63" s="2"/>
      <c r="C63" s="2"/>
      <c r="D63" s="2"/>
      <c r="E63" s="2"/>
      <c r="L63" s="2"/>
      <c r="M63" s="2"/>
    </row>
    <row r="64" ht="15.75" customHeight="1">
      <c r="B64" s="2"/>
      <c r="C64" s="2"/>
      <c r="D64" s="2"/>
      <c r="E64" s="2"/>
      <c r="L64" s="2"/>
      <c r="M64" s="2"/>
    </row>
    <row r="65" ht="15.75" customHeight="1">
      <c r="B65" s="2"/>
      <c r="C65" s="2"/>
      <c r="D65" s="2"/>
      <c r="E65" s="2"/>
      <c r="L65" s="2"/>
      <c r="M65" s="2"/>
    </row>
    <row r="66" ht="15.75" customHeight="1">
      <c r="B66" s="2"/>
      <c r="C66" s="2"/>
      <c r="D66" s="2"/>
      <c r="E66" s="2"/>
      <c r="L66" s="2"/>
      <c r="M66" s="2"/>
    </row>
    <row r="67" ht="15.75" customHeight="1">
      <c r="B67" s="2"/>
      <c r="C67" s="2"/>
      <c r="D67" s="2"/>
      <c r="E67" s="2"/>
      <c r="L67" s="2"/>
      <c r="M67" s="2"/>
    </row>
    <row r="68" ht="15.75" customHeight="1">
      <c r="B68" s="2"/>
      <c r="C68" s="2"/>
      <c r="D68" s="2"/>
      <c r="E68" s="2"/>
      <c r="L68" s="2"/>
      <c r="M68" s="2"/>
    </row>
    <row r="69" ht="15.75" customHeight="1">
      <c r="B69" s="2"/>
      <c r="C69" s="2"/>
      <c r="D69" s="2"/>
      <c r="E69" s="2"/>
      <c r="L69" s="2"/>
      <c r="M69" s="2"/>
    </row>
    <row r="70" ht="15.75" customHeight="1">
      <c r="B70" s="2"/>
      <c r="C70" s="2"/>
      <c r="D70" s="2"/>
      <c r="E70" s="2"/>
      <c r="L70" s="2"/>
      <c r="M70" s="2"/>
    </row>
    <row r="71" ht="15.75" customHeight="1">
      <c r="B71" s="2"/>
      <c r="C71" s="2"/>
      <c r="D71" s="2"/>
      <c r="E71" s="2"/>
      <c r="L71" s="2"/>
      <c r="M71" s="2"/>
    </row>
    <row r="72" ht="15.75" customHeight="1">
      <c r="B72" s="2"/>
      <c r="C72" s="2"/>
      <c r="D72" s="2"/>
      <c r="E72" s="2"/>
      <c r="L72" s="2"/>
      <c r="M72" s="2"/>
    </row>
    <row r="73" ht="15.75" customHeight="1">
      <c r="B73" s="2"/>
      <c r="C73" s="2"/>
      <c r="D73" s="2"/>
      <c r="E73" s="2"/>
      <c r="L73" s="2"/>
      <c r="M73" s="2"/>
    </row>
    <row r="74" ht="15.75" customHeight="1">
      <c r="B74" s="2"/>
      <c r="C74" s="2"/>
      <c r="D74" s="2"/>
      <c r="E74" s="2"/>
      <c r="L74" s="2"/>
      <c r="M74" s="2"/>
    </row>
    <row r="75" ht="15.75" customHeight="1">
      <c r="B75" s="2"/>
      <c r="C75" s="2"/>
      <c r="D75" s="2"/>
      <c r="E75" s="2"/>
      <c r="L75" s="2"/>
      <c r="M75" s="2"/>
    </row>
    <row r="76" ht="15.75" customHeight="1">
      <c r="B76" s="2"/>
      <c r="C76" s="2"/>
      <c r="D76" s="2"/>
      <c r="E76" s="2"/>
      <c r="L76" s="2"/>
      <c r="M76" s="2"/>
    </row>
    <row r="77" ht="15.75" customHeight="1">
      <c r="B77" s="2"/>
      <c r="C77" s="2"/>
      <c r="D77" s="2"/>
      <c r="E77" s="2"/>
      <c r="L77" s="2"/>
      <c r="M77" s="2"/>
    </row>
    <row r="78" ht="15.75" customHeight="1">
      <c r="B78" s="2"/>
      <c r="C78" s="2"/>
      <c r="D78" s="2"/>
      <c r="E78" s="2"/>
      <c r="L78" s="2"/>
      <c r="M78" s="2"/>
    </row>
    <row r="79" ht="15.75" customHeight="1">
      <c r="B79" s="2"/>
      <c r="C79" s="2"/>
      <c r="D79" s="2"/>
      <c r="E79" s="2"/>
      <c r="L79" s="2"/>
      <c r="M79" s="2"/>
    </row>
    <row r="80" ht="15.75" customHeight="1">
      <c r="B80" s="2"/>
      <c r="C80" s="2"/>
      <c r="D80" s="2"/>
      <c r="E80" s="2"/>
      <c r="L80" s="2"/>
      <c r="M80" s="2"/>
    </row>
    <row r="81" ht="15.75" customHeight="1">
      <c r="B81" s="2"/>
      <c r="C81" s="2"/>
      <c r="D81" s="2"/>
      <c r="E81" s="2"/>
      <c r="L81" s="2"/>
      <c r="M81" s="2"/>
    </row>
    <row r="82" ht="15.75" customHeight="1">
      <c r="B82" s="2"/>
      <c r="C82" s="2"/>
      <c r="D82" s="2"/>
      <c r="E82" s="2"/>
      <c r="L82" s="2"/>
      <c r="M82" s="2"/>
    </row>
    <row r="83" ht="15.75" customHeight="1">
      <c r="B83" s="2"/>
      <c r="C83" s="2"/>
      <c r="D83" s="2"/>
      <c r="E83" s="2"/>
      <c r="L83" s="2"/>
      <c r="M83" s="2"/>
    </row>
    <row r="84" ht="15.75" customHeight="1">
      <c r="B84" s="2"/>
      <c r="C84" s="2"/>
      <c r="D84" s="2"/>
      <c r="E84" s="2"/>
      <c r="L84" s="2"/>
      <c r="M84" s="2"/>
    </row>
    <row r="85" ht="15.75" customHeight="1">
      <c r="B85" s="2"/>
      <c r="C85" s="2"/>
      <c r="D85" s="2"/>
      <c r="E85" s="2"/>
      <c r="L85" s="2"/>
      <c r="M85" s="2"/>
    </row>
    <row r="86" ht="15.75" customHeight="1">
      <c r="B86" s="2"/>
      <c r="C86" s="2"/>
      <c r="D86" s="2"/>
      <c r="E86" s="2"/>
      <c r="L86" s="2"/>
      <c r="M86" s="2"/>
    </row>
    <row r="87" ht="15.75" customHeight="1">
      <c r="B87" s="2"/>
      <c r="C87" s="2"/>
      <c r="D87" s="2"/>
      <c r="E87" s="2"/>
      <c r="L87" s="2"/>
      <c r="M87" s="2"/>
    </row>
    <row r="88" ht="15.75" customHeight="1">
      <c r="B88" s="2"/>
      <c r="C88" s="2"/>
      <c r="D88" s="2"/>
      <c r="E88" s="2"/>
      <c r="L88" s="2"/>
      <c r="M88" s="2"/>
    </row>
    <row r="89" ht="15.75" customHeight="1">
      <c r="B89" s="2"/>
      <c r="C89" s="2"/>
      <c r="D89" s="2"/>
      <c r="E89" s="2"/>
      <c r="L89" s="2"/>
      <c r="M89" s="2"/>
    </row>
    <row r="90" ht="15.75" customHeight="1">
      <c r="B90" s="2"/>
      <c r="C90" s="2"/>
      <c r="D90" s="2"/>
      <c r="E90" s="2"/>
      <c r="L90" s="2"/>
      <c r="M90" s="2"/>
    </row>
    <row r="91" ht="15.75" customHeight="1">
      <c r="B91" s="2"/>
      <c r="C91" s="2"/>
      <c r="D91" s="2"/>
      <c r="E91" s="2"/>
      <c r="L91" s="2"/>
      <c r="M91" s="2"/>
    </row>
    <row r="92" ht="15.75" customHeight="1">
      <c r="B92" s="2"/>
      <c r="C92" s="2"/>
      <c r="D92" s="2"/>
      <c r="E92" s="2"/>
      <c r="L92" s="2"/>
      <c r="M92" s="2"/>
    </row>
    <row r="93" ht="15.75" customHeight="1">
      <c r="B93" s="2"/>
      <c r="C93" s="2"/>
      <c r="D93" s="2"/>
      <c r="E93" s="2"/>
      <c r="L93" s="2"/>
      <c r="M93" s="2"/>
    </row>
    <row r="94" ht="15.75" customHeight="1">
      <c r="B94" s="2"/>
      <c r="C94" s="2"/>
      <c r="D94" s="2"/>
      <c r="E94" s="2"/>
      <c r="L94" s="2"/>
      <c r="M94" s="2"/>
    </row>
    <row r="95" ht="15.75" customHeight="1">
      <c r="B95" s="2"/>
      <c r="C95" s="2"/>
      <c r="D95" s="2"/>
      <c r="E95" s="2"/>
      <c r="L95" s="2"/>
      <c r="M95" s="2"/>
    </row>
    <row r="96" ht="15.75" customHeight="1">
      <c r="B96" s="2"/>
      <c r="C96" s="2"/>
      <c r="D96" s="2"/>
      <c r="E96" s="2"/>
      <c r="L96" s="2"/>
      <c r="M96" s="2"/>
    </row>
    <row r="97" ht="15.75" customHeight="1">
      <c r="B97" s="2"/>
      <c r="C97" s="2"/>
      <c r="D97" s="2"/>
      <c r="E97" s="2"/>
      <c r="L97" s="2"/>
      <c r="M97" s="2"/>
    </row>
    <row r="98" ht="15.75" customHeight="1">
      <c r="B98" s="2"/>
      <c r="C98" s="2"/>
      <c r="D98" s="2"/>
      <c r="E98" s="2"/>
      <c r="L98" s="2"/>
      <c r="M98" s="2"/>
    </row>
    <row r="99" ht="15.75" customHeight="1">
      <c r="B99" s="2"/>
      <c r="C99" s="2"/>
      <c r="D99" s="2"/>
      <c r="E99" s="2"/>
      <c r="L99" s="2"/>
      <c r="M99" s="2"/>
    </row>
    <row r="100" ht="15.75" customHeight="1">
      <c r="B100" s="2"/>
      <c r="C100" s="2"/>
      <c r="D100" s="2"/>
      <c r="E100" s="2"/>
      <c r="L100" s="2"/>
      <c r="M100" s="2"/>
    </row>
    <row r="101" ht="15.75" customHeight="1">
      <c r="B101" s="2"/>
      <c r="C101" s="2"/>
      <c r="D101" s="2"/>
      <c r="E101" s="2"/>
      <c r="L101" s="2"/>
      <c r="M101" s="2"/>
    </row>
    <row r="102" ht="15.75" customHeight="1">
      <c r="B102" s="2"/>
      <c r="C102" s="2"/>
      <c r="D102" s="2"/>
      <c r="E102" s="2"/>
      <c r="L102" s="2"/>
      <c r="M102" s="2"/>
    </row>
    <row r="103" ht="15.75" customHeight="1">
      <c r="B103" s="2"/>
      <c r="C103" s="2"/>
      <c r="D103" s="2"/>
      <c r="E103" s="2"/>
      <c r="L103" s="2"/>
      <c r="M103" s="2"/>
    </row>
    <row r="104" ht="15.75" customHeight="1">
      <c r="B104" s="2"/>
      <c r="C104" s="2"/>
      <c r="D104" s="2"/>
      <c r="E104" s="2"/>
      <c r="L104" s="2"/>
      <c r="M104" s="2"/>
    </row>
    <row r="105" ht="15.75" customHeight="1">
      <c r="B105" s="2"/>
      <c r="C105" s="2"/>
      <c r="D105" s="2"/>
      <c r="E105" s="2"/>
      <c r="L105" s="2"/>
      <c r="M105" s="2"/>
    </row>
    <row r="106" ht="15.75" customHeight="1">
      <c r="B106" s="2"/>
      <c r="C106" s="2"/>
      <c r="D106" s="2"/>
      <c r="E106" s="2"/>
      <c r="L106" s="2"/>
      <c r="M106" s="2"/>
    </row>
    <row r="107" ht="15.75" customHeight="1">
      <c r="B107" s="2"/>
      <c r="C107" s="2"/>
      <c r="D107" s="2"/>
      <c r="E107" s="2"/>
      <c r="L107" s="2"/>
      <c r="M107" s="2"/>
    </row>
    <row r="108" ht="15.75" customHeight="1">
      <c r="B108" s="2"/>
      <c r="C108" s="2"/>
      <c r="D108" s="2"/>
      <c r="E108" s="2"/>
      <c r="L108" s="2"/>
      <c r="M108" s="2"/>
    </row>
    <row r="109" ht="15.75" customHeight="1">
      <c r="B109" s="2"/>
      <c r="C109" s="2"/>
      <c r="D109" s="2"/>
      <c r="E109" s="2"/>
      <c r="L109" s="2"/>
      <c r="M109" s="2"/>
    </row>
    <row r="110" ht="15.75" customHeight="1">
      <c r="B110" s="2"/>
      <c r="C110" s="2"/>
      <c r="D110" s="2"/>
      <c r="E110" s="2"/>
      <c r="L110" s="2"/>
      <c r="M110" s="2"/>
    </row>
    <row r="111" ht="15.75" customHeight="1">
      <c r="B111" s="2"/>
      <c r="C111" s="2"/>
      <c r="D111" s="2"/>
      <c r="E111" s="2"/>
      <c r="L111" s="2"/>
      <c r="M111" s="2"/>
    </row>
    <row r="112" ht="15.75" customHeight="1">
      <c r="B112" s="2"/>
      <c r="C112" s="2"/>
      <c r="D112" s="2"/>
      <c r="E112" s="2"/>
      <c r="L112" s="2"/>
      <c r="M112" s="2"/>
    </row>
    <row r="113" ht="15.75" customHeight="1">
      <c r="B113" s="2"/>
      <c r="C113" s="2"/>
      <c r="D113" s="2"/>
      <c r="E113" s="2"/>
      <c r="L113" s="2"/>
      <c r="M113" s="2"/>
    </row>
    <row r="114" ht="15.75" customHeight="1">
      <c r="B114" s="2"/>
      <c r="C114" s="2"/>
      <c r="D114" s="2"/>
      <c r="E114" s="2"/>
      <c r="L114" s="2"/>
      <c r="M114" s="2"/>
    </row>
    <row r="115" ht="15.75" customHeight="1">
      <c r="B115" s="2"/>
      <c r="C115" s="2"/>
      <c r="D115" s="2"/>
      <c r="E115" s="2"/>
      <c r="L115" s="2"/>
      <c r="M115" s="2"/>
    </row>
    <row r="116" ht="15.75" customHeight="1">
      <c r="B116" s="2"/>
      <c r="C116" s="2"/>
      <c r="D116" s="2"/>
      <c r="E116" s="2"/>
      <c r="L116" s="2"/>
      <c r="M116" s="2"/>
    </row>
    <row r="117" ht="15.75" customHeight="1">
      <c r="B117" s="2"/>
      <c r="C117" s="2"/>
      <c r="D117" s="2"/>
      <c r="E117" s="2"/>
      <c r="L117" s="2"/>
      <c r="M117" s="2"/>
    </row>
    <row r="118" ht="15.75" customHeight="1">
      <c r="B118" s="2"/>
      <c r="C118" s="2"/>
      <c r="D118" s="2"/>
      <c r="E118" s="2"/>
      <c r="L118" s="2"/>
      <c r="M118" s="2"/>
    </row>
    <row r="119" ht="15.75" customHeight="1">
      <c r="B119" s="2"/>
      <c r="C119" s="2"/>
      <c r="D119" s="2"/>
      <c r="E119" s="2"/>
      <c r="L119" s="2"/>
      <c r="M119" s="2"/>
    </row>
    <row r="120" ht="15.75" customHeight="1">
      <c r="B120" s="2"/>
      <c r="C120" s="2"/>
      <c r="D120" s="2"/>
      <c r="E120" s="2"/>
      <c r="L120" s="2"/>
      <c r="M120" s="2"/>
    </row>
    <row r="121" ht="15.75" customHeight="1">
      <c r="B121" s="2"/>
      <c r="C121" s="2"/>
      <c r="D121" s="2"/>
      <c r="E121" s="2"/>
      <c r="L121" s="2"/>
      <c r="M121" s="2"/>
    </row>
    <row r="122" ht="15.75" customHeight="1">
      <c r="B122" s="2"/>
      <c r="C122" s="2"/>
      <c r="D122" s="2"/>
      <c r="E122" s="2"/>
      <c r="L122" s="2"/>
      <c r="M122" s="2"/>
    </row>
    <row r="123" ht="15.75" customHeight="1">
      <c r="B123" s="2"/>
      <c r="C123" s="2"/>
      <c r="D123" s="2"/>
      <c r="E123" s="2"/>
      <c r="L123" s="2"/>
      <c r="M123" s="2"/>
    </row>
    <row r="124" ht="15.75" customHeight="1">
      <c r="B124" s="2"/>
      <c r="C124" s="2"/>
      <c r="D124" s="2"/>
      <c r="E124" s="2"/>
      <c r="L124" s="2"/>
      <c r="M124" s="2"/>
    </row>
    <row r="125" ht="15.75" customHeight="1">
      <c r="B125" s="2"/>
      <c r="C125" s="2"/>
      <c r="D125" s="2"/>
      <c r="E125" s="2"/>
      <c r="L125" s="2"/>
      <c r="M125" s="2"/>
    </row>
    <row r="126" ht="15.75" customHeight="1">
      <c r="B126" s="2"/>
      <c r="C126" s="2"/>
      <c r="D126" s="2"/>
      <c r="E126" s="2"/>
      <c r="L126" s="2"/>
      <c r="M126" s="2"/>
    </row>
    <row r="127" ht="15.75" customHeight="1">
      <c r="B127" s="2"/>
      <c r="C127" s="2"/>
      <c r="D127" s="2"/>
      <c r="E127" s="2"/>
      <c r="L127" s="2"/>
      <c r="M127" s="2"/>
    </row>
    <row r="128" ht="15.75" customHeight="1">
      <c r="B128" s="2"/>
      <c r="C128" s="2"/>
      <c r="D128" s="2"/>
      <c r="E128" s="2"/>
      <c r="L128" s="2"/>
      <c r="M128" s="2"/>
    </row>
    <row r="129" ht="15.75" customHeight="1">
      <c r="B129" s="2"/>
      <c r="C129" s="2"/>
      <c r="D129" s="2"/>
      <c r="E129" s="2"/>
      <c r="L129" s="2"/>
      <c r="M129" s="2"/>
    </row>
    <row r="130" ht="15.75" customHeight="1">
      <c r="B130" s="2"/>
      <c r="C130" s="2"/>
      <c r="D130" s="2"/>
      <c r="E130" s="2"/>
      <c r="L130" s="2"/>
      <c r="M130" s="2"/>
    </row>
    <row r="131" ht="15.75" customHeight="1">
      <c r="B131" s="2"/>
      <c r="C131" s="2"/>
      <c r="D131" s="2"/>
      <c r="E131" s="2"/>
      <c r="L131" s="2"/>
      <c r="M131" s="2"/>
    </row>
    <row r="132" ht="15.75" customHeight="1">
      <c r="B132" s="2"/>
      <c r="C132" s="2"/>
      <c r="D132" s="2"/>
      <c r="E132" s="2"/>
      <c r="L132" s="2"/>
      <c r="M132" s="2"/>
    </row>
    <row r="133" ht="15.75" customHeight="1">
      <c r="B133" s="2"/>
      <c r="C133" s="2"/>
      <c r="D133" s="2"/>
      <c r="E133" s="2"/>
      <c r="L133" s="2"/>
      <c r="M133" s="2"/>
    </row>
    <row r="134" ht="15.75" customHeight="1">
      <c r="B134" s="2"/>
      <c r="C134" s="2"/>
      <c r="D134" s="2"/>
      <c r="E134" s="2"/>
      <c r="L134" s="2"/>
      <c r="M134" s="2"/>
    </row>
    <row r="135" ht="15.75" customHeight="1">
      <c r="B135" s="2"/>
      <c r="C135" s="2"/>
      <c r="D135" s="2"/>
      <c r="E135" s="2"/>
      <c r="L135" s="2"/>
      <c r="M135" s="2"/>
    </row>
    <row r="136" ht="15.75" customHeight="1">
      <c r="B136" s="2"/>
      <c r="C136" s="2"/>
      <c r="D136" s="2"/>
      <c r="E136" s="2"/>
      <c r="L136" s="2"/>
      <c r="M136" s="2"/>
    </row>
    <row r="137" ht="15.75" customHeight="1">
      <c r="B137" s="2"/>
      <c r="C137" s="2"/>
      <c r="D137" s="2"/>
      <c r="E137" s="2"/>
      <c r="L137" s="2"/>
      <c r="M137" s="2"/>
    </row>
    <row r="138" ht="15.75" customHeight="1">
      <c r="B138" s="2"/>
      <c r="C138" s="2"/>
      <c r="D138" s="2"/>
      <c r="E138" s="2"/>
      <c r="L138" s="2"/>
      <c r="M138" s="2"/>
    </row>
    <row r="139" ht="15.75" customHeight="1">
      <c r="B139" s="2"/>
      <c r="C139" s="2"/>
      <c r="D139" s="2"/>
      <c r="E139" s="2"/>
      <c r="L139" s="2"/>
      <c r="M139" s="2"/>
    </row>
    <row r="140" ht="15.75" customHeight="1">
      <c r="B140" s="2"/>
      <c r="C140" s="2"/>
      <c r="D140" s="2"/>
      <c r="E140" s="2"/>
      <c r="L140" s="2"/>
      <c r="M140" s="2"/>
    </row>
    <row r="141" ht="15.75" customHeight="1">
      <c r="B141" s="2"/>
      <c r="C141" s="2"/>
      <c r="D141" s="2"/>
      <c r="E141" s="2"/>
      <c r="L141" s="2"/>
      <c r="M141" s="2"/>
    </row>
    <row r="142" ht="15.75" customHeight="1">
      <c r="B142" s="2"/>
      <c r="C142" s="2"/>
      <c r="D142" s="2"/>
      <c r="E142" s="2"/>
      <c r="L142" s="2"/>
      <c r="M142" s="2"/>
    </row>
    <row r="143" ht="15.75" customHeight="1">
      <c r="B143" s="2"/>
      <c r="C143" s="2"/>
      <c r="D143" s="2"/>
      <c r="E143" s="2"/>
      <c r="L143" s="2"/>
      <c r="M143" s="2"/>
    </row>
    <row r="144" ht="15.75" customHeight="1">
      <c r="B144" s="2"/>
      <c r="C144" s="2"/>
      <c r="D144" s="2"/>
      <c r="E144" s="2"/>
      <c r="L144" s="2"/>
      <c r="M144" s="2"/>
    </row>
    <row r="145" ht="15.75" customHeight="1">
      <c r="B145" s="2"/>
      <c r="C145" s="2"/>
      <c r="D145" s="2"/>
      <c r="E145" s="2"/>
      <c r="L145" s="2"/>
      <c r="M145" s="2"/>
    </row>
    <row r="146" ht="15.75" customHeight="1">
      <c r="B146" s="2"/>
      <c r="C146" s="2"/>
      <c r="D146" s="2"/>
      <c r="E146" s="2"/>
      <c r="L146" s="2"/>
      <c r="M146" s="2"/>
    </row>
    <row r="147" ht="15.75" customHeight="1">
      <c r="B147" s="2"/>
      <c r="C147" s="2"/>
      <c r="D147" s="2"/>
      <c r="E147" s="2"/>
      <c r="L147" s="2"/>
      <c r="M147" s="2"/>
    </row>
    <row r="148" ht="15.75" customHeight="1">
      <c r="B148" s="2"/>
      <c r="C148" s="2"/>
      <c r="D148" s="2"/>
      <c r="E148" s="2"/>
      <c r="L148" s="2"/>
      <c r="M148" s="2"/>
    </row>
    <row r="149" ht="15.75" customHeight="1">
      <c r="B149" s="2"/>
      <c r="C149" s="2"/>
      <c r="D149" s="2"/>
      <c r="E149" s="2"/>
      <c r="L149" s="2"/>
      <c r="M149" s="2"/>
    </row>
    <row r="150" ht="15.75" customHeight="1">
      <c r="B150" s="2"/>
      <c r="C150" s="2"/>
      <c r="D150" s="2"/>
      <c r="E150" s="2"/>
      <c r="L150" s="2"/>
      <c r="M150" s="2"/>
    </row>
    <row r="151" ht="15.75" customHeight="1">
      <c r="B151" s="2"/>
      <c r="C151" s="2"/>
      <c r="D151" s="2"/>
      <c r="E151" s="2"/>
      <c r="L151" s="2"/>
      <c r="M151" s="2"/>
    </row>
    <row r="152" ht="15.75" customHeight="1">
      <c r="B152" s="2"/>
      <c r="C152" s="2"/>
      <c r="D152" s="2"/>
      <c r="E152" s="2"/>
      <c r="L152" s="2"/>
      <c r="M152" s="2"/>
    </row>
    <row r="153" ht="15.75" customHeight="1">
      <c r="B153" s="2"/>
      <c r="C153" s="2"/>
      <c r="D153" s="2"/>
      <c r="E153" s="2"/>
      <c r="L153" s="2"/>
      <c r="M153" s="2"/>
    </row>
    <row r="154" ht="15.75" customHeight="1">
      <c r="B154" s="2"/>
      <c r="C154" s="2"/>
      <c r="D154" s="2"/>
      <c r="E154" s="2"/>
      <c r="L154" s="2"/>
      <c r="M154" s="2"/>
    </row>
    <row r="155" ht="15.75" customHeight="1">
      <c r="B155" s="2"/>
      <c r="C155" s="2"/>
      <c r="D155" s="2"/>
      <c r="E155" s="2"/>
      <c r="L155" s="2"/>
      <c r="M155" s="2"/>
    </row>
    <row r="156" ht="15.75" customHeight="1">
      <c r="B156" s="2"/>
      <c r="C156" s="2"/>
      <c r="D156" s="2"/>
      <c r="E156" s="2"/>
      <c r="L156" s="2"/>
      <c r="M156" s="2"/>
    </row>
    <row r="157" ht="15.75" customHeight="1">
      <c r="B157" s="2"/>
      <c r="C157" s="2"/>
      <c r="D157" s="2"/>
      <c r="E157" s="2"/>
      <c r="L157" s="2"/>
      <c r="M157" s="2"/>
    </row>
    <row r="158" ht="15.75" customHeight="1">
      <c r="B158" s="2"/>
      <c r="C158" s="2"/>
      <c r="D158" s="2"/>
      <c r="E158" s="2"/>
      <c r="L158" s="2"/>
      <c r="M158" s="2"/>
    </row>
    <row r="159" ht="15.75" customHeight="1">
      <c r="B159" s="2"/>
      <c r="C159" s="2"/>
      <c r="D159" s="2"/>
      <c r="E159" s="2"/>
      <c r="L159" s="2"/>
      <c r="M159" s="2"/>
    </row>
    <row r="160" ht="15.75" customHeight="1">
      <c r="B160" s="2"/>
      <c r="C160" s="2"/>
      <c r="D160" s="2"/>
      <c r="E160" s="2"/>
      <c r="L160" s="2"/>
      <c r="M160" s="2"/>
    </row>
    <row r="161" ht="15.75" customHeight="1">
      <c r="B161" s="2"/>
      <c r="C161" s="2"/>
      <c r="D161" s="2"/>
      <c r="E161" s="2"/>
      <c r="L161" s="2"/>
      <c r="M161" s="2"/>
    </row>
    <row r="162" ht="15.75" customHeight="1">
      <c r="B162" s="2"/>
      <c r="C162" s="2"/>
      <c r="D162" s="2"/>
      <c r="E162" s="2"/>
      <c r="L162" s="2"/>
      <c r="M162" s="2"/>
    </row>
    <row r="163" ht="15.75" customHeight="1">
      <c r="B163" s="2"/>
      <c r="C163" s="2"/>
      <c r="D163" s="2"/>
      <c r="E163" s="2"/>
      <c r="L163" s="2"/>
      <c r="M163" s="2"/>
    </row>
    <row r="164" ht="15.75" customHeight="1">
      <c r="B164" s="2"/>
      <c r="C164" s="2"/>
      <c r="D164" s="2"/>
      <c r="E164" s="2"/>
      <c r="L164" s="2"/>
      <c r="M164" s="2"/>
    </row>
    <row r="165" ht="15.75" customHeight="1">
      <c r="B165" s="2"/>
      <c r="C165" s="2"/>
      <c r="D165" s="2"/>
      <c r="E165" s="2"/>
      <c r="L165" s="2"/>
      <c r="M165" s="2"/>
    </row>
    <row r="166" ht="15.75" customHeight="1">
      <c r="B166" s="2"/>
      <c r="C166" s="2"/>
      <c r="D166" s="2"/>
      <c r="E166" s="2"/>
      <c r="L166" s="2"/>
      <c r="M166" s="2"/>
    </row>
    <row r="167" ht="15.75" customHeight="1">
      <c r="B167" s="2"/>
      <c r="C167" s="2"/>
      <c r="D167" s="2"/>
      <c r="E167" s="2"/>
      <c r="L167" s="2"/>
      <c r="M167" s="2"/>
    </row>
    <row r="168" ht="15.75" customHeight="1">
      <c r="B168" s="2"/>
      <c r="C168" s="2"/>
      <c r="D168" s="2"/>
      <c r="E168" s="2"/>
      <c r="L168" s="2"/>
      <c r="M168" s="2"/>
    </row>
    <row r="169" ht="15.75" customHeight="1">
      <c r="B169" s="2"/>
      <c r="C169" s="2"/>
      <c r="D169" s="2"/>
      <c r="E169" s="2"/>
      <c r="L169" s="2"/>
      <c r="M169" s="2"/>
    </row>
    <row r="170" ht="15.75" customHeight="1">
      <c r="B170" s="2"/>
      <c r="C170" s="2"/>
      <c r="D170" s="2"/>
      <c r="E170" s="2"/>
      <c r="L170" s="2"/>
      <c r="M170" s="2"/>
    </row>
    <row r="171" ht="15.75" customHeight="1">
      <c r="B171" s="2"/>
      <c r="C171" s="2"/>
      <c r="D171" s="2"/>
      <c r="E171" s="2"/>
      <c r="L171" s="2"/>
      <c r="M171" s="2"/>
    </row>
    <row r="172" ht="15.75" customHeight="1">
      <c r="B172" s="2"/>
      <c r="C172" s="2"/>
      <c r="D172" s="2"/>
      <c r="E172" s="2"/>
      <c r="L172" s="2"/>
      <c r="M172" s="2"/>
    </row>
    <row r="173" ht="15.75" customHeight="1">
      <c r="B173" s="2"/>
      <c r="C173" s="2"/>
      <c r="D173" s="2"/>
      <c r="E173" s="2"/>
      <c r="L173" s="2"/>
      <c r="M173" s="2"/>
    </row>
    <row r="174" ht="15.75" customHeight="1">
      <c r="B174" s="2"/>
      <c r="C174" s="2"/>
      <c r="D174" s="2"/>
      <c r="E174" s="2"/>
      <c r="L174" s="2"/>
      <c r="M174" s="2"/>
    </row>
    <row r="175" ht="15.75" customHeight="1">
      <c r="B175" s="2"/>
      <c r="C175" s="2"/>
      <c r="D175" s="2"/>
      <c r="E175" s="2"/>
      <c r="L175" s="2"/>
      <c r="M175" s="2"/>
    </row>
    <row r="176" ht="15.75" customHeight="1">
      <c r="B176" s="2"/>
      <c r="C176" s="2"/>
      <c r="D176" s="2"/>
      <c r="E176" s="2"/>
      <c r="L176" s="2"/>
      <c r="M176" s="2"/>
    </row>
    <row r="177" ht="15.75" customHeight="1">
      <c r="B177" s="2"/>
      <c r="C177" s="2"/>
      <c r="D177" s="2"/>
      <c r="E177" s="2"/>
      <c r="L177" s="2"/>
      <c r="M177" s="2"/>
    </row>
    <row r="178" ht="15.75" customHeight="1">
      <c r="B178" s="2"/>
      <c r="C178" s="2"/>
      <c r="D178" s="2"/>
      <c r="E178" s="2"/>
      <c r="L178" s="2"/>
      <c r="M178" s="2"/>
    </row>
    <row r="179" ht="15.75" customHeight="1">
      <c r="B179" s="2"/>
      <c r="C179" s="2"/>
      <c r="D179" s="2"/>
      <c r="E179" s="2"/>
      <c r="L179" s="2"/>
      <c r="M179" s="2"/>
    </row>
    <row r="180" ht="15.75" customHeight="1">
      <c r="B180" s="2"/>
      <c r="C180" s="2"/>
      <c r="D180" s="2"/>
      <c r="E180" s="2"/>
      <c r="L180" s="2"/>
      <c r="M180" s="2"/>
    </row>
    <row r="181" ht="15.75" customHeight="1">
      <c r="B181" s="2"/>
      <c r="C181" s="2"/>
      <c r="D181" s="2"/>
      <c r="E181" s="2"/>
      <c r="L181" s="2"/>
      <c r="M181" s="2"/>
    </row>
    <row r="182" ht="15.75" customHeight="1">
      <c r="B182" s="2"/>
      <c r="C182" s="2"/>
      <c r="D182" s="2"/>
      <c r="E182" s="2"/>
      <c r="L182" s="2"/>
      <c r="M182" s="2"/>
    </row>
    <row r="183" ht="15.75" customHeight="1">
      <c r="B183" s="2"/>
      <c r="C183" s="2"/>
      <c r="D183" s="2"/>
      <c r="E183" s="2"/>
      <c r="L183" s="2"/>
      <c r="M183" s="2"/>
    </row>
    <row r="184" ht="15.75" customHeight="1">
      <c r="B184" s="2"/>
      <c r="C184" s="2"/>
      <c r="D184" s="2"/>
      <c r="E184" s="2"/>
      <c r="L184" s="2"/>
      <c r="M184" s="2"/>
    </row>
    <row r="185" ht="15.75" customHeight="1">
      <c r="B185" s="2"/>
      <c r="C185" s="2"/>
      <c r="D185" s="2"/>
      <c r="E185" s="2"/>
      <c r="L185" s="2"/>
      <c r="M185" s="2"/>
    </row>
    <row r="186" ht="15.75" customHeight="1">
      <c r="B186" s="2"/>
      <c r="C186" s="2"/>
      <c r="D186" s="2"/>
      <c r="E186" s="2"/>
      <c r="L186" s="2"/>
      <c r="M186" s="2"/>
    </row>
    <row r="187" ht="15.75" customHeight="1">
      <c r="B187" s="2"/>
      <c r="C187" s="2"/>
      <c r="D187" s="2"/>
      <c r="E187" s="2"/>
      <c r="L187" s="2"/>
      <c r="M187" s="2"/>
    </row>
    <row r="188" ht="15.75" customHeight="1">
      <c r="B188" s="2"/>
      <c r="C188" s="2"/>
      <c r="D188" s="2"/>
      <c r="E188" s="2"/>
      <c r="L188" s="2"/>
      <c r="M188" s="2"/>
    </row>
    <row r="189" ht="15.75" customHeight="1">
      <c r="B189" s="2"/>
      <c r="C189" s="2"/>
      <c r="D189" s="2"/>
      <c r="E189" s="2"/>
      <c r="L189" s="2"/>
      <c r="M189" s="2"/>
    </row>
    <row r="190" ht="15.75" customHeight="1">
      <c r="B190" s="2"/>
      <c r="C190" s="2"/>
      <c r="D190" s="2"/>
      <c r="E190" s="2"/>
      <c r="L190" s="2"/>
      <c r="M190" s="2"/>
    </row>
    <row r="191" ht="15.75" customHeight="1">
      <c r="B191" s="2"/>
      <c r="C191" s="2"/>
      <c r="D191" s="2"/>
      <c r="E191" s="2"/>
      <c r="L191" s="2"/>
      <c r="M191" s="2"/>
    </row>
    <row r="192" ht="15.75" customHeight="1">
      <c r="B192" s="2"/>
      <c r="C192" s="2"/>
      <c r="D192" s="2"/>
      <c r="E192" s="2"/>
      <c r="L192" s="2"/>
      <c r="M192" s="2"/>
    </row>
    <row r="193" ht="15.75" customHeight="1">
      <c r="B193" s="2"/>
      <c r="C193" s="2"/>
      <c r="D193" s="2"/>
      <c r="E193" s="2"/>
      <c r="L193" s="2"/>
      <c r="M193" s="2"/>
    </row>
    <row r="194" ht="15.75" customHeight="1">
      <c r="B194" s="2"/>
      <c r="C194" s="2"/>
      <c r="D194" s="2"/>
      <c r="E194" s="2"/>
      <c r="L194" s="2"/>
      <c r="M194" s="2"/>
    </row>
    <row r="195" ht="15.75" customHeight="1">
      <c r="B195" s="2"/>
      <c r="C195" s="2"/>
      <c r="D195" s="2"/>
      <c r="E195" s="2"/>
      <c r="L195" s="2"/>
      <c r="M195" s="2"/>
    </row>
    <row r="196" ht="15.75" customHeight="1">
      <c r="B196" s="2"/>
      <c r="C196" s="2"/>
      <c r="D196" s="2"/>
      <c r="E196" s="2"/>
      <c r="L196" s="2"/>
      <c r="M196" s="2"/>
    </row>
    <row r="197" ht="15.75" customHeight="1">
      <c r="B197" s="2"/>
      <c r="C197" s="2"/>
      <c r="D197" s="2"/>
      <c r="E197" s="2"/>
      <c r="L197" s="2"/>
      <c r="M197" s="2"/>
    </row>
    <row r="198" ht="15.75" customHeight="1">
      <c r="B198" s="2"/>
      <c r="C198" s="2"/>
      <c r="D198" s="2"/>
      <c r="E198" s="2"/>
      <c r="L198" s="2"/>
      <c r="M198" s="2"/>
    </row>
    <row r="199" ht="15.75" customHeight="1">
      <c r="B199" s="2"/>
      <c r="C199" s="2"/>
      <c r="D199" s="2"/>
      <c r="E199" s="2"/>
      <c r="L199" s="2"/>
      <c r="M199" s="2"/>
    </row>
    <row r="200" ht="15.75" customHeight="1">
      <c r="B200" s="2"/>
      <c r="C200" s="2"/>
      <c r="D200" s="2"/>
      <c r="E200" s="2"/>
      <c r="L200" s="2"/>
      <c r="M200" s="2"/>
    </row>
    <row r="201" ht="15.75" customHeight="1">
      <c r="B201" s="2"/>
      <c r="C201" s="2"/>
      <c r="D201" s="2"/>
      <c r="E201" s="2"/>
      <c r="L201" s="2"/>
      <c r="M201" s="2"/>
    </row>
    <row r="202" ht="15.75" customHeight="1">
      <c r="B202" s="2"/>
      <c r="C202" s="2"/>
      <c r="D202" s="2"/>
      <c r="E202" s="2"/>
      <c r="L202" s="2"/>
      <c r="M202" s="2"/>
    </row>
    <row r="203" ht="15.75" customHeight="1">
      <c r="B203" s="2"/>
      <c r="C203" s="2"/>
      <c r="D203" s="2"/>
      <c r="E203" s="2"/>
      <c r="L203" s="2"/>
      <c r="M203" s="2"/>
    </row>
    <row r="204" ht="15.75" customHeight="1">
      <c r="B204" s="2"/>
      <c r="C204" s="2"/>
      <c r="D204" s="2"/>
      <c r="E204" s="2"/>
      <c r="L204" s="2"/>
      <c r="M204" s="2"/>
    </row>
    <row r="205" ht="15.75" customHeight="1">
      <c r="B205" s="2"/>
      <c r="C205" s="2"/>
      <c r="D205" s="2"/>
      <c r="E205" s="2"/>
      <c r="L205" s="2"/>
      <c r="M205" s="2"/>
    </row>
    <row r="206" ht="15.75" customHeight="1">
      <c r="B206" s="2"/>
      <c r="C206" s="2"/>
      <c r="D206" s="2"/>
      <c r="E206" s="2"/>
      <c r="L206" s="2"/>
      <c r="M206" s="2"/>
    </row>
    <row r="207" ht="15.75" customHeight="1">
      <c r="B207" s="2"/>
      <c r="C207" s="2"/>
      <c r="D207" s="2"/>
      <c r="E207" s="2"/>
      <c r="L207" s="2"/>
      <c r="M207" s="2"/>
    </row>
    <row r="208" ht="15.75" customHeight="1">
      <c r="B208" s="2"/>
      <c r="C208" s="2"/>
      <c r="D208" s="2"/>
      <c r="E208" s="2"/>
      <c r="L208" s="2"/>
      <c r="M208" s="2"/>
    </row>
    <row r="209" ht="15.75" customHeight="1">
      <c r="B209" s="2"/>
      <c r="C209" s="2"/>
      <c r="D209" s="2"/>
      <c r="E209" s="2"/>
      <c r="L209" s="2"/>
      <c r="M209" s="2"/>
    </row>
    <row r="210" ht="15.75" customHeight="1">
      <c r="B210" s="2"/>
      <c r="C210" s="2"/>
      <c r="D210" s="2"/>
      <c r="E210" s="2"/>
      <c r="L210" s="2"/>
      <c r="M210" s="2"/>
    </row>
    <row r="211" ht="15.75" customHeight="1">
      <c r="B211" s="2"/>
      <c r="C211" s="2"/>
      <c r="D211" s="2"/>
      <c r="E211" s="2"/>
      <c r="L211" s="2"/>
      <c r="M211" s="2"/>
    </row>
    <row r="212" ht="15.75" customHeight="1">
      <c r="B212" s="2"/>
      <c r="C212" s="2"/>
      <c r="D212" s="2"/>
      <c r="E212" s="2"/>
      <c r="L212" s="2"/>
      <c r="M212" s="2"/>
    </row>
    <row r="213" ht="15.75" customHeight="1">
      <c r="B213" s="2"/>
      <c r="C213" s="2"/>
      <c r="D213" s="2"/>
      <c r="E213" s="2"/>
      <c r="L213" s="2"/>
      <c r="M213" s="2"/>
    </row>
    <row r="214" ht="15.75" customHeight="1">
      <c r="B214" s="2"/>
      <c r="C214" s="2"/>
      <c r="D214" s="2"/>
      <c r="E214" s="2"/>
      <c r="L214" s="2"/>
      <c r="M214" s="2"/>
    </row>
    <row r="215" ht="15.75" customHeight="1">
      <c r="B215" s="2"/>
      <c r="C215" s="2"/>
      <c r="D215" s="2"/>
      <c r="E215" s="2"/>
      <c r="L215" s="2"/>
      <c r="M215" s="2"/>
    </row>
    <row r="216" ht="15.75" customHeight="1">
      <c r="B216" s="2"/>
      <c r="C216" s="2"/>
      <c r="D216" s="2"/>
      <c r="E216" s="2"/>
      <c r="L216" s="2"/>
      <c r="M216" s="2"/>
    </row>
    <row r="217" ht="15.75" customHeight="1">
      <c r="B217" s="2"/>
      <c r="C217" s="2"/>
      <c r="D217" s="2"/>
      <c r="E217" s="2"/>
      <c r="L217" s="2"/>
      <c r="M217" s="2"/>
    </row>
    <row r="218" ht="15.75" customHeight="1">
      <c r="B218" s="2"/>
      <c r="C218" s="2"/>
      <c r="D218" s="2"/>
      <c r="E218" s="2"/>
      <c r="L218" s="2"/>
      <c r="M218" s="2"/>
    </row>
    <row r="219" ht="15.75" customHeight="1">
      <c r="B219" s="2"/>
      <c r="C219" s="2"/>
      <c r="D219" s="2"/>
      <c r="E219" s="2"/>
      <c r="L219" s="2"/>
      <c r="M219" s="2"/>
    </row>
    <row r="220" ht="15.75" customHeight="1">
      <c r="B220" s="2"/>
      <c r="C220" s="2"/>
      <c r="D220" s="2"/>
      <c r="E220" s="2"/>
      <c r="L220" s="2"/>
      <c r="M220" s="2"/>
    </row>
    <row r="221" ht="15.75" customHeight="1">
      <c r="B221" s="2"/>
      <c r="C221" s="2"/>
      <c r="D221" s="2"/>
      <c r="E221" s="2"/>
      <c r="L221" s="2"/>
      <c r="M221" s="2"/>
    </row>
    <row r="222" ht="15.75" customHeight="1">
      <c r="B222" s="2"/>
      <c r="C222" s="2"/>
      <c r="D222" s="2"/>
      <c r="E222" s="2"/>
      <c r="L222" s="2"/>
      <c r="M222" s="2"/>
    </row>
    <row r="223" ht="15.75" customHeight="1">
      <c r="B223" s="2"/>
      <c r="C223" s="2"/>
      <c r="D223" s="2"/>
      <c r="E223" s="2"/>
      <c r="L223" s="2"/>
      <c r="M223" s="2"/>
    </row>
    <row r="224" ht="15.75" customHeight="1">
      <c r="B224" s="2"/>
      <c r="C224" s="2"/>
      <c r="D224" s="2"/>
      <c r="E224" s="2"/>
      <c r="L224" s="2"/>
      <c r="M224" s="2"/>
    </row>
    <row r="225" ht="15.75" customHeight="1">
      <c r="B225" s="2"/>
      <c r="C225" s="2"/>
      <c r="D225" s="2"/>
      <c r="E225" s="2"/>
      <c r="L225" s="2"/>
      <c r="M225" s="2"/>
    </row>
    <row r="226" ht="15.75" customHeight="1">
      <c r="B226" s="2"/>
      <c r="C226" s="2"/>
      <c r="D226" s="2"/>
      <c r="E226" s="2"/>
      <c r="L226" s="2"/>
      <c r="M226" s="2"/>
    </row>
    <row r="227" ht="15.75" customHeight="1">
      <c r="B227" s="2"/>
      <c r="C227" s="2"/>
      <c r="D227" s="2"/>
      <c r="E227" s="2"/>
      <c r="L227" s="2"/>
      <c r="M227" s="2"/>
    </row>
    <row r="228" ht="15.75" customHeight="1">
      <c r="B228" s="2"/>
      <c r="C228" s="2"/>
      <c r="D228" s="2"/>
      <c r="E228" s="2"/>
      <c r="L228" s="2"/>
      <c r="M228" s="2"/>
    </row>
    <row r="229" ht="15.75" customHeight="1">
      <c r="B229" s="2"/>
      <c r="C229" s="2"/>
      <c r="D229" s="2"/>
      <c r="E229" s="2"/>
      <c r="L229" s="2"/>
      <c r="M229" s="2"/>
    </row>
    <row r="230" ht="15.75" customHeight="1">
      <c r="B230" s="2"/>
      <c r="C230" s="2"/>
      <c r="D230" s="2"/>
      <c r="E230" s="2"/>
      <c r="L230" s="2"/>
      <c r="M230" s="2"/>
    </row>
    <row r="231" ht="15.75" customHeight="1">
      <c r="B231" s="2"/>
      <c r="C231" s="2"/>
      <c r="D231" s="2"/>
      <c r="E231" s="2"/>
      <c r="L231" s="2"/>
      <c r="M231" s="2"/>
    </row>
    <row r="232" ht="15.75" customHeight="1">
      <c r="B232" s="2"/>
      <c r="C232" s="2"/>
      <c r="D232" s="2"/>
      <c r="E232" s="2"/>
      <c r="L232" s="2"/>
      <c r="M232" s="2"/>
    </row>
    <row r="233" ht="15.75" customHeight="1">
      <c r="B233" s="2"/>
      <c r="C233" s="2"/>
      <c r="D233" s="2"/>
      <c r="E233" s="2"/>
      <c r="L233" s="2"/>
      <c r="M233" s="2"/>
    </row>
    <row r="234" ht="15.75" customHeight="1">
      <c r="B234" s="2"/>
      <c r="C234" s="2"/>
      <c r="D234" s="2"/>
      <c r="E234" s="2"/>
      <c r="L234" s="2"/>
      <c r="M234" s="2"/>
    </row>
    <row r="235" ht="15.75" customHeight="1">
      <c r="B235" s="2"/>
      <c r="C235" s="2"/>
      <c r="D235" s="2"/>
      <c r="E235" s="2"/>
      <c r="L235" s="2"/>
      <c r="M235" s="2"/>
    </row>
    <row r="236" ht="15.75" customHeight="1">
      <c r="B236" s="2"/>
      <c r="C236" s="2"/>
      <c r="D236" s="2"/>
      <c r="E236" s="2"/>
      <c r="L236" s="2"/>
      <c r="M236" s="2"/>
    </row>
    <row r="237" ht="15.75" customHeight="1">
      <c r="B237" s="2"/>
      <c r="C237" s="2"/>
      <c r="D237" s="2"/>
      <c r="E237" s="2"/>
      <c r="L237" s="2"/>
      <c r="M237" s="2"/>
    </row>
    <row r="238" ht="15.75" customHeight="1">
      <c r="B238" s="2"/>
      <c r="C238" s="2"/>
      <c r="D238" s="2"/>
      <c r="E238" s="2"/>
      <c r="L238" s="2"/>
      <c r="M238" s="2"/>
    </row>
    <row r="239" ht="15.75" customHeight="1">
      <c r="B239" s="2"/>
      <c r="C239" s="2"/>
      <c r="D239" s="2"/>
      <c r="E239" s="2"/>
      <c r="L239" s="2"/>
      <c r="M239" s="2"/>
    </row>
    <row r="240" ht="15.75" customHeight="1">
      <c r="B240" s="2"/>
      <c r="C240" s="2"/>
      <c r="D240" s="2"/>
      <c r="E240" s="2"/>
      <c r="L240" s="2"/>
      <c r="M240" s="2"/>
    </row>
    <row r="241" ht="15.75" customHeight="1">
      <c r="B241" s="2"/>
      <c r="C241" s="2"/>
      <c r="D241" s="2"/>
      <c r="E241" s="2"/>
      <c r="L241" s="2"/>
      <c r="M241" s="2"/>
    </row>
    <row r="242" ht="15.75" customHeight="1">
      <c r="B242" s="2"/>
      <c r="C242" s="2"/>
      <c r="D242" s="2"/>
      <c r="E242" s="2"/>
      <c r="L242" s="2"/>
      <c r="M242" s="2"/>
    </row>
    <row r="243" ht="15.75" customHeight="1">
      <c r="B243" s="2"/>
      <c r="C243" s="2"/>
      <c r="D243" s="2"/>
      <c r="E243" s="2"/>
      <c r="L243" s="2"/>
      <c r="M243" s="2"/>
    </row>
    <row r="244" ht="15.75" customHeight="1">
      <c r="B244" s="2"/>
      <c r="C244" s="2"/>
      <c r="D244" s="2"/>
      <c r="E244" s="2"/>
      <c r="L244" s="2"/>
      <c r="M244" s="2"/>
    </row>
    <row r="245" ht="15.75" customHeight="1">
      <c r="B245" s="2"/>
      <c r="C245" s="2"/>
      <c r="D245" s="2"/>
      <c r="E245" s="2"/>
      <c r="L245" s="2"/>
      <c r="M245" s="2"/>
    </row>
    <row r="246" ht="15.75" customHeight="1">
      <c r="B246" s="2"/>
      <c r="C246" s="2"/>
      <c r="D246" s="2"/>
      <c r="E246" s="2"/>
      <c r="L246" s="2"/>
      <c r="M246" s="2"/>
    </row>
    <row r="247" ht="15.75" customHeight="1">
      <c r="B247" s="2"/>
      <c r="C247" s="2"/>
      <c r="D247" s="2"/>
      <c r="E247" s="2"/>
      <c r="L247" s="2"/>
      <c r="M247" s="2"/>
    </row>
    <row r="248" ht="15.75" customHeight="1">
      <c r="B248" s="2"/>
      <c r="C248" s="2"/>
      <c r="D248" s="2"/>
      <c r="E248" s="2"/>
      <c r="L248" s="2"/>
      <c r="M248" s="2"/>
    </row>
    <row r="249" ht="15.75" customHeight="1">
      <c r="B249" s="2"/>
      <c r="C249" s="2"/>
      <c r="D249" s="2"/>
      <c r="E249" s="2"/>
      <c r="L249" s="2"/>
      <c r="M249" s="2"/>
    </row>
    <row r="250" ht="15.75" customHeight="1">
      <c r="B250" s="2"/>
      <c r="C250" s="2"/>
      <c r="D250" s="2"/>
      <c r="E250" s="2"/>
      <c r="L250" s="2"/>
      <c r="M250" s="2"/>
    </row>
    <row r="251" ht="15.75" customHeight="1">
      <c r="B251" s="2"/>
      <c r="C251" s="2"/>
      <c r="D251" s="2"/>
      <c r="E251" s="2"/>
      <c r="L251" s="2"/>
      <c r="M251" s="2"/>
    </row>
    <row r="252" ht="15.75" customHeight="1">
      <c r="B252" s="2"/>
      <c r="C252" s="2"/>
      <c r="D252" s="2"/>
      <c r="E252" s="2"/>
      <c r="L252" s="2"/>
      <c r="M252" s="2"/>
    </row>
    <row r="253" ht="15.75" customHeight="1">
      <c r="B253" s="2"/>
      <c r="C253" s="2"/>
      <c r="D253" s="2"/>
      <c r="E253" s="2"/>
      <c r="L253" s="2"/>
      <c r="M253" s="2"/>
    </row>
    <row r="254" ht="15.75" customHeight="1">
      <c r="B254" s="2"/>
      <c r="C254" s="2"/>
      <c r="D254" s="2"/>
      <c r="E254" s="2"/>
      <c r="L254" s="2"/>
      <c r="M254" s="2"/>
    </row>
    <row r="255" ht="15.75" customHeight="1">
      <c r="B255" s="2"/>
      <c r="C255" s="2"/>
      <c r="D255" s="2"/>
      <c r="E255" s="2"/>
      <c r="L255" s="2"/>
      <c r="M255" s="2"/>
    </row>
    <row r="256" ht="15.75" customHeight="1">
      <c r="B256" s="2"/>
      <c r="C256" s="2"/>
      <c r="D256" s="2"/>
      <c r="E256" s="2"/>
      <c r="L256" s="2"/>
      <c r="M256" s="2"/>
    </row>
    <row r="257" ht="15.75" customHeight="1">
      <c r="B257" s="2"/>
      <c r="C257" s="2"/>
      <c r="D257" s="2"/>
      <c r="E257" s="2"/>
      <c r="L257" s="2"/>
      <c r="M257" s="2"/>
    </row>
    <row r="258" ht="15.75" customHeight="1">
      <c r="B258" s="2"/>
      <c r="C258" s="2"/>
      <c r="D258" s="2"/>
      <c r="E258" s="2"/>
      <c r="L258" s="2"/>
      <c r="M258" s="2"/>
    </row>
    <row r="259" ht="15.75" customHeight="1">
      <c r="B259" s="2"/>
      <c r="C259" s="2"/>
      <c r="D259" s="2"/>
      <c r="E259" s="2"/>
      <c r="L259" s="2"/>
      <c r="M259" s="2"/>
    </row>
    <row r="260" ht="15.75" customHeight="1">
      <c r="B260" s="2"/>
      <c r="C260" s="2"/>
      <c r="D260" s="2"/>
      <c r="E260" s="2"/>
      <c r="L260" s="2"/>
      <c r="M260" s="2"/>
    </row>
    <row r="261" ht="15.75" customHeight="1">
      <c r="B261" s="2"/>
      <c r="C261" s="2"/>
      <c r="D261" s="2"/>
      <c r="E261" s="2"/>
      <c r="L261" s="2"/>
      <c r="M261" s="2"/>
    </row>
    <row r="262" ht="15.75" customHeight="1">
      <c r="B262" s="2"/>
      <c r="C262" s="2"/>
      <c r="D262" s="2"/>
      <c r="E262" s="2"/>
      <c r="L262" s="2"/>
      <c r="M262" s="2"/>
    </row>
    <row r="263" ht="15.75" customHeight="1">
      <c r="B263" s="2"/>
      <c r="C263" s="2"/>
      <c r="D263" s="2"/>
      <c r="E263" s="2"/>
      <c r="L263" s="2"/>
      <c r="M263" s="2"/>
    </row>
    <row r="264" ht="15.75" customHeight="1">
      <c r="B264" s="2"/>
      <c r="C264" s="2"/>
      <c r="D264" s="2"/>
      <c r="E264" s="2"/>
      <c r="L264" s="2"/>
      <c r="M264" s="2"/>
    </row>
    <row r="265" ht="15.75" customHeight="1">
      <c r="B265" s="2"/>
      <c r="C265" s="2"/>
      <c r="D265" s="2"/>
      <c r="E265" s="2"/>
      <c r="L265" s="2"/>
      <c r="M265" s="2"/>
    </row>
    <row r="266" ht="15.75" customHeight="1">
      <c r="B266" s="2"/>
      <c r="C266" s="2"/>
      <c r="D266" s="2"/>
      <c r="E266" s="2"/>
      <c r="L266" s="2"/>
      <c r="M266" s="2"/>
    </row>
    <row r="267" ht="15.75" customHeight="1">
      <c r="B267" s="2"/>
      <c r="C267" s="2"/>
      <c r="D267" s="2"/>
      <c r="E267" s="2"/>
      <c r="L267" s="2"/>
      <c r="M267" s="2"/>
    </row>
    <row r="268" ht="15.75" customHeight="1">
      <c r="B268" s="2"/>
      <c r="C268" s="2"/>
      <c r="D268" s="2"/>
      <c r="E268" s="2"/>
      <c r="L268" s="2"/>
      <c r="M268" s="2"/>
    </row>
    <row r="269" ht="15.75" customHeight="1">
      <c r="B269" s="2"/>
      <c r="C269" s="2"/>
      <c r="D269" s="2"/>
      <c r="E269" s="2"/>
      <c r="L269" s="2"/>
      <c r="M269" s="2"/>
    </row>
    <row r="270" ht="15.75" customHeight="1">
      <c r="B270" s="2"/>
      <c r="C270" s="2"/>
      <c r="D270" s="2"/>
      <c r="E270" s="2"/>
      <c r="L270" s="2"/>
      <c r="M270" s="2"/>
    </row>
    <row r="271" ht="15.75" customHeight="1">
      <c r="B271" s="2"/>
      <c r="C271" s="2"/>
      <c r="D271" s="2"/>
      <c r="E271" s="2"/>
      <c r="L271" s="2"/>
      <c r="M271" s="2"/>
    </row>
    <row r="272" ht="15.75" customHeight="1">
      <c r="B272" s="2"/>
      <c r="C272" s="2"/>
      <c r="D272" s="2"/>
      <c r="E272" s="2"/>
      <c r="L272" s="2"/>
      <c r="M272" s="2"/>
    </row>
    <row r="273" ht="15.75" customHeight="1">
      <c r="B273" s="2"/>
      <c r="C273" s="2"/>
      <c r="D273" s="2"/>
      <c r="E273" s="2"/>
      <c r="L273" s="2"/>
      <c r="M273" s="2"/>
    </row>
    <row r="274" ht="15.75" customHeight="1">
      <c r="B274" s="2"/>
      <c r="C274" s="2"/>
      <c r="D274" s="2"/>
      <c r="E274" s="2"/>
      <c r="L274" s="2"/>
      <c r="M274" s="2"/>
    </row>
    <row r="275" ht="15.75" customHeight="1">
      <c r="B275" s="2"/>
      <c r="C275" s="2"/>
      <c r="D275" s="2"/>
      <c r="E275" s="2"/>
      <c r="L275" s="2"/>
      <c r="M275" s="2"/>
    </row>
    <row r="276" ht="15.75" customHeight="1">
      <c r="B276" s="2"/>
      <c r="C276" s="2"/>
      <c r="D276" s="2"/>
      <c r="E276" s="2"/>
      <c r="L276" s="2"/>
      <c r="M276" s="2"/>
    </row>
    <row r="277" ht="15.75" customHeight="1">
      <c r="B277" s="2"/>
      <c r="C277" s="2"/>
      <c r="D277" s="2"/>
      <c r="E277" s="2"/>
      <c r="L277" s="2"/>
      <c r="M277" s="2"/>
    </row>
    <row r="278" ht="15.75" customHeight="1">
      <c r="B278" s="2"/>
      <c r="C278" s="2"/>
      <c r="D278" s="2"/>
      <c r="E278" s="2"/>
      <c r="L278" s="2"/>
      <c r="M278" s="2"/>
    </row>
    <row r="279" ht="15.75" customHeight="1">
      <c r="B279" s="2"/>
      <c r="C279" s="2"/>
      <c r="D279" s="2"/>
      <c r="E279" s="2"/>
      <c r="L279" s="2"/>
      <c r="M279" s="2"/>
    </row>
    <row r="280" ht="15.75" customHeight="1">
      <c r="B280" s="2"/>
      <c r="C280" s="2"/>
      <c r="D280" s="2"/>
      <c r="E280" s="2"/>
      <c r="L280" s="2"/>
      <c r="M280" s="2"/>
    </row>
    <row r="281" ht="15.75" customHeight="1">
      <c r="B281" s="2"/>
      <c r="C281" s="2"/>
      <c r="D281" s="2"/>
      <c r="E281" s="2"/>
      <c r="L281" s="2"/>
      <c r="M281" s="2"/>
    </row>
    <row r="282" ht="15.75" customHeight="1">
      <c r="B282" s="2"/>
      <c r="C282" s="2"/>
      <c r="D282" s="2"/>
      <c r="E282" s="2"/>
      <c r="L282" s="2"/>
      <c r="M282" s="2"/>
    </row>
    <row r="283" ht="15.75" customHeight="1">
      <c r="B283" s="2"/>
      <c r="C283" s="2"/>
      <c r="D283" s="2"/>
      <c r="E283" s="2"/>
      <c r="L283" s="2"/>
      <c r="M283" s="2"/>
    </row>
    <row r="284" ht="15.75" customHeight="1">
      <c r="B284" s="2"/>
      <c r="C284" s="2"/>
      <c r="D284" s="2"/>
      <c r="E284" s="2"/>
      <c r="L284" s="2"/>
      <c r="M284" s="2"/>
    </row>
    <row r="285" ht="15.75" customHeight="1">
      <c r="B285" s="2"/>
      <c r="C285" s="2"/>
      <c r="D285" s="2"/>
      <c r="E285" s="2"/>
      <c r="L285" s="2"/>
      <c r="M285" s="2"/>
    </row>
    <row r="286" ht="15.75" customHeight="1">
      <c r="B286" s="2"/>
      <c r="C286" s="2"/>
      <c r="D286" s="2"/>
      <c r="E286" s="2"/>
      <c r="L286" s="2"/>
      <c r="M286" s="2"/>
    </row>
    <row r="287" ht="15.75" customHeight="1">
      <c r="B287" s="2"/>
      <c r="C287" s="2"/>
      <c r="D287" s="2"/>
      <c r="E287" s="2"/>
      <c r="L287" s="2"/>
      <c r="M287" s="2"/>
    </row>
    <row r="288" ht="15.75" customHeight="1">
      <c r="B288" s="2"/>
      <c r="C288" s="2"/>
      <c r="D288" s="2"/>
      <c r="E288" s="2"/>
      <c r="L288" s="2"/>
      <c r="M288" s="2"/>
    </row>
    <row r="289" ht="15.75" customHeight="1">
      <c r="B289" s="2"/>
      <c r="C289" s="2"/>
      <c r="D289" s="2"/>
      <c r="E289" s="2"/>
      <c r="L289" s="2"/>
      <c r="M289" s="2"/>
    </row>
    <row r="290" ht="15.75" customHeight="1">
      <c r="B290" s="2"/>
      <c r="C290" s="2"/>
      <c r="D290" s="2"/>
      <c r="E290" s="2"/>
      <c r="L290" s="2"/>
      <c r="M290" s="2"/>
    </row>
    <row r="291" ht="15.75" customHeight="1">
      <c r="B291" s="2"/>
      <c r="C291" s="2"/>
      <c r="D291" s="2"/>
      <c r="E291" s="2"/>
      <c r="L291" s="2"/>
      <c r="M291" s="2"/>
    </row>
    <row r="292" ht="15.75" customHeight="1">
      <c r="B292" s="2"/>
      <c r="C292" s="2"/>
      <c r="D292" s="2"/>
      <c r="E292" s="2"/>
      <c r="L292" s="2"/>
      <c r="M292" s="2"/>
    </row>
    <row r="293" ht="15.75" customHeight="1">
      <c r="B293" s="2"/>
      <c r="C293" s="2"/>
      <c r="D293" s="2"/>
      <c r="E293" s="2"/>
      <c r="L293" s="2"/>
      <c r="M293" s="2"/>
    </row>
    <row r="294" ht="15.75" customHeight="1">
      <c r="B294" s="2"/>
      <c r="C294" s="2"/>
      <c r="D294" s="2"/>
      <c r="E294" s="2"/>
      <c r="L294" s="2"/>
      <c r="M294" s="2"/>
    </row>
    <row r="295" ht="15.75" customHeight="1">
      <c r="B295" s="2"/>
      <c r="C295" s="2"/>
      <c r="D295" s="2"/>
      <c r="E295" s="2"/>
      <c r="L295" s="2"/>
      <c r="M295" s="2"/>
    </row>
    <row r="296" ht="15.75" customHeight="1">
      <c r="B296" s="2"/>
      <c r="C296" s="2"/>
      <c r="D296" s="2"/>
      <c r="E296" s="2"/>
      <c r="L296" s="2"/>
      <c r="M296" s="2"/>
    </row>
    <row r="297" ht="15.75" customHeight="1">
      <c r="B297" s="2"/>
      <c r="C297" s="2"/>
      <c r="D297" s="2"/>
      <c r="E297" s="2"/>
      <c r="L297" s="2"/>
      <c r="M297" s="2"/>
    </row>
    <row r="298" ht="15.75" customHeight="1">
      <c r="B298" s="2"/>
      <c r="C298" s="2"/>
      <c r="D298" s="2"/>
      <c r="E298" s="2"/>
      <c r="L298" s="2"/>
      <c r="M298" s="2"/>
    </row>
    <row r="299" ht="15.75" customHeight="1">
      <c r="B299" s="2"/>
      <c r="C299" s="2"/>
      <c r="D299" s="2"/>
      <c r="E299" s="2"/>
      <c r="L299" s="2"/>
      <c r="M299" s="2"/>
    </row>
    <row r="300" ht="15.75" customHeight="1">
      <c r="B300" s="2"/>
      <c r="C300" s="2"/>
      <c r="D300" s="2"/>
      <c r="E300" s="2"/>
      <c r="L300" s="2"/>
      <c r="M300" s="2"/>
    </row>
    <row r="301" ht="15.75" customHeight="1">
      <c r="B301" s="2"/>
      <c r="C301" s="2"/>
      <c r="D301" s="2"/>
      <c r="E301" s="2"/>
      <c r="L301" s="2"/>
      <c r="M301" s="2"/>
    </row>
    <row r="302" ht="15.75" customHeight="1">
      <c r="B302" s="2"/>
      <c r="C302" s="2"/>
      <c r="D302" s="2"/>
      <c r="E302" s="2"/>
      <c r="L302" s="2"/>
      <c r="M302" s="2"/>
    </row>
    <row r="303" ht="15.75" customHeight="1">
      <c r="B303" s="2"/>
      <c r="C303" s="2"/>
      <c r="D303" s="2"/>
      <c r="E303" s="2"/>
      <c r="L303" s="2"/>
      <c r="M303" s="2"/>
    </row>
    <row r="304" ht="15.75" customHeight="1">
      <c r="B304" s="2"/>
      <c r="C304" s="2"/>
      <c r="D304" s="2"/>
      <c r="E304" s="2"/>
      <c r="L304" s="2"/>
      <c r="M304" s="2"/>
    </row>
    <row r="305" ht="15.75" customHeight="1">
      <c r="B305" s="2"/>
      <c r="C305" s="2"/>
      <c r="D305" s="2"/>
      <c r="E305" s="2"/>
      <c r="L305" s="2"/>
      <c r="M305" s="2"/>
    </row>
    <row r="306" ht="15.75" customHeight="1">
      <c r="B306" s="2"/>
      <c r="C306" s="2"/>
      <c r="D306" s="2"/>
      <c r="E306" s="2"/>
      <c r="L306" s="2"/>
      <c r="M306" s="2"/>
    </row>
    <row r="307" ht="15.75" customHeight="1">
      <c r="B307" s="2"/>
      <c r="C307" s="2"/>
      <c r="D307" s="2"/>
      <c r="E307" s="2"/>
      <c r="L307" s="2"/>
      <c r="M307" s="2"/>
    </row>
    <row r="308" ht="15.75" customHeight="1">
      <c r="B308" s="2"/>
      <c r="C308" s="2"/>
      <c r="D308" s="2"/>
      <c r="E308" s="2"/>
      <c r="L308" s="2"/>
      <c r="M308" s="2"/>
    </row>
    <row r="309" ht="15.75" customHeight="1">
      <c r="B309" s="2"/>
      <c r="C309" s="2"/>
      <c r="D309" s="2"/>
      <c r="E309" s="2"/>
      <c r="L309" s="2"/>
      <c r="M309" s="2"/>
    </row>
    <row r="310" ht="15.75" customHeight="1">
      <c r="B310" s="2"/>
      <c r="C310" s="2"/>
      <c r="D310" s="2"/>
      <c r="E310" s="2"/>
      <c r="L310" s="2"/>
      <c r="M310" s="2"/>
    </row>
    <row r="311" ht="15.75" customHeight="1">
      <c r="B311" s="2"/>
      <c r="C311" s="2"/>
      <c r="D311" s="2"/>
      <c r="E311" s="2"/>
      <c r="L311" s="2"/>
      <c r="M311" s="2"/>
    </row>
    <row r="312" ht="15.75" customHeight="1">
      <c r="B312" s="2"/>
      <c r="C312" s="2"/>
      <c r="D312" s="2"/>
      <c r="E312" s="2"/>
      <c r="L312" s="2"/>
      <c r="M312" s="2"/>
    </row>
    <row r="313" ht="15.75" customHeight="1">
      <c r="B313" s="2"/>
      <c r="C313" s="2"/>
      <c r="D313" s="2"/>
      <c r="E313" s="2"/>
      <c r="L313" s="2"/>
      <c r="M313" s="2"/>
    </row>
    <row r="314" ht="15.75" customHeight="1">
      <c r="B314" s="2"/>
      <c r="C314" s="2"/>
      <c r="D314" s="2"/>
      <c r="E314" s="2"/>
      <c r="L314" s="2"/>
      <c r="M314" s="2"/>
    </row>
    <row r="315" ht="15.75" customHeight="1">
      <c r="B315" s="2"/>
      <c r="C315" s="2"/>
      <c r="D315" s="2"/>
      <c r="E315" s="2"/>
      <c r="L315" s="2"/>
      <c r="M315" s="2"/>
    </row>
    <row r="316" ht="15.75" customHeight="1">
      <c r="B316" s="2"/>
      <c r="C316" s="2"/>
      <c r="D316" s="2"/>
      <c r="E316" s="2"/>
      <c r="L316" s="2"/>
      <c r="M316" s="2"/>
    </row>
    <row r="317" ht="15.75" customHeight="1">
      <c r="B317" s="2"/>
      <c r="C317" s="2"/>
      <c r="D317" s="2"/>
      <c r="E317" s="2"/>
      <c r="L317" s="2"/>
      <c r="M317" s="2"/>
    </row>
    <row r="318" ht="15.75" customHeight="1">
      <c r="B318" s="2"/>
      <c r="C318" s="2"/>
      <c r="D318" s="2"/>
      <c r="E318" s="2"/>
      <c r="L318" s="2"/>
      <c r="M318" s="2"/>
    </row>
    <row r="319" ht="15.75" customHeight="1">
      <c r="B319" s="2"/>
      <c r="C319" s="2"/>
      <c r="D319" s="2"/>
      <c r="E319" s="2"/>
      <c r="L319" s="2"/>
      <c r="M319" s="2"/>
    </row>
    <row r="320" ht="15.75" customHeight="1">
      <c r="B320" s="2"/>
      <c r="C320" s="2"/>
      <c r="D320" s="2"/>
      <c r="E320" s="2"/>
      <c r="L320" s="2"/>
      <c r="M320" s="2"/>
    </row>
    <row r="321" ht="15.75" customHeight="1">
      <c r="B321" s="2"/>
      <c r="C321" s="2"/>
      <c r="D321" s="2"/>
      <c r="E321" s="2"/>
      <c r="L321" s="2"/>
      <c r="M321" s="2"/>
    </row>
    <row r="322" ht="15.75" customHeight="1">
      <c r="B322" s="2"/>
      <c r="C322" s="2"/>
      <c r="D322" s="2"/>
      <c r="E322" s="2"/>
      <c r="L322" s="2"/>
      <c r="M322" s="2"/>
    </row>
    <row r="323" ht="15.75" customHeight="1">
      <c r="B323" s="2"/>
      <c r="C323" s="2"/>
      <c r="D323" s="2"/>
      <c r="E323" s="2"/>
      <c r="L323" s="2"/>
      <c r="M323" s="2"/>
    </row>
    <row r="324" ht="15.75" customHeight="1">
      <c r="B324" s="2"/>
      <c r="C324" s="2"/>
      <c r="D324" s="2"/>
      <c r="E324" s="2"/>
      <c r="L324" s="2"/>
      <c r="M324" s="2"/>
    </row>
    <row r="325" ht="15.75" customHeight="1">
      <c r="B325" s="2"/>
      <c r="C325" s="2"/>
      <c r="D325" s="2"/>
      <c r="E325" s="2"/>
      <c r="L325" s="2"/>
      <c r="M325" s="2"/>
    </row>
    <row r="326" ht="15.75" customHeight="1">
      <c r="B326" s="2"/>
      <c r="C326" s="2"/>
      <c r="D326" s="2"/>
      <c r="E326" s="2"/>
      <c r="L326" s="2"/>
      <c r="M326" s="2"/>
    </row>
    <row r="327" ht="15.75" customHeight="1">
      <c r="B327" s="2"/>
      <c r="C327" s="2"/>
      <c r="D327" s="2"/>
      <c r="E327" s="2"/>
      <c r="L327" s="2"/>
      <c r="M327" s="2"/>
    </row>
    <row r="328" ht="15.75" customHeight="1">
      <c r="B328" s="2"/>
      <c r="C328" s="2"/>
      <c r="D328" s="2"/>
      <c r="E328" s="2"/>
      <c r="L328" s="2"/>
      <c r="M328" s="2"/>
    </row>
    <row r="329" ht="15.75" customHeight="1">
      <c r="B329" s="2"/>
      <c r="C329" s="2"/>
      <c r="D329" s="2"/>
      <c r="E329" s="2"/>
      <c r="L329" s="2"/>
      <c r="M329" s="2"/>
    </row>
    <row r="330" ht="15.75" customHeight="1">
      <c r="B330" s="2"/>
      <c r="C330" s="2"/>
      <c r="D330" s="2"/>
      <c r="E330" s="2"/>
      <c r="L330" s="2"/>
      <c r="M330" s="2"/>
    </row>
    <row r="331" ht="15.75" customHeight="1">
      <c r="B331" s="2"/>
      <c r="C331" s="2"/>
      <c r="D331" s="2"/>
      <c r="E331" s="2"/>
      <c r="L331" s="2"/>
      <c r="M331" s="2"/>
    </row>
    <row r="332" ht="15.75" customHeight="1">
      <c r="B332" s="2"/>
      <c r="C332" s="2"/>
      <c r="D332" s="2"/>
      <c r="E332" s="2"/>
      <c r="L332" s="2"/>
      <c r="M332" s="2"/>
    </row>
    <row r="333" ht="15.75" customHeight="1">
      <c r="B333" s="2"/>
      <c r="C333" s="2"/>
      <c r="D333" s="2"/>
      <c r="E333" s="2"/>
      <c r="L333" s="2"/>
      <c r="M333" s="2"/>
    </row>
    <row r="334" ht="15.75" customHeight="1">
      <c r="B334" s="2"/>
      <c r="C334" s="2"/>
      <c r="D334" s="2"/>
      <c r="E334" s="2"/>
      <c r="L334" s="2"/>
      <c r="M334" s="2"/>
    </row>
    <row r="335" ht="15.75" customHeight="1">
      <c r="B335" s="2"/>
      <c r="C335" s="2"/>
      <c r="D335" s="2"/>
      <c r="E335" s="2"/>
      <c r="L335" s="2"/>
      <c r="M335" s="2"/>
    </row>
    <row r="336" ht="15.75" customHeight="1">
      <c r="B336" s="2"/>
      <c r="C336" s="2"/>
      <c r="D336" s="2"/>
      <c r="E336" s="2"/>
      <c r="L336" s="2"/>
      <c r="M336" s="2"/>
    </row>
    <row r="337" ht="15.75" customHeight="1">
      <c r="B337" s="2"/>
      <c r="C337" s="2"/>
      <c r="D337" s="2"/>
      <c r="E337" s="2"/>
      <c r="L337" s="2"/>
      <c r="M337" s="2"/>
    </row>
    <row r="338" ht="15.75" customHeight="1">
      <c r="B338" s="2"/>
      <c r="C338" s="2"/>
      <c r="D338" s="2"/>
      <c r="E338" s="2"/>
      <c r="L338" s="2"/>
      <c r="M338" s="2"/>
    </row>
    <row r="339" ht="15.75" customHeight="1">
      <c r="B339" s="2"/>
      <c r="C339" s="2"/>
      <c r="D339" s="2"/>
      <c r="E339" s="2"/>
      <c r="L339" s="2"/>
      <c r="M339" s="2"/>
    </row>
    <row r="340" ht="15.75" customHeight="1">
      <c r="B340" s="2"/>
      <c r="C340" s="2"/>
      <c r="D340" s="2"/>
      <c r="E340" s="2"/>
      <c r="L340" s="2"/>
      <c r="M340" s="2"/>
    </row>
    <row r="341" ht="15.75" customHeight="1">
      <c r="B341" s="2"/>
      <c r="C341" s="2"/>
      <c r="D341" s="2"/>
      <c r="E341" s="2"/>
      <c r="L341" s="2"/>
      <c r="M341" s="2"/>
    </row>
    <row r="342" ht="15.75" customHeight="1">
      <c r="B342" s="2"/>
      <c r="C342" s="2"/>
      <c r="D342" s="2"/>
      <c r="E342" s="2"/>
      <c r="L342" s="2"/>
      <c r="M342" s="2"/>
    </row>
    <row r="343" ht="15.75" customHeight="1">
      <c r="B343" s="2"/>
      <c r="C343" s="2"/>
      <c r="D343" s="2"/>
      <c r="E343" s="2"/>
      <c r="L343" s="2"/>
      <c r="M343" s="2"/>
    </row>
    <row r="344" ht="15.75" customHeight="1">
      <c r="B344" s="2"/>
      <c r="C344" s="2"/>
      <c r="D344" s="2"/>
      <c r="E344" s="2"/>
      <c r="L344" s="2"/>
      <c r="M344" s="2"/>
    </row>
    <row r="345" ht="15.75" customHeight="1">
      <c r="B345" s="2"/>
      <c r="C345" s="2"/>
      <c r="D345" s="2"/>
      <c r="E345" s="2"/>
      <c r="L345" s="2"/>
      <c r="M345" s="2"/>
    </row>
    <row r="346" ht="15.75" customHeight="1">
      <c r="B346" s="2"/>
      <c r="C346" s="2"/>
      <c r="D346" s="2"/>
      <c r="E346" s="2"/>
      <c r="L346" s="2"/>
      <c r="M346" s="2"/>
    </row>
    <row r="347" ht="15.75" customHeight="1">
      <c r="B347" s="2"/>
      <c r="C347" s="2"/>
      <c r="D347" s="2"/>
      <c r="E347" s="2"/>
      <c r="L347" s="2"/>
      <c r="M347" s="2"/>
    </row>
    <row r="348" ht="15.75" customHeight="1">
      <c r="B348" s="2"/>
      <c r="C348" s="2"/>
      <c r="D348" s="2"/>
      <c r="E348" s="2"/>
      <c r="L348" s="2"/>
      <c r="M348" s="2"/>
    </row>
    <row r="349" ht="15.75" customHeight="1">
      <c r="B349" s="2"/>
      <c r="C349" s="2"/>
      <c r="D349" s="2"/>
      <c r="E349" s="2"/>
      <c r="L349" s="2"/>
      <c r="M349" s="2"/>
    </row>
    <row r="350" ht="15.75" customHeight="1">
      <c r="B350" s="2"/>
      <c r="C350" s="2"/>
      <c r="D350" s="2"/>
      <c r="E350" s="2"/>
      <c r="L350" s="2"/>
      <c r="M350" s="2"/>
    </row>
    <row r="351" ht="15.75" customHeight="1">
      <c r="B351" s="2"/>
      <c r="C351" s="2"/>
      <c r="D351" s="2"/>
      <c r="E351" s="2"/>
      <c r="L351" s="2"/>
      <c r="M351" s="2"/>
    </row>
    <row r="352" ht="15.75" customHeight="1">
      <c r="B352" s="2"/>
      <c r="C352" s="2"/>
      <c r="D352" s="2"/>
      <c r="E352" s="2"/>
      <c r="L352" s="2"/>
      <c r="M352" s="2"/>
    </row>
    <row r="353" ht="15.75" customHeight="1">
      <c r="B353" s="2"/>
      <c r="C353" s="2"/>
      <c r="D353" s="2"/>
      <c r="E353" s="2"/>
      <c r="L353" s="2"/>
      <c r="M353" s="2"/>
    </row>
    <row r="354" ht="15.75" customHeight="1">
      <c r="B354" s="2"/>
      <c r="C354" s="2"/>
      <c r="D354" s="2"/>
      <c r="E354" s="2"/>
      <c r="L354" s="2"/>
      <c r="M354" s="2"/>
    </row>
    <row r="355" ht="15.75" customHeight="1">
      <c r="B355" s="2"/>
      <c r="C355" s="2"/>
      <c r="D355" s="2"/>
      <c r="E355" s="2"/>
      <c r="L355" s="2"/>
      <c r="M355" s="2"/>
    </row>
    <row r="356" ht="15.75" customHeight="1">
      <c r="B356" s="2"/>
      <c r="C356" s="2"/>
      <c r="D356" s="2"/>
      <c r="E356" s="2"/>
      <c r="L356" s="2"/>
      <c r="M356" s="2"/>
    </row>
    <row r="357" ht="15.75" customHeight="1">
      <c r="B357" s="2"/>
      <c r="C357" s="2"/>
      <c r="D357" s="2"/>
      <c r="E357" s="2"/>
      <c r="L357" s="2"/>
      <c r="M357" s="2"/>
    </row>
    <row r="358" ht="15.75" customHeight="1">
      <c r="B358" s="2"/>
      <c r="C358" s="2"/>
      <c r="D358" s="2"/>
      <c r="E358" s="2"/>
      <c r="L358" s="2"/>
      <c r="M358" s="2"/>
    </row>
    <row r="359" ht="15.75" customHeight="1">
      <c r="B359" s="2"/>
      <c r="C359" s="2"/>
      <c r="D359" s="2"/>
      <c r="E359" s="2"/>
      <c r="L359" s="2"/>
      <c r="M359" s="2"/>
    </row>
    <row r="360" ht="15.75" customHeight="1">
      <c r="B360" s="2"/>
      <c r="C360" s="2"/>
      <c r="D360" s="2"/>
      <c r="E360" s="2"/>
      <c r="L360" s="2"/>
      <c r="M360" s="2"/>
    </row>
    <row r="361" ht="15.75" customHeight="1">
      <c r="B361" s="2"/>
      <c r="C361" s="2"/>
      <c r="D361" s="2"/>
      <c r="E361" s="2"/>
      <c r="L361" s="2"/>
      <c r="M361" s="2"/>
    </row>
    <row r="362" ht="15.75" customHeight="1">
      <c r="B362" s="2"/>
      <c r="C362" s="2"/>
      <c r="D362" s="2"/>
      <c r="E362" s="2"/>
      <c r="L362" s="2"/>
      <c r="M362" s="2"/>
    </row>
    <row r="363" ht="15.75" customHeight="1">
      <c r="B363" s="2"/>
      <c r="C363" s="2"/>
      <c r="D363" s="2"/>
      <c r="E363" s="2"/>
      <c r="L363" s="2"/>
      <c r="M363" s="2"/>
    </row>
    <row r="364" ht="15.75" customHeight="1">
      <c r="B364" s="2"/>
      <c r="C364" s="2"/>
      <c r="D364" s="2"/>
      <c r="E364" s="2"/>
      <c r="L364" s="2"/>
      <c r="M364" s="2"/>
    </row>
    <row r="365" ht="15.75" customHeight="1">
      <c r="B365" s="2"/>
      <c r="C365" s="2"/>
      <c r="D365" s="2"/>
      <c r="E365" s="2"/>
      <c r="L365" s="2"/>
      <c r="M365" s="2"/>
    </row>
    <row r="366" ht="15.75" customHeight="1">
      <c r="B366" s="2"/>
      <c r="C366" s="2"/>
      <c r="D366" s="2"/>
      <c r="E366" s="2"/>
      <c r="L366" s="2"/>
      <c r="M366" s="2"/>
    </row>
    <row r="367" ht="15.75" customHeight="1">
      <c r="B367" s="2"/>
      <c r="C367" s="2"/>
      <c r="D367" s="2"/>
      <c r="E367" s="2"/>
      <c r="L367" s="2"/>
      <c r="M367" s="2"/>
    </row>
    <row r="368" ht="15.75" customHeight="1">
      <c r="B368" s="2"/>
      <c r="C368" s="2"/>
      <c r="D368" s="2"/>
      <c r="E368" s="2"/>
      <c r="L368" s="2"/>
      <c r="M368" s="2"/>
    </row>
    <row r="369" ht="15.75" customHeight="1">
      <c r="B369" s="2"/>
      <c r="C369" s="2"/>
      <c r="D369" s="2"/>
      <c r="E369" s="2"/>
      <c r="L369" s="2"/>
      <c r="M369" s="2"/>
    </row>
    <row r="370" ht="15.75" customHeight="1">
      <c r="B370" s="2"/>
      <c r="C370" s="2"/>
      <c r="D370" s="2"/>
      <c r="E370" s="2"/>
      <c r="L370" s="2"/>
      <c r="M370" s="2"/>
    </row>
    <row r="371" ht="15.75" customHeight="1">
      <c r="B371" s="2"/>
      <c r="C371" s="2"/>
      <c r="D371" s="2"/>
      <c r="E371" s="2"/>
      <c r="L371" s="2"/>
      <c r="M371" s="2"/>
    </row>
    <row r="372" ht="15.75" customHeight="1">
      <c r="B372" s="2"/>
      <c r="C372" s="2"/>
      <c r="D372" s="2"/>
      <c r="E372" s="2"/>
      <c r="L372" s="2"/>
      <c r="M372" s="2"/>
    </row>
    <row r="373" ht="15.75" customHeight="1">
      <c r="B373" s="2"/>
      <c r="C373" s="2"/>
      <c r="D373" s="2"/>
      <c r="E373" s="2"/>
      <c r="L373" s="2"/>
      <c r="M373" s="2"/>
    </row>
    <row r="374" ht="15.75" customHeight="1">
      <c r="B374" s="2"/>
      <c r="C374" s="2"/>
      <c r="D374" s="2"/>
      <c r="E374" s="2"/>
      <c r="L374" s="2"/>
      <c r="M374" s="2"/>
    </row>
    <row r="375" ht="15.75" customHeight="1">
      <c r="B375" s="2"/>
      <c r="C375" s="2"/>
      <c r="D375" s="2"/>
      <c r="E375" s="2"/>
      <c r="L375" s="2"/>
      <c r="M375" s="2"/>
    </row>
    <row r="376" ht="15.75" customHeight="1">
      <c r="B376" s="2"/>
      <c r="C376" s="2"/>
      <c r="D376" s="2"/>
      <c r="E376" s="2"/>
      <c r="L376" s="2"/>
      <c r="M376" s="2"/>
    </row>
    <row r="377" ht="15.75" customHeight="1">
      <c r="B377" s="2"/>
      <c r="C377" s="2"/>
      <c r="D377" s="2"/>
      <c r="E377" s="2"/>
      <c r="L377" s="2"/>
      <c r="M377" s="2"/>
    </row>
    <row r="378" ht="15.75" customHeight="1">
      <c r="B378" s="2"/>
      <c r="C378" s="2"/>
      <c r="D378" s="2"/>
      <c r="E378" s="2"/>
      <c r="L378" s="2"/>
      <c r="M378" s="2"/>
    </row>
    <row r="379" ht="15.75" customHeight="1">
      <c r="B379" s="2"/>
      <c r="C379" s="2"/>
      <c r="D379" s="2"/>
      <c r="E379" s="2"/>
      <c r="L379" s="2"/>
      <c r="M379" s="2"/>
    </row>
    <row r="380" ht="15.75" customHeight="1">
      <c r="B380" s="2"/>
      <c r="C380" s="2"/>
      <c r="D380" s="2"/>
      <c r="E380" s="2"/>
      <c r="L380" s="2"/>
      <c r="M380" s="2"/>
    </row>
    <row r="381" ht="15.75" customHeight="1">
      <c r="B381" s="2"/>
      <c r="C381" s="2"/>
      <c r="D381" s="2"/>
      <c r="E381" s="2"/>
      <c r="L381" s="2"/>
      <c r="M381" s="2"/>
    </row>
    <row r="382" ht="15.75" customHeight="1">
      <c r="B382" s="2"/>
      <c r="C382" s="2"/>
      <c r="D382" s="2"/>
      <c r="E382" s="2"/>
      <c r="L382" s="2"/>
      <c r="M382" s="2"/>
    </row>
    <row r="383" ht="15.75" customHeight="1">
      <c r="B383" s="2"/>
      <c r="C383" s="2"/>
      <c r="D383" s="2"/>
      <c r="E383" s="2"/>
      <c r="L383" s="2"/>
      <c r="M383" s="2"/>
    </row>
    <row r="384" ht="15.75" customHeight="1">
      <c r="B384" s="2"/>
      <c r="C384" s="2"/>
      <c r="D384" s="2"/>
      <c r="E384" s="2"/>
      <c r="L384" s="2"/>
      <c r="M384" s="2"/>
    </row>
    <row r="385" ht="15.75" customHeight="1">
      <c r="B385" s="2"/>
      <c r="C385" s="2"/>
      <c r="D385" s="2"/>
      <c r="E385" s="2"/>
      <c r="L385" s="2"/>
      <c r="M385" s="2"/>
    </row>
    <row r="386" ht="15.75" customHeight="1">
      <c r="B386" s="2"/>
      <c r="C386" s="2"/>
      <c r="D386" s="2"/>
      <c r="E386" s="2"/>
      <c r="L386" s="2"/>
      <c r="M386" s="2"/>
    </row>
    <row r="387" ht="15.75" customHeight="1">
      <c r="B387" s="2"/>
      <c r="C387" s="2"/>
      <c r="D387" s="2"/>
      <c r="E387" s="2"/>
      <c r="L387" s="2"/>
      <c r="M387" s="2"/>
    </row>
    <row r="388" ht="15.75" customHeight="1">
      <c r="B388" s="2"/>
      <c r="C388" s="2"/>
      <c r="D388" s="2"/>
      <c r="E388" s="2"/>
      <c r="L388" s="2"/>
      <c r="M388" s="2"/>
    </row>
    <row r="389" ht="15.75" customHeight="1">
      <c r="B389" s="2"/>
      <c r="C389" s="2"/>
      <c r="D389" s="2"/>
      <c r="E389" s="2"/>
      <c r="L389" s="2"/>
      <c r="M389" s="2"/>
    </row>
    <row r="390" ht="15.75" customHeight="1">
      <c r="B390" s="2"/>
      <c r="C390" s="2"/>
      <c r="D390" s="2"/>
      <c r="E390" s="2"/>
      <c r="L390" s="2"/>
      <c r="M390" s="2"/>
    </row>
    <row r="391" ht="15.75" customHeight="1">
      <c r="B391" s="2"/>
      <c r="C391" s="2"/>
      <c r="D391" s="2"/>
      <c r="E391" s="2"/>
      <c r="L391" s="2"/>
      <c r="M391" s="2"/>
    </row>
    <row r="392" ht="15.75" customHeight="1">
      <c r="B392" s="2"/>
      <c r="C392" s="2"/>
      <c r="D392" s="2"/>
      <c r="E392" s="2"/>
      <c r="L392" s="2"/>
      <c r="M392" s="2"/>
    </row>
    <row r="393" ht="15.75" customHeight="1">
      <c r="B393" s="2"/>
      <c r="C393" s="2"/>
      <c r="D393" s="2"/>
      <c r="E393" s="2"/>
      <c r="L393" s="2"/>
      <c r="M393" s="2"/>
    </row>
    <row r="394" ht="15.75" customHeight="1">
      <c r="B394" s="2"/>
      <c r="C394" s="2"/>
      <c r="D394" s="2"/>
      <c r="E394" s="2"/>
      <c r="L394" s="2"/>
      <c r="M394" s="2"/>
    </row>
    <row r="395" ht="15.75" customHeight="1">
      <c r="B395" s="2"/>
      <c r="C395" s="2"/>
      <c r="D395" s="2"/>
      <c r="E395" s="2"/>
      <c r="L395" s="2"/>
      <c r="M395" s="2"/>
    </row>
    <row r="396" ht="15.75" customHeight="1">
      <c r="B396" s="2"/>
      <c r="C396" s="2"/>
      <c r="D396" s="2"/>
      <c r="E396" s="2"/>
      <c r="L396" s="2"/>
      <c r="M396" s="2"/>
    </row>
    <row r="397" ht="15.75" customHeight="1">
      <c r="B397" s="2"/>
      <c r="C397" s="2"/>
      <c r="D397" s="2"/>
      <c r="E397" s="2"/>
      <c r="L397" s="2"/>
      <c r="M397" s="2"/>
    </row>
    <row r="398" ht="15.75" customHeight="1">
      <c r="B398" s="2"/>
      <c r="C398" s="2"/>
      <c r="D398" s="2"/>
      <c r="E398" s="2"/>
      <c r="L398" s="2"/>
      <c r="M398" s="2"/>
    </row>
    <row r="399" ht="15.75" customHeight="1">
      <c r="B399" s="2"/>
      <c r="C399" s="2"/>
      <c r="D399" s="2"/>
      <c r="E399" s="2"/>
      <c r="L399" s="2"/>
      <c r="M399" s="2"/>
    </row>
    <row r="400" ht="15.75" customHeight="1">
      <c r="B400" s="2"/>
      <c r="C400" s="2"/>
      <c r="D400" s="2"/>
      <c r="E400" s="2"/>
      <c r="L400" s="2"/>
      <c r="M400" s="2"/>
    </row>
    <row r="401" ht="15.75" customHeight="1">
      <c r="B401" s="2"/>
      <c r="C401" s="2"/>
      <c r="D401" s="2"/>
      <c r="E401" s="2"/>
      <c r="L401" s="2"/>
      <c r="M401" s="2"/>
    </row>
    <row r="402" ht="15.75" customHeight="1">
      <c r="B402" s="2"/>
      <c r="C402" s="2"/>
      <c r="D402" s="2"/>
      <c r="E402" s="2"/>
      <c r="L402" s="2"/>
      <c r="M402" s="2"/>
    </row>
    <row r="403" ht="15.75" customHeight="1">
      <c r="B403" s="2"/>
      <c r="C403" s="2"/>
      <c r="D403" s="2"/>
      <c r="E403" s="2"/>
      <c r="L403" s="2"/>
      <c r="M403" s="2"/>
    </row>
    <row r="404" ht="15.75" customHeight="1">
      <c r="B404" s="2"/>
      <c r="C404" s="2"/>
      <c r="D404" s="2"/>
      <c r="E404" s="2"/>
      <c r="L404" s="2"/>
      <c r="M404" s="2"/>
    </row>
    <row r="405" ht="15.75" customHeight="1">
      <c r="B405" s="2"/>
      <c r="C405" s="2"/>
      <c r="D405" s="2"/>
      <c r="E405" s="2"/>
      <c r="L405" s="2"/>
      <c r="M405" s="2"/>
    </row>
    <row r="406" ht="15.75" customHeight="1">
      <c r="B406" s="2"/>
      <c r="C406" s="2"/>
      <c r="D406" s="2"/>
      <c r="E406" s="2"/>
      <c r="L406" s="2"/>
      <c r="M406" s="2"/>
    </row>
    <row r="407" ht="15.75" customHeight="1">
      <c r="B407" s="2"/>
      <c r="C407" s="2"/>
      <c r="D407" s="2"/>
      <c r="E407" s="2"/>
      <c r="L407" s="2"/>
      <c r="M407" s="2"/>
    </row>
    <row r="408" ht="15.75" customHeight="1">
      <c r="B408" s="2"/>
      <c r="C408" s="2"/>
      <c r="D408" s="2"/>
      <c r="E408" s="2"/>
      <c r="L408" s="2"/>
      <c r="M408" s="2"/>
    </row>
    <row r="409" ht="15.75" customHeight="1">
      <c r="B409" s="2"/>
      <c r="C409" s="2"/>
      <c r="D409" s="2"/>
      <c r="E409" s="2"/>
      <c r="L409" s="2"/>
      <c r="M409" s="2"/>
    </row>
    <row r="410" ht="15.75" customHeight="1">
      <c r="B410" s="2"/>
      <c r="C410" s="2"/>
      <c r="D410" s="2"/>
      <c r="E410" s="2"/>
      <c r="L410" s="2"/>
      <c r="M410" s="2"/>
    </row>
    <row r="411" ht="15.75" customHeight="1">
      <c r="B411" s="2"/>
      <c r="C411" s="2"/>
      <c r="D411" s="2"/>
      <c r="E411" s="2"/>
      <c r="L411" s="2"/>
      <c r="M411" s="2"/>
    </row>
    <row r="412" ht="15.75" customHeight="1">
      <c r="B412" s="2"/>
      <c r="C412" s="2"/>
      <c r="D412" s="2"/>
      <c r="E412" s="2"/>
      <c r="L412" s="2"/>
      <c r="M412" s="2"/>
    </row>
    <row r="413" ht="15.75" customHeight="1">
      <c r="B413" s="2"/>
      <c r="C413" s="2"/>
      <c r="D413" s="2"/>
      <c r="E413" s="2"/>
      <c r="L413" s="2"/>
      <c r="M413" s="2"/>
    </row>
    <row r="414" ht="15.75" customHeight="1">
      <c r="B414" s="2"/>
      <c r="C414" s="2"/>
      <c r="D414" s="2"/>
      <c r="E414" s="2"/>
      <c r="L414" s="2"/>
      <c r="M414" s="2"/>
    </row>
    <row r="415" ht="15.75" customHeight="1">
      <c r="B415" s="2"/>
      <c r="C415" s="2"/>
      <c r="D415" s="2"/>
      <c r="E415" s="2"/>
      <c r="L415" s="2"/>
      <c r="M415" s="2"/>
    </row>
    <row r="416" ht="15.75" customHeight="1">
      <c r="B416" s="2"/>
      <c r="C416" s="2"/>
      <c r="D416" s="2"/>
      <c r="E416" s="2"/>
      <c r="L416" s="2"/>
      <c r="M416" s="2"/>
    </row>
    <row r="417" ht="15.75" customHeight="1">
      <c r="B417" s="2"/>
      <c r="C417" s="2"/>
      <c r="D417" s="2"/>
      <c r="E417" s="2"/>
      <c r="L417" s="2"/>
      <c r="M417" s="2"/>
    </row>
    <row r="418" ht="15.75" customHeight="1">
      <c r="B418" s="2"/>
      <c r="C418" s="2"/>
      <c r="D418" s="2"/>
      <c r="E418" s="2"/>
      <c r="L418" s="2"/>
      <c r="M418" s="2"/>
    </row>
    <row r="419" ht="15.75" customHeight="1">
      <c r="B419" s="2"/>
      <c r="C419" s="2"/>
      <c r="D419" s="2"/>
      <c r="E419" s="2"/>
      <c r="L419" s="2"/>
      <c r="M419" s="2"/>
    </row>
    <row r="420" ht="15.75" customHeight="1">
      <c r="B420" s="2"/>
      <c r="C420" s="2"/>
      <c r="D420" s="2"/>
      <c r="E420" s="2"/>
      <c r="L420" s="2"/>
      <c r="M420" s="2"/>
    </row>
    <row r="421" ht="15.75" customHeight="1">
      <c r="B421" s="2"/>
      <c r="C421" s="2"/>
      <c r="D421" s="2"/>
      <c r="E421" s="2"/>
      <c r="L421" s="2"/>
      <c r="M421" s="2"/>
    </row>
    <row r="422" ht="15.75" customHeight="1">
      <c r="B422" s="2"/>
      <c r="C422" s="2"/>
      <c r="D422" s="2"/>
      <c r="E422" s="2"/>
      <c r="L422" s="2"/>
      <c r="M422" s="2"/>
    </row>
    <row r="423" ht="15.75" customHeight="1">
      <c r="B423" s="2"/>
      <c r="C423" s="2"/>
      <c r="D423" s="2"/>
      <c r="E423" s="2"/>
      <c r="L423" s="2"/>
      <c r="M423" s="2"/>
    </row>
    <row r="424" ht="15.75" customHeight="1">
      <c r="B424" s="2"/>
      <c r="C424" s="2"/>
      <c r="D424" s="2"/>
      <c r="E424" s="2"/>
      <c r="L424" s="2"/>
      <c r="M424" s="2"/>
    </row>
    <row r="425" ht="15.75" customHeight="1">
      <c r="B425" s="2"/>
      <c r="C425" s="2"/>
      <c r="D425" s="2"/>
      <c r="E425" s="2"/>
      <c r="L425" s="2"/>
      <c r="M425" s="2"/>
    </row>
    <row r="426" ht="15.75" customHeight="1">
      <c r="B426" s="2"/>
      <c r="C426" s="2"/>
      <c r="D426" s="2"/>
      <c r="E426" s="2"/>
      <c r="L426" s="2"/>
      <c r="M426" s="2"/>
    </row>
    <row r="427" ht="15.75" customHeight="1">
      <c r="B427" s="2"/>
      <c r="C427" s="2"/>
      <c r="D427" s="2"/>
      <c r="E427" s="2"/>
      <c r="L427" s="2"/>
      <c r="M427" s="2"/>
    </row>
    <row r="428" ht="15.75" customHeight="1">
      <c r="B428" s="2"/>
      <c r="C428" s="2"/>
      <c r="D428" s="2"/>
      <c r="E428" s="2"/>
      <c r="L428" s="2"/>
      <c r="M428" s="2"/>
    </row>
    <row r="429" ht="15.75" customHeight="1">
      <c r="B429" s="2"/>
      <c r="C429" s="2"/>
      <c r="D429" s="2"/>
      <c r="E429" s="2"/>
      <c r="L429" s="2"/>
      <c r="M429" s="2"/>
    </row>
    <row r="430" ht="15.75" customHeight="1">
      <c r="B430" s="2"/>
      <c r="C430" s="2"/>
      <c r="D430" s="2"/>
      <c r="E430" s="2"/>
      <c r="L430" s="2"/>
      <c r="M430" s="2"/>
    </row>
    <row r="431" ht="15.75" customHeight="1">
      <c r="B431" s="2"/>
      <c r="C431" s="2"/>
      <c r="D431" s="2"/>
      <c r="E431" s="2"/>
      <c r="L431" s="2"/>
      <c r="M431" s="2"/>
    </row>
    <row r="432" ht="15.75" customHeight="1">
      <c r="B432" s="2"/>
      <c r="C432" s="2"/>
      <c r="D432" s="2"/>
      <c r="E432" s="2"/>
      <c r="L432" s="2"/>
      <c r="M432" s="2"/>
    </row>
    <row r="433" ht="15.75" customHeight="1">
      <c r="B433" s="2"/>
      <c r="C433" s="2"/>
      <c r="D433" s="2"/>
      <c r="E433" s="2"/>
      <c r="L433" s="2"/>
      <c r="M433" s="2"/>
    </row>
    <row r="434" ht="15.75" customHeight="1">
      <c r="B434" s="2"/>
      <c r="C434" s="2"/>
      <c r="D434" s="2"/>
      <c r="E434" s="2"/>
      <c r="L434" s="2"/>
      <c r="M434" s="2"/>
    </row>
    <row r="435" ht="15.75" customHeight="1">
      <c r="B435" s="2"/>
      <c r="C435" s="2"/>
      <c r="D435" s="2"/>
      <c r="E435" s="2"/>
      <c r="L435" s="2"/>
      <c r="M435" s="2"/>
    </row>
    <row r="436" ht="15.75" customHeight="1">
      <c r="B436" s="2"/>
      <c r="C436" s="2"/>
      <c r="D436" s="2"/>
      <c r="E436" s="2"/>
      <c r="L436" s="2"/>
      <c r="M436" s="2"/>
    </row>
    <row r="437" ht="15.75" customHeight="1">
      <c r="B437" s="2"/>
      <c r="C437" s="2"/>
      <c r="D437" s="2"/>
      <c r="E437" s="2"/>
      <c r="L437" s="2"/>
      <c r="M437" s="2"/>
    </row>
    <row r="438" ht="15.75" customHeight="1">
      <c r="B438" s="2"/>
      <c r="C438" s="2"/>
      <c r="D438" s="2"/>
      <c r="E438" s="2"/>
      <c r="L438" s="2"/>
      <c r="M438" s="2"/>
    </row>
    <row r="439" ht="15.75" customHeight="1">
      <c r="B439" s="2"/>
      <c r="C439" s="2"/>
      <c r="D439" s="2"/>
      <c r="E439" s="2"/>
      <c r="L439" s="2"/>
      <c r="M439" s="2"/>
    </row>
    <row r="440" ht="15.75" customHeight="1">
      <c r="B440" s="2"/>
      <c r="C440" s="2"/>
      <c r="D440" s="2"/>
      <c r="E440" s="2"/>
      <c r="L440" s="2"/>
      <c r="M440" s="2"/>
    </row>
    <row r="441" ht="15.75" customHeight="1">
      <c r="B441" s="2"/>
      <c r="C441" s="2"/>
      <c r="D441" s="2"/>
      <c r="E441" s="2"/>
      <c r="L441" s="2"/>
      <c r="M441" s="2"/>
    </row>
    <row r="442" ht="15.75" customHeight="1">
      <c r="B442" s="2"/>
      <c r="C442" s="2"/>
      <c r="D442" s="2"/>
      <c r="E442" s="2"/>
      <c r="L442" s="2"/>
      <c r="M442" s="2"/>
    </row>
    <row r="443" ht="15.75" customHeight="1">
      <c r="B443" s="2"/>
      <c r="C443" s="2"/>
      <c r="D443" s="2"/>
      <c r="E443" s="2"/>
      <c r="L443" s="2"/>
      <c r="M443" s="2"/>
    </row>
    <row r="444" ht="15.75" customHeight="1">
      <c r="B444" s="2"/>
      <c r="C444" s="2"/>
      <c r="D444" s="2"/>
      <c r="E444" s="2"/>
      <c r="L444" s="2"/>
      <c r="M444" s="2"/>
    </row>
    <row r="445" ht="15.75" customHeight="1">
      <c r="B445" s="2"/>
      <c r="C445" s="2"/>
      <c r="D445" s="2"/>
      <c r="E445" s="2"/>
      <c r="L445" s="2"/>
      <c r="M445" s="2"/>
    </row>
    <row r="446" ht="15.75" customHeight="1">
      <c r="B446" s="2"/>
      <c r="C446" s="2"/>
      <c r="D446" s="2"/>
      <c r="E446" s="2"/>
      <c r="L446" s="2"/>
      <c r="M446" s="2"/>
    </row>
    <row r="447" ht="15.75" customHeight="1">
      <c r="B447" s="2"/>
      <c r="C447" s="2"/>
      <c r="D447" s="2"/>
      <c r="E447" s="2"/>
      <c r="L447" s="2"/>
      <c r="M447" s="2"/>
    </row>
    <row r="448" ht="15.75" customHeight="1">
      <c r="B448" s="2"/>
      <c r="C448" s="2"/>
      <c r="D448" s="2"/>
      <c r="E448" s="2"/>
      <c r="L448" s="2"/>
      <c r="M448" s="2"/>
    </row>
    <row r="449" ht="15.75" customHeight="1">
      <c r="B449" s="2"/>
      <c r="C449" s="2"/>
      <c r="D449" s="2"/>
      <c r="E449" s="2"/>
      <c r="L449" s="2"/>
      <c r="M449" s="2"/>
    </row>
    <row r="450" ht="15.75" customHeight="1">
      <c r="B450" s="2"/>
      <c r="C450" s="2"/>
      <c r="D450" s="2"/>
      <c r="E450" s="2"/>
      <c r="L450" s="2"/>
      <c r="M450" s="2"/>
    </row>
    <row r="451" ht="15.75" customHeight="1">
      <c r="B451" s="2"/>
      <c r="C451" s="2"/>
      <c r="D451" s="2"/>
      <c r="E451" s="2"/>
      <c r="L451" s="2"/>
      <c r="M451" s="2"/>
    </row>
    <row r="452" ht="15.75" customHeight="1">
      <c r="B452" s="2"/>
      <c r="C452" s="2"/>
      <c r="D452" s="2"/>
      <c r="E452" s="2"/>
      <c r="L452" s="2"/>
      <c r="M452" s="2"/>
    </row>
    <row r="453" ht="15.75" customHeight="1">
      <c r="B453" s="2"/>
      <c r="C453" s="2"/>
      <c r="D453" s="2"/>
      <c r="E453" s="2"/>
      <c r="L453" s="2"/>
      <c r="M453" s="2"/>
    </row>
    <row r="454" ht="15.75" customHeight="1">
      <c r="B454" s="2"/>
      <c r="C454" s="2"/>
      <c r="D454" s="2"/>
      <c r="E454" s="2"/>
      <c r="L454" s="2"/>
      <c r="M454" s="2"/>
    </row>
    <row r="455" ht="15.75" customHeight="1">
      <c r="B455" s="2"/>
      <c r="C455" s="2"/>
      <c r="D455" s="2"/>
      <c r="E455" s="2"/>
      <c r="L455" s="2"/>
      <c r="M455" s="2"/>
    </row>
    <row r="456" ht="15.75" customHeight="1">
      <c r="B456" s="2"/>
      <c r="C456" s="2"/>
      <c r="D456" s="2"/>
      <c r="E456" s="2"/>
      <c r="L456" s="2"/>
      <c r="M456" s="2"/>
    </row>
    <row r="457" ht="15.75" customHeight="1">
      <c r="B457" s="2"/>
      <c r="C457" s="2"/>
      <c r="D457" s="2"/>
      <c r="E457" s="2"/>
      <c r="L457" s="2"/>
      <c r="M457" s="2"/>
    </row>
    <row r="458" ht="15.75" customHeight="1">
      <c r="B458" s="2"/>
      <c r="C458" s="2"/>
      <c r="D458" s="2"/>
      <c r="E458" s="2"/>
      <c r="L458" s="2"/>
      <c r="M458" s="2"/>
    </row>
    <row r="459" ht="15.75" customHeight="1">
      <c r="B459" s="2"/>
      <c r="C459" s="2"/>
      <c r="D459" s="2"/>
      <c r="E459" s="2"/>
      <c r="L459" s="2"/>
      <c r="M459" s="2"/>
    </row>
    <row r="460" ht="15.75" customHeight="1">
      <c r="B460" s="2"/>
      <c r="C460" s="2"/>
      <c r="D460" s="2"/>
      <c r="E460" s="2"/>
      <c r="L460" s="2"/>
      <c r="M460" s="2"/>
    </row>
    <row r="461" ht="15.75" customHeight="1">
      <c r="B461" s="2"/>
      <c r="C461" s="2"/>
      <c r="D461" s="2"/>
      <c r="E461" s="2"/>
      <c r="L461" s="2"/>
      <c r="M461" s="2"/>
    </row>
    <row r="462" ht="15.75" customHeight="1">
      <c r="B462" s="2"/>
      <c r="C462" s="2"/>
      <c r="D462" s="2"/>
      <c r="E462" s="2"/>
      <c r="L462" s="2"/>
      <c r="M462" s="2"/>
    </row>
    <row r="463" ht="15.75" customHeight="1">
      <c r="B463" s="2"/>
      <c r="C463" s="2"/>
      <c r="D463" s="2"/>
      <c r="E463" s="2"/>
      <c r="L463" s="2"/>
      <c r="M463" s="2"/>
    </row>
    <row r="464" ht="15.75" customHeight="1">
      <c r="B464" s="2"/>
      <c r="C464" s="2"/>
      <c r="D464" s="2"/>
      <c r="E464" s="2"/>
      <c r="L464" s="2"/>
      <c r="M464" s="2"/>
    </row>
    <row r="465" ht="15.75" customHeight="1">
      <c r="B465" s="2"/>
      <c r="C465" s="2"/>
      <c r="D465" s="2"/>
      <c r="E465" s="2"/>
      <c r="L465" s="2"/>
      <c r="M465" s="2"/>
    </row>
    <row r="466" ht="15.75" customHeight="1">
      <c r="B466" s="2"/>
      <c r="C466" s="2"/>
      <c r="D466" s="2"/>
      <c r="E466" s="2"/>
      <c r="L466" s="2"/>
      <c r="M466" s="2"/>
    </row>
    <row r="467" ht="15.75" customHeight="1">
      <c r="B467" s="2"/>
      <c r="C467" s="2"/>
      <c r="D467" s="2"/>
      <c r="E467" s="2"/>
      <c r="L467" s="2"/>
      <c r="M467" s="2"/>
    </row>
    <row r="468" ht="15.75" customHeight="1">
      <c r="B468" s="2"/>
      <c r="C468" s="2"/>
      <c r="D468" s="2"/>
      <c r="E468" s="2"/>
      <c r="L468" s="2"/>
      <c r="M468" s="2"/>
    </row>
    <row r="469" ht="15.75" customHeight="1">
      <c r="B469" s="2"/>
      <c r="C469" s="2"/>
      <c r="D469" s="2"/>
      <c r="E469" s="2"/>
      <c r="L469" s="2"/>
      <c r="M469" s="2"/>
    </row>
    <row r="470" ht="15.75" customHeight="1">
      <c r="B470" s="2"/>
      <c r="C470" s="2"/>
      <c r="D470" s="2"/>
      <c r="E470" s="2"/>
      <c r="L470" s="2"/>
      <c r="M470" s="2"/>
    </row>
    <row r="471" ht="15.75" customHeight="1">
      <c r="B471" s="2"/>
      <c r="C471" s="2"/>
      <c r="D471" s="2"/>
      <c r="E471" s="2"/>
      <c r="L471" s="2"/>
      <c r="M471" s="2"/>
    </row>
    <row r="472" ht="15.75" customHeight="1">
      <c r="B472" s="2"/>
      <c r="C472" s="2"/>
      <c r="D472" s="2"/>
      <c r="E472" s="2"/>
      <c r="L472" s="2"/>
      <c r="M472" s="2"/>
    </row>
    <row r="473" ht="15.75" customHeight="1">
      <c r="B473" s="2"/>
      <c r="C473" s="2"/>
      <c r="D473" s="2"/>
      <c r="E473" s="2"/>
      <c r="L473" s="2"/>
      <c r="M473" s="2"/>
    </row>
    <row r="474" ht="15.75" customHeight="1">
      <c r="B474" s="2"/>
      <c r="C474" s="2"/>
      <c r="D474" s="2"/>
      <c r="E474" s="2"/>
      <c r="L474" s="2"/>
      <c r="M474" s="2"/>
    </row>
    <row r="475" ht="15.75" customHeight="1">
      <c r="B475" s="2"/>
      <c r="C475" s="2"/>
      <c r="D475" s="2"/>
      <c r="E475" s="2"/>
      <c r="L475" s="2"/>
      <c r="M475" s="2"/>
    </row>
    <row r="476" ht="15.75" customHeight="1">
      <c r="B476" s="2"/>
      <c r="C476" s="2"/>
      <c r="D476" s="2"/>
      <c r="E476" s="2"/>
      <c r="L476" s="2"/>
      <c r="M476" s="2"/>
    </row>
    <row r="477" ht="15.75" customHeight="1">
      <c r="B477" s="2"/>
      <c r="C477" s="2"/>
      <c r="D477" s="2"/>
      <c r="E477" s="2"/>
      <c r="L477" s="2"/>
      <c r="M477" s="2"/>
    </row>
    <row r="478" ht="15.75" customHeight="1">
      <c r="B478" s="2"/>
      <c r="C478" s="2"/>
      <c r="D478" s="2"/>
      <c r="E478" s="2"/>
      <c r="L478" s="2"/>
      <c r="M478" s="2"/>
    </row>
    <row r="479" ht="15.75" customHeight="1">
      <c r="B479" s="2"/>
      <c r="C479" s="2"/>
      <c r="D479" s="2"/>
      <c r="E479" s="2"/>
      <c r="L479" s="2"/>
      <c r="M479" s="2"/>
    </row>
    <row r="480" ht="15.75" customHeight="1">
      <c r="B480" s="2"/>
      <c r="C480" s="2"/>
      <c r="D480" s="2"/>
      <c r="E480" s="2"/>
      <c r="L480" s="2"/>
      <c r="M480" s="2"/>
    </row>
    <row r="481" ht="15.75" customHeight="1">
      <c r="B481" s="2"/>
      <c r="C481" s="2"/>
      <c r="D481" s="2"/>
      <c r="E481" s="2"/>
      <c r="L481" s="2"/>
      <c r="M481" s="2"/>
    </row>
    <row r="482" ht="15.75" customHeight="1">
      <c r="B482" s="2"/>
      <c r="C482" s="2"/>
      <c r="D482" s="2"/>
      <c r="E482" s="2"/>
      <c r="L482" s="2"/>
      <c r="M482" s="2"/>
    </row>
    <row r="483" ht="15.75" customHeight="1">
      <c r="B483" s="2"/>
      <c r="C483" s="2"/>
      <c r="D483" s="2"/>
      <c r="E483" s="2"/>
      <c r="L483" s="2"/>
      <c r="M483" s="2"/>
    </row>
    <row r="484" ht="15.75" customHeight="1">
      <c r="B484" s="2"/>
      <c r="C484" s="2"/>
      <c r="D484" s="2"/>
      <c r="E484" s="2"/>
      <c r="L484" s="2"/>
      <c r="M484" s="2"/>
    </row>
    <row r="485" ht="15.75" customHeight="1">
      <c r="B485" s="2"/>
      <c r="C485" s="2"/>
      <c r="D485" s="2"/>
      <c r="E485" s="2"/>
      <c r="L485" s="2"/>
      <c r="M485" s="2"/>
    </row>
    <row r="486" ht="15.75" customHeight="1">
      <c r="B486" s="2"/>
      <c r="C486" s="2"/>
      <c r="D486" s="2"/>
      <c r="E486" s="2"/>
      <c r="L486" s="2"/>
      <c r="M486" s="2"/>
    </row>
    <row r="487" ht="15.75" customHeight="1">
      <c r="B487" s="2"/>
      <c r="C487" s="2"/>
      <c r="D487" s="2"/>
      <c r="E487" s="2"/>
      <c r="L487" s="2"/>
      <c r="M487" s="2"/>
    </row>
    <row r="488" ht="15.75" customHeight="1">
      <c r="B488" s="2"/>
      <c r="C488" s="2"/>
      <c r="D488" s="2"/>
      <c r="E488" s="2"/>
      <c r="L488" s="2"/>
      <c r="M488" s="2"/>
    </row>
    <row r="489" ht="15.75" customHeight="1">
      <c r="B489" s="2"/>
      <c r="C489" s="2"/>
      <c r="D489" s="2"/>
      <c r="E489" s="2"/>
      <c r="L489" s="2"/>
      <c r="M489" s="2"/>
    </row>
    <row r="490" ht="15.75" customHeight="1">
      <c r="B490" s="2"/>
      <c r="C490" s="2"/>
      <c r="D490" s="2"/>
      <c r="E490" s="2"/>
      <c r="L490" s="2"/>
      <c r="M490" s="2"/>
    </row>
    <row r="491" ht="15.75" customHeight="1">
      <c r="B491" s="2"/>
      <c r="C491" s="2"/>
      <c r="D491" s="2"/>
      <c r="E491" s="2"/>
      <c r="L491" s="2"/>
      <c r="M491" s="2"/>
    </row>
    <row r="492" ht="15.75" customHeight="1">
      <c r="B492" s="2"/>
      <c r="C492" s="2"/>
      <c r="D492" s="2"/>
      <c r="E492" s="2"/>
      <c r="L492" s="2"/>
      <c r="M492" s="2"/>
    </row>
    <row r="493" ht="15.75" customHeight="1">
      <c r="B493" s="2"/>
      <c r="C493" s="2"/>
      <c r="D493" s="2"/>
      <c r="E493" s="2"/>
      <c r="L493" s="2"/>
      <c r="M493" s="2"/>
    </row>
    <row r="494" ht="15.75" customHeight="1">
      <c r="B494" s="2"/>
      <c r="C494" s="2"/>
      <c r="D494" s="2"/>
      <c r="E494" s="2"/>
      <c r="L494" s="2"/>
      <c r="M494" s="2"/>
    </row>
    <row r="495" ht="15.75" customHeight="1">
      <c r="B495" s="2"/>
      <c r="C495" s="2"/>
      <c r="D495" s="2"/>
      <c r="E495" s="2"/>
      <c r="L495" s="2"/>
      <c r="M495" s="2"/>
    </row>
    <row r="496" ht="15.75" customHeight="1">
      <c r="B496" s="2"/>
      <c r="C496" s="2"/>
      <c r="D496" s="2"/>
      <c r="E496" s="2"/>
      <c r="L496" s="2"/>
      <c r="M496" s="2"/>
    </row>
    <row r="497" ht="15.75" customHeight="1">
      <c r="B497" s="2"/>
      <c r="C497" s="2"/>
      <c r="D497" s="2"/>
      <c r="E497" s="2"/>
      <c r="L497" s="2"/>
      <c r="M497" s="2"/>
    </row>
    <row r="498" ht="15.75" customHeight="1">
      <c r="B498" s="2"/>
      <c r="C498" s="2"/>
      <c r="D498" s="2"/>
      <c r="E498" s="2"/>
      <c r="L498" s="2"/>
      <c r="M498" s="2"/>
    </row>
    <row r="499" ht="15.75" customHeight="1">
      <c r="B499" s="2"/>
      <c r="C499" s="2"/>
      <c r="D499" s="2"/>
      <c r="E499" s="2"/>
      <c r="L499" s="2"/>
      <c r="M499" s="2"/>
    </row>
    <row r="500" ht="15.75" customHeight="1">
      <c r="B500" s="2"/>
      <c r="C500" s="2"/>
      <c r="D500" s="2"/>
      <c r="E500" s="2"/>
      <c r="L500" s="2"/>
      <c r="M500" s="2"/>
    </row>
    <row r="501" ht="15.75" customHeight="1">
      <c r="B501" s="2"/>
      <c r="C501" s="2"/>
      <c r="D501" s="2"/>
      <c r="E501" s="2"/>
      <c r="L501" s="2"/>
      <c r="M501" s="2"/>
    </row>
    <row r="502" ht="15.75" customHeight="1">
      <c r="B502" s="2"/>
      <c r="C502" s="2"/>
      <c r="D502" s="2"/>
      <c r="E502" s="2"/>
      <c r="L502" s="2"/>
      <c r="M502" s="2"/>
    </row>
    <row r="503" ht="15.75" customHeight="1">
      <c r="B503" s="2"/>
      <c r="C503" s="2"/>
      <c r="D503" s="2"/>
      <c r="E503" s="2"/>
      <c r="L503" s="2"/>
      <c r="M503" s="2"/>
    </row>
    <row r="504" ht="15.75" customHeight="1">
      <c r="B504" s="2"/>
      <c r="C504" s="2"/>
      <c r="D504" s="2"/>
      <c r="E504" s="2"/>
      <c r="L504" s="2"/>
      <c r="M504" s="2"/>
    </row>
    <row r="505" ht="15.75" customHeight="1">
      <c r="B505" s="2"/>
      <c r="C505" s="2"/>
      <c r="D505" s="2"/>
      <c r="E505" s="2"/>
      <c r="L505" s="2"/>
      <c r="M505" s="2"/>
    </row>
    <row r="506" ht="15.75" customHeight="1">
      <c r="B506" s="2"/>
      <c r="C506" s="2"/>
      <c r="D506" s="2"/>
      <c r="E506" s="2"/>
      <c r="L506" s="2"/>
      <c r="M506" s="2"/>
    </row>
    <row r="507" ht="15.75" customHeight="1">
      <c r="B507" s="2"/>
      <c r="C507" s="2"/>
      <c r="D507" s="2"/>
      <c r="E507" s="2"/>
      <c r="L507" s="2"/>
      <c r="M507" s="2"/>
    </row>
    <row r="508" ht="15.75" customHeight="1">
      <c r="B508" s="2"/>
      <c r="C508" s="2"/>
      <c r="D508" s="2"/>
      <c r="E508" s="2"/>
      <c r="L508" s="2"/>
      <c r="M508" s="2"/>
    </row>
    <row r="509" ht="15.75" customHeight="1">
      <c r="B509" s="2"/>
      <c r="C509" s="2"/>
      <c r="D509" s="2"/>
      <c r="E509" s="2"/>
      <c r="L509" s="2"/>
      <c r="M509" s="2"/>
    </row>
    <row r="510" ht="15.75" customHeight="1">
      <c r="B510" s="2"/>
      <c r="C510" s="2"/>
      <c r="D510" s="2"/>
      <c r="E510" s="2"/>
      <c r="L510" s="2"/>
      <c r="M510" s="2"/>
    </row>
    <row r="511" ht="15.75" customHeight="1">
      <c r="B511" s="2"/>
      <c r="C511" s="2"/>
      <c r="D511" s="2"/>
      <c r="E511" s="2"/>
      <c r="L511" s="2"/>
      <c r="M511" s="2"/>
    </row>
    <row r="512" ht="15.75" customHeight="1">
      <c r="B512" s="2"/>
      <c r="C512" s="2"/>
      <c r="D512" s="2"/>
      <c r="E512" s="2"/>
      <c r="L512" s="2"/>
      <c r="M512" s="2"/>
    </row>
    <row r="513" ht="15.75" customHeight="1">
      <c r="B513" s="2"/>
      <c r="C513" s="2"/>
      <c r="D513" s="2"/>
      <c r="E513" s="2"/>
      <c r="L513" s="2"/>
      <c r="M513" s="2"/>
    </row>
    <row r="514" ht="15.75" customHeight="1">
      <c r="B514" s="2"/>
      <c r="C514" s="2"/>
      <c r="D514" s="2"/>
      <c r="E514" s="2"/>
      <c r="L514" s="2"/>
      <c r="M514" s="2"/>
    </row>
    <row r="515" ht="15.75" customHeight="1">
      <c r="B515" s="2"/>
      <c r="C515" s="2"/>
      <c r="D515" s="2"/>
      <c r="E515" s="2"/>
      <c r="L515" s="2"/>
      <c r="M515" s="2"/>
    </row>
    <row r="516" ht="15.75" customHeight="1">
      <c r="B516" s="2"/>
      <c r="C516" s="2"/>
      <c r="D516" s="2"/>
      <c r="E516" s="2"/>
      <c r="L516" s="2"/>
      <c r="M516" s="2"/>
    </row>
    <row r="517" ht="15.75" customHeight="1">
      <c r="B517" s="2"/>
      <c r="C517" s="2"/>
      <c r="D517" s="2"/>
      <c r="E517" s="2"/>
      <c r="L517" s="2"/>
      <c r="M517" s="2"/>
    </row>
    <row r="518" ht="15.75" customHeight="1">
      <c r="B518" s="2"/>
      <c r="C518" s="2"/>
      <c r="D518" s="2"/>
      <c r="E518" s="2"/>
      <c r="L518" s="2"/>
      <c r="M518" s="2"/>
    </row>
    <row r="519" ht="15.75" customHeight="1">
      <c r="B519" s="2"/>
      <c r="C519" s="2"/>
      <c r="D519" s="2"/>
      <c r="E519" s="2"/>
      <c r="L519" s="2"/>
      <c r="M519" s="2"/>
    </row>
    <row r="520" ht="15.75" customHeight="1">
      <c r="B520" s="2"/>
      <c r="C520" s="2"/>
      <c r="D520" s="2"/>
      <c r="E520" s="2"/>
      <c r="L520" s="2"/>
      <c r="M520" s="2"/>
    </row>
    <row r="521" ht="15.75" customHeight="1">
      <c r="B521" s="2"/>
      <c r="C521" s="2"/>
      <c r="D521" s="2"/>
      <c r="E521" s="2"/>
      <c r="L521" s="2"/>
      <c r="M521" s="2"/>
    </row>
    <row r="522" ht="15.75" customHeight="1">
      <c r="B522" s="2"/>
      <c r="C522" s="2"/>
      <c r="D522" s="2"/>
      <c r="E522" s="2"/>
      <c r="L522" s="2"/>
      <c r="M522" s="2"/>
    </row>
    <row r="523" ht="15.75" customHeight="1">
      <c r="B523" s="2"/>
      <c r="C523" s="2"/>
      <c r="D523" s="2"/>
      <c r="E523" s="2"/>
      <c r="L523" s="2"/>
      <c r="M523" s="2"/>
    </row>
    <row r="524" ht="15.75" customHeight="1">
      <c r="B524" s="2"/>
      <c r="C524" s="2"/>
      <c r="D524" s="2"/>
      <c r="E524" s="2"/>
      <c r="L524" s="2"/>
      <c r="M524" s="2"/>
    </row>
    <row r="525" ht="15.75" customHeight="1">
      <c r="B525" s="2"/>
      <c r="C525" s="2"/>
      <c r="D525" s="2"/>
      <c r="E525" s="2"/>
      <c r="L525" s="2"/>
      <c r="M525" s="2"/>
    </row>
    <row r="526" ht="15.75" customHeight="1">
      <c r="B526" s="2"/>
      <c r="C526" s="2"/>
      <c r="D526" s="2"/>
      <c r="E526" s="2"/>
      <c r="L526" s="2"/>
      <c r="M526" s="2"/>
    </row>
    <row r="527" ht="15.75" customHeight="1">
      <c r="B527" s="2"/>
      <c r="C527" s="2"/>
      <c r="D527" s="2"/>
      <c r="E527" s="2"/>
      <c r="L527" s="2"/>
      <c r="M527" s="2"/>
    </row>
    <row r="528" ht="15.75" customHeight="1">
      <c r="B528" s="2"/>
      <c r="C528" s="2"/>
      <c r="D528" s="2"/>
      <c r="E528" s="2"/>
      <c r="L528" s="2"/>
      <c r="M528" s="2"/>
    </row>
    <row r="529" ht="15.75" customHeight="1">
      <c r="B529" s="2"/>
      <c r="C529" s="2"/>
      <c r="D529" s="2"/>
      <c r="E529" s="2"/>
      <c r="L529" s="2"/>
      <c r="M529" s="2"/>
    </row>
    <row r="530" ht="15.75" customHeight="1">
      <c r="B530" s="2"/>
      <c r="C530" s="2"/>
      <c r="D530" s="2"/>
      <c r="E530" s="2"/>
      <c r="L530" s="2"/>
      <c r="M530" s="2"/>
    </row>
    <row r="531" ht="15.75" customHeight="1">
      <c r="B531" s="2"/>
      <c r="C531" s="2"/>
      <c r="D531" s="2"/>
      <c r="E531" s="2"/>
      <c r="L531" s="2"/>
      <c r="M531" s="2"/>
    </row>
    <row r="532" ht="15.75" customHeight="1">
      <c r="B532" s="2"/>
      <c r="C532" s="2"/>
      <c r="D532" s="2"/>
      <c r="E532" s="2"/>
      <c r="L532" s="2"/>
      <c r="M532" s="2"/>
    </row>
    <row r="533" ht="15.75" customHeight="1">
      <c r="B533" s="2"/>
      <c r="C533" s="2"/>
      <c r="D533" s="2"/>
      <c r="E533" s="2"/>
      <c r="L533" s="2"/>
      <c r="M533" s="2"/>
    </row>
    <row r="534" ht="15.75" customHeight="1">
      <c r="B534" s="2"/>
      <c r="C534" s="2"/>
      <c r="D534" s="2"/>
      <c r="E534" s="2"/>
      <c r="L534" s="2"/>
      <c r="M534" s="2"/>
    </row>
    <row r="535" ht="15.75" customHeight="1">
      <c r="B535" s="2"/>
      <c r="C535" s="2"/>
      <c r="D535" s="2"/>
      <c r="E535" s="2"/>
      <c r="L535" s="2"/>
      <c r="M535" s="2"/>
    </row>
    <row r="536" ht="15.75" customHeight="1">
      <c r="B536" s="2"/>
      <c r="C536" s="2"/>
      <c r="D536" s="2"/>
      <c r="E536" s="2"/>
      <c r="L536" s="2"/>
      <c r="M536" s="2"/>
    </row>
    <row r="537" ht="15.75" customHeight="1">
      <c r="B537" s="2"/>
      <c r="C537" s="2"/>
      <c r="D537" s="2"/>
      <c r="E537" s="2"/>
      <c r="L537" s="2"/>
      <c r="M537" s="2"/>
    </row>
    <row r="538" ht="15.75" customHeight="1">
      <c r="B538" s="2"/>
      <c r="C538" s="2"/>
      <c r="D538" s="2"/>
      <c r="E538" s="2"/>
      <c r="L538" s="2"/>
      <c r="M538" s="2"/>
    </row>
    <row r="539" ht="15.75" customHeight="1">
      <c r="B539" s="2"/>
      <c r="C539" s="2"/>
      <c r="D539" s="2"/>
      <c r="E539" s="2"/>
      <c r="L539" s="2"/>
      <c r="M539" s="2"/>
    </row>
    <row r="540" ht="15.75" customHeight="1">
      <c r="B540" s="2"/>
      <c r="C540" s="2"/>
      <c r="D540" s="2"/>
      <c r="E540" s="2"/>
      <c r="L540" s="2"/>
      <c r="M540" s="2"/>
    </row>
    <row r="541" ht="15.75" customHeight="1">
      <c r="B541" s="2"/>
      <c r="C541" s="2"/>
      <c r="D541" s="2"/>
      <c r="E541" s="2"/>
      <c r="L541" s="2"/>
      <c r="M541" s="2"/>
    </row>
    <row r="542" ht="15.75" customHeight="1">
      <c r="B542" s="2"/>
      <c r="C542" s="2"/>
      <c r="D542" s="2"/>
      <c r="E542" s="2"/>
      <c r="L542" s="2"/>
      <c r="M542" s="2"/>
    </row>
    <row r="543" ht="15.75" customHeight="1">
      <c r="B543" s="2"/>
      <c r="C543" s="2"/>
      <c r="D543" s="2"/>
      <c r="E543" s="2"/>
      <c r="L543" s="2"/>
      <c r="M543" s="2"/>
    </row>
    <row r="544" ht="15.75" customHeight="1">
      <c r="B544" s="2"/>
      <c r="C544" s="2"/>
      <c r="D544" s="2"/>
      <c r="E544" s="2"/>
      <c r="L544" s="2"/>
      <c r="M544" s="2"/>
    </row>
    <row r="545" ht="15.75" customHeight="1">
      <c r="B545" s="2"/>
      <c r="C545" s="2"/>
      <c r="D545" s="2"/>
      <c r="E545" s="2"/>
      <c r="L545" s="2"/>
      <c r="M545" s="2"/>
    </row>
    <row r="546" ht="15.75" customHeight="1">
      <c r="B546" s="2"/>
      <c r="C546" s="2"/>
      <c r="D546" s="2"/>
      <c r="E546" s="2"/>
      <c r="L546" s="2"/>
      <c r="M546" s="2"/>
    </row>
    <row r="547" ht="15.75" customHeight="1">
      <c r="B547" s="2"/>
      <c r="C547" s="2"/>
      <c r="D547" s="2"/>
      <c r="E547" s="2"/>
      <c r="L547" s="2"/>
      <c r="M547" s="2"/>
    </row>
    <row r="548" ht="15.75" customHeight="1">
      <c r="B548" s="2"/>
      <c r="C548" s="2"/>
      <c r="D548" s="2"/>
      <c r="E548" s="2"/>
      <c r="L548" s="2"/>
      <c r="M548" s="2"/>
    </row>
    <row r="549" ht="15.75" customHeight="1">
      <c r="B549" s="2"/>
      <c r="C549" s="2"/>
      <c r="D549" s="2"/>
      <c r="E549" s="2"/>
      <c r="L549" s="2"/>
      <c r="M549" s="2"/>
    </row>
    <row r="550" ht="15.75" customHeight="1">
      <c r="B550" s="2"/>
      <c r="C550" s="2"/>
      <c r="D550" s="2"/>
      <c r="E550" s="2"/>
      <c r="L550" s="2"/>
      <c r="M550" s="2"/>
    </row>
    <row r="551" ht="15.75" customHeight="1">
      <c r="B551" s="2"/>
      <c r="C551" s="2"/>
      <c r="D551" s="2"/>
      <c r="E551" s="2"/>
      <c r="L551" s="2"/>
      <c r="M551" s="2"/>
    </row>
    <row r="552" ht="15.75" customHeight="1">
      <c r="B552" s="2"/>
      <c r="C552" s="2"/>
      <c r="D552" s="2"/>
      <c r="E552" s="2"/>
      <c r="L552" s="2"/>
      <c r="M552" s="2"/>
    </row>
    <row r="553" ht="15.75" customHeight="1">
      <c r="B553" s="2"/>
      <c r="C553" s="2"/>
      <c r="D553" s="2"/>
      <c r="E553" s="2"/>
      <c r="L553" s="2"/>
      <c r="M553" s="2"/>
    </row>
    <row r="554" ht="15.75" customHeight="1">
      <c r="B554" s="2"/>
      <c r="C554" s="2"/>
      <c r="D554" s="2"/>
      <c r="E554" s="2"/>
      <c r="L554" s="2"/>
      <c r="M554" s="2"/>
    </row>
    <row r="555" ht="15.75" customHeight="1">
      <c r="B555" s="2"/>
      <c r="C555" s="2"/>
      <c r="D555" s="2"/>
      <c r="E555" s="2"/>
      <c r="L555" s="2"/>
      <c r="M555" s="2"/>
    </row>
    <row r="556" ht="15.75" customHeight="1">
      <c r="B556" s="2"/>
      <c r="C556" s="2"/>
      <c r="D556" s="2"/>
      <c r="E556" s="2"/>
      <c r="L556" s="2"/>
      <c r="M556" s="2"/>
    </row>
    <row r="557" ht="15.75" customHeight="1">
      <c r="B557" s="2"/>
      <c r="C557" s="2"/>
      <c r="D557" s="2"/>
      <c r="E557" s="2"/>
      <c r="L557" s="2"/>
      <c r="M557" s="2"/>
    </row>
    <row r="558" ht="15.75" customHeight="1">
      <c r="B558" s="2"/>
      <c r="C558" s="2"/>
      <c r="D558" s="2"/>
      <c r="E558" s="2"/>
      <c r="L558" s="2"/>
      <c r="M558" s="2"/>
    </row>
    <row r="559" ht="15.75" customHeight="1">
      <c r="B559" s="2"/>
      <c r="C559" s="2"/>
      <c r="D559" s="2"/>
      <c r="E559" s="2"/>
      <c r="L559" s="2"/>
      <c r="M559" s="2"/>
    </row>
    <row r="560" ht="15.75" customHeight="1">
      <c r="B560" s="2"/>
      <c r="C560" s="2"/>
      <c r="D560" s="2"/>
      <c r="E560" s="2"/>
      <c r="L560" s="2"/>
      <c r="M560" s="2"/>
    </row>
    <row r="561" ht="15.75" customHeight="1">
      <c r="B561" s="2"/>
      <c r="C561" s="2"/>
      <c r="D561" s="2"/>
      <c r="E561" s="2"/>
      <c r="L561" s="2"/>
      <c r="M561" s="2"/>
    </row>
    <row r="562" ht="15.75" customHeight="1">
      <c r="B562" s="2"/>
      <c r="C562" s="2"/>
      <c r="D562" s="2"/>
      <c r="E562" s="2"/>
      <c r="L562" s="2"/>
      <c r="M562" s="2"/>
    </row>
    <row r="563" ht="15.75" customHeight="1">
      <c r="B563" s="2"/>
      <c r="C563" s="2"/>
      <c r="D563" s="2"/>
      <c r="E563" s="2"/>
      <c r="L563" s="2"/>
      <c r="M563" s="2"/>
    </row>
    <row r="564" ht="15.75" customHeight="1">
      <c r="B564" s="2"/>
      <c r="C564" s="2"/>
      <c r="D564" s="2"/>
      <c r="E564" s="2"/>
      <c r="L564" s="2"/>
      <c r="M564" s="2"/>
    </row>
    <row r="565" ht="15.75" customHeight="1">
      <c r="B565" s="2"/>
      <c r="C565" s="2"/>
      <c r="D565" s="2"/>
      <c r="E565" s="2"/>
      <c r="L565" s="2"/>
      <c r="M565" s="2"/>
    </row>
    <row r="566" ht="15.75" customHeight="1">
      <c r="B566" s="2"/>
      <c r="C566" s="2"/>
      <c r="D566" s="2"/>
      <c r="E566" s="2"/>
      <c r="L566" s="2"/>
      <c r="M566" s="2"/>
    </row>
    <row r="567" ht="15.75" customHeight="1">
      <c r="B567" s="2"/>
      <c r="C567" s="2"/>
      <c r="D567" s="2"/>
      <c r="E567" s="2"/>
      <c r="L567" s="2"/>
      <c r="M567" s="2"/>
    </row>
    <row r="568" ht="15.75" customHeight="1">
      <c r="B568" s="2"/>
      <c r="C568" s="2"/>
      <c r="D568" s="2"/>
      <c r="E568" s="2"/>
      <c r="L568" s="2"/>
      <c r="M568" s="2"/>
    </row>
    <row r="569" ht="15.75" customHeight="1">
      <c r="B569" s="2"/>
      <c r="C569" s="2"/>
      <c r="D569" s="2"/>
      <c r="E569" s="2"/>
      <c r="L569" s="2"/>
      <c r="M569" s="2"/>
    </row>
    <row r="570" ht="15.75" customHeight="1">
      <c r="B570" s="2"/>
      <c r="C570" s="2"/>
      <c r="D570" s="2"/>
      <c r="E570" s="2"/>
      <c r="L570" s="2"/>
      <c r="M570" s="2"/>
    </row>
    <row r="571" ht="15.75" customHeight="1">
      <c r="B571" s="2"/>
      <c r="C571" s="2"/>
      <c r="D571" s="2"/>
      <c r="E571" s="2"/>
      <c r="L571" s="2"/>
      <c r="M571" s="2"/>
    </row>
    <row r="572" ht="15.75" customHeight="1">
      <c r="B572" s="2"/>
      <c r="C572" s="2"/>
      <c r="D572" s="2"/>
      <c r="E572" s="2"/>
      <c r="L572" s="2"/>
      <c r="M572" s="2"/>
    </row>
    <row r="573" ht="15.75" customHeight="1">
      <c r="B573" s="2"/>
      <c r="C573" s="2"/>
      <c r="D573" s="2"/>
      <c r="E573" s="2"/>
      <c r="L573" s="2"/>
      <c r="M573" s="2"/>
    </row>
    <row r="574" ht="15.75" customHeight="1">
      <c r="B574" s="2"/>
      <c r="C574" s="2"/>
      <c r="D574" s="2"/>
      <c r="E574" s="2"/>
      <c r="L574" s="2"/>
      <c r="M574" s="2"/>
    </row>
    <row r="575" ht="15.75" customHeight="1">
      <c r="B575" s="2"/>
      <c r="C575" s="2"/>
      <c r="D575" s="2"/>
      <c r="E575" s="2"/>
      <c r="L575" s="2"/>
      <c r="M575" s="2"/>
    </row>
    <row r="576" ht="15.75" customHeight="1">
      <c r="B576" s="2"/>
      <c r="C576" s="2"/>
      <c r="D576" s="2"/>
      <c r="E576" s="2"/>
      <c r="L576" s="2"/>
      <c r="M576" s="2"/>
    </row>
    <row r="577" ht="15.75" customHeight="1">
      <c r="B577" s="2"/>
      <c r="C577" s="2"/>
      <c r="D577" s="2"/>
      <c r="E577" s="2"/>
      <c r="L577" s="2"/>
      <c r="M577" s="2"/>
    </row>
    <row r="578" ht="15.75" customHeight="1">
      <c r="B578" s="2"/>
      <c r="C578" s="2"/>
      <c r="D578" s="2"/>
      <c r="E578" s="2"/>
      <c r="L578" s="2"/>
      <c r="M578" s="2"/>
    </row>
    <row r="579" ht="15.75" customHeight="1">
      <c r="B579" s="2"/>
      <c r="C579" s="2"/>
      <c r="D579" s="2"/>
      <c r="E579" s="2"/>
      <c r="L579" s="2"/>
      <c r="M579" s="2"/>
    </row>
    <row r="580" ht="15.75" customHeight="1">
      <c r="B580" s="2"/>
      <c r="C580" s="2"/>
      <c r="D580" s="2"/>
      <c r="E580" s="2"/>
      <c r="L580" s="2"/>
      <c r="M580" s="2"/>
    </row>
    <row r="581" ht="15.75" customHeight="1">
      <c r="B581" s="2"/>
      <c r="C581" s="2"/>
      <c r="D581" s="2"/>
      <c r="E581" s="2"/>
      <c r="L581" s="2"/>
      <c r="M581" s="2"/>
    </row>
    <row r="582" ht="15.75" customHeight="1">
      <c r="B582" s="2"/>
      <c r="C582" s="2"/>
      <c r="D582" s="2"/>
      <c r="E582" s="2"/>
      <c r="L582" s="2"/>
      <c r="M582" s="2"/>
    </row>
    <row r="583" ht="15.75" customHeight="1">
      <c r="B583" s="2"/>
      <c r="C583" s="2"/>
      <c r="D583" s="2"/>
      <c r="E583" s="2"/>
      <c r="L583" s="2"/>
      <c r="M583" s="2"/>
    </row>
    <row r="584" ht="15.75" customHeight="1">
      <c r="B584" s="2"/>
      <c r="C584" s="2"/>
      <c r="D584" s="2"/>
      <c r="E584" s="2"/>
      <c r="L584" s="2"/>
      <c r="M584" s="2"/>
    </row>
    <row r="585" ht="15.75" customHeight="1">
      <c r="B585" s="2"/>
      <c r="C585" s="2"/>
      <c r="D585" s="2"/>
      <c r="E585" s="2"/>
      <c r="L585" s="2"/>
      <c r="M585" s="2"/>
    </row>
    <row r="586" ht="15.75" customHeight="1">
      <c r="B586" s="2"/>
      <c r="C586" s="2"/>
      <c r="D586" s="2"/>
      <c r="E586" s="2"/>
      <c r="L586" s="2"/>
      <c r="M586" s="2"/>
    </row>
    <row r="587" ht="15.75" customHeight="1">
      <c r="B587" s="2"/>
      <c r="C587" s="2"/>
      <c r="D587" s="2"/>
      <c r="E587" s="2"/>
      <c r="L587" s="2"/>
      <c r="M587" s="2"/>
    </row>
    <row r="588" ht="15.75" customHeight="1">
      <c r="B588" s="2"/>
      <c r="C588" s="2"/>
      <c r="D588" s="2"/>
      <c r="E588" s="2"/>
      <c r="L588" s="2"/>
      <c r="M588" s="2"/>
    </row>
    <row r="589" ht="15.75" customHeight="1">
      <c r="B589" s="2"/>
      <c r="C589" s="2"/>
      <c r="D589" s="2"/>
      <c r="E589" s="2"/>
      <c r="L589" s="2"/>
      <c r="M589" s="2"/>
    </row>
    <row r="590" ht="15.75" customHeight="1">
      <c r="B590" s="2"/>
      <c r="C590" s="2"/>
      <c r="D590" s="2"/>
      <c r="E590" s="2"/>
      <c r="L590" s="2"/>
      <c r="M590" s="2"/>
    </row>
    <row r="591" ht="15.75" customHeight="1">
      <c r="B591" s="2"/>
      <c r="C591" s="2"/>
      <c r="D591" s="2"/>
      <c r="E591" s="2"/>
      <c r="L591" s="2"/>
      <c r="M591" s="2"/>
    </row>
    <row r="592" ht="15.75" customHeight="1">
      <c r="B592" s="2"/>
      <c r="C592" s="2"/>
      <c r="D592" s="2"/>
      <c r="E592" s="2"/>
      <c r="L592" s="2"/>
      <c r="M592" s="2"/>
    </row>
    <row r="593" ht="15.75" customHeight="1">
      <c r="B593" s="2"/>
      <c r="C593" s="2"/>
      <c r="D593" s="2"/>
      <c r="E593" s="2"/>
      <c r="L593" s="2"/>
      <c r="M593" s="2"/>
    </row>
    <row r="594" ht="15.75" customHeight="1">
      <c r="B594" s="2"/>
      <c r="C594" s="2"/>
      <c r="D594" s="2"/>
      <c r="E594" s="2"/>
      <c r="L594" s="2"/>
      <c r="M594" s="2"/>
    </row>
    <row r="595" ht="15.75" customHeight="1">
      <c r="B595" s="2"/>
      <c r="C595" s="2"/>
      <c r="D595" s="2"/>
      <c r="E595" s="2"/>
      <c r="L595" s="2"/>
      <c r="M595" s="2"/>
    </row>
    <row r="596" ht="15.75" customHeight="1">
      <c r="B596" s="2"/>
      <c r="C596" s="2"/>
      <c r="D596" s="2"/>
      <c r="E596" s="2"/>
      <c r="L596" s="2"/>
      <c r="M596" s="2"/>
    </row>
    <row r="597" ht="15.75" customHeight="1">
      <c r="B597" s="2"/>
      <c r="C597" s="2"/>
      <c r="D597" s="2"/>
      <c r="E597" s="2"/>
      <c r="L597" s="2"/>
      <c r="M597" s="2"/>
    </row>
    <row r="598" ht="15.75" customHeight="1">
      <c r="B598" s="2"/>
      <c r="C598" s="2"/>
      <c r="D598" s="2"/>
      <c r="E598" s="2"/>
      <c r="L598" s="2"/>
      <c r="M598" s="2"/>
    </row>
    <row r="599" ht="15.75" customHeight="1">
      <c r="B599" s="2"/>
      <c r="C599" s="2"/>
      <c r="D599" s="2"/>
      <c r="E599" s="2"/>
      <c r="L599" s="2"/>
      <c r="M599" s="2"/>
    </row>
    <row r="600" ht="15.75" customHeight="1">
      <c r="B600" s="2"/>
      <c r="C600" s="2"/>
      <c r="D600" s="2"/>
      <c r="E600" s="2"/>
      <c r="L600" s="2"/>
      <c r="M600" s="2"/>
    </row>
    <row r="601" ht="15.75" customHeight="1">
      <c r="B601" s="2"/>
      <c r="C601" s="2"/>
      <c r="D601" s="2"/>
      <c r="E601" s="2"/>
      <c r="L601" s="2"/>
      <c r="M601" s="2"/>
    </row>
    <row r="602" ht="15.75" customHeight="1">
      <c r="B602" s="2"/>
      <c r="C602" s="2"/>
      <c r="D602" s="2"/>
      <c r="E602" s="2"/>
      <c r="L602" s="2"/>
      <c r="M602" s="2"/>
    </row>
    <row r="603" ht="15.75" customHeight="1">
      <c r="B603" s="2"/>
      <c r="C603" s="2"/>
      <c r="D603" s="2"/>
      <c r="E603" s="2"/>
      <c r="L603" s="2"/>
      <c r="M603" s="2"/>
    </row>
    <row r="604" ht="15.75" customHeight="1">
      <c r="B604" s="2"/>
      <c r="C604" s="2"/>
      <c r="D604" s="2"/>
      <c r="E604" s="2"/>
      <c r="L604" s="2"/>
      <c r="M604" s="2"/>
    </row>
    <row r="605" ht="15.75" customHeight="1">
      <c r="B605" s="2"/>
      <c r="C605" s="2"/>
      <c r="D605" s="2"/>
      <c r="E605" s="2"/>
      <c r="L605" s="2"/>
      <c r="M605" s="2"/>
    </row>
    <row r="606" ht="15.75" customHeight="1">
      <c r="B606" s="2"/>
      <c r="C606" s="2"/>
      <c r="D606" s="2"/>
      <c r="E606" s="2"/>
      <c r="L606" s="2"/>
      <c r="M606" s="2"/>
    </row>
    <row r="607" ht="15.75" customHeight="1">
      <c r="B607" s="2"/>
      <c r="C607" s="2"/>
      <c r="D607" s="2"/>
      <c r="E607" s="2"/>
      <c r="L607" s="2"/>
      <c r="M607" s="2"/>
    </row>
    <row r="608" ht="15.75" customHeight="1">
      <c r="B608" s="2"/>
      <c r="C608" s="2"/>
      <c r="D608" s="2"/>
      <c r="E608" s="2"/>
      <c r="L608" s="2"/>
      <c r="M608" s="2"/>
    </row>
    <row r="609" ht="15.75" customHeight="1">
      <c r="B609" s="2"/>
      <c r="C609" s="2"/>
      <c r="D609" s="2"/>
      <c r="E609" s="2"/>
      <c r="L609" s="2"/>
      <c r="M609" s="2"/>
    </row>
    <row r="610" ht="15.75" customHeight="1">
      <c r="B610" s="2"/>
      <c r="C610" s="2"/>
      <c r="D610" s="2"/>
      <c r="E610" s="2"/>
      <c r="L610" s="2"/>
      <c r="M610" s="2"/>
    </row>
    <row r="611" ht="15.75" customHeight="1">
      <c r="B611" s="2"/>
      <c r="C611" s="2"/>
      <c r="D611" s="2"/>
      <c r="E611" s="2"/>
      <c r="L611" s="2"/>
      <c r="M611" s="2"/>
    </row>
    <row r="612" ht="15.75" customHeight="1">
      <c r="B612" s="2"/>
      <c r="C612" s="2"/>
      <c r="D612" s="2"/>
      <c r="E612" s="2"/>
      <c r="L612" s="2"/>
      <c r="M612" s="2"/>
    </row>
    <row r="613" ht="15.75" customHeight="1">
      <c r="B613" s="2"/>
      <c r="C613" s="2"/>
      <c r="D613" s="2"/>
      <c r="E613" s="2"/>
      <c r="L613" s="2"/>
      <c r="M613" s="2"/>
    </row>
    <row r="614" ht="15.75" customHeight="1">
      <c r="B614" s="2"/>
      <c r="C614" s="2"/>
      <c r="D614" s="2"/>
      <c r="E614" s="2"/>
      <c r="L614" s="2"/>
      <c r="M614" s="2"/>
    </row>
    <row r="615" ht="15.75" customHeight="1">
      <c r="B615" s="2"/>
      <c r="C615" s="2"/>
      <c r="D615" s="2"/>
      <c r="E615" s="2"/>
      <c r="L615" s="2"/>
      <c r="M615" s="2"/>
    </row>
    <row r="616" ht="15.75" customHeight="1">
      <c r="B616" s="2"/>
      <c r="C616" s="2"/>
      <c r="D616" s="2"/>
      <c r="E616" s="2"/>
      <c r="L616" s="2"/>
      <c r="M616" s="2"/>
    </row>
    <row r="617" ht="15.75" customHeight="1">
      <c r="B617" s="2"/>
      <c r="C617" s="2"/>
      <c r="D617" s="2"/>
      <c r="E617" s="2"/>
      <c r="L617" s="2"/>
      <c r="M617" s="2"/>
    </row>
    <row r="618" ht="15.75" customHeight="1">
      <c r="B618" s="2"/>
      <c r="C618" s="2"/>
      <c r="D618" s="2"/>
      <c r="E618" s="2"/>
      <c r="L618" s="2"/>
      <c r="M618" s="2"/>
    </row>
    <row r="619" ht="15.75" customHeight="1">
      <c r="B619" s="2"/>
      <c r="C619" s="2"/>
      <c r="D619" s="2"/>
      <c r="E619" s="2"/>
      <c r="L619" s="2"/>
      <c r="M619" s="2"/>
    </row>
    <row r="620" ht="15.75" customHeight="1">
      <c r="B620" s="2"/>
      <c r="C620" s="2"/>
      <c r="D620" s="2"/>
      <c r="E620" s="2"/>
      <c r="L620" s="2"/>
      <c r="M620" s="2"/>
    </row>
    <row r="621" ht="15.75" customHeight="1">
      <c r="B621" s="2"/>
      <c r="C621" s="2"/>
      <c r="D621" s="2"/>
      <c r="E621" s="2"/>
      <c r="L621" s="2"/>
      <c r="M621" s="2"/>
    </row>
    <row r="622" ht="15.75" customHeight="1">
      <c r="B622" s="2"/>
      <c r="C622" s="2"/>
      <c r="D622" s="2"/>
      <c r="E622" s="2"/>
      <c r="L622" s="2"/>
      <c r="M622" s="2"/>
    </row>
    <row r="623" ht="15.75" customHeight="1">
      <c r="B623" s="2"/>
      <c r="C623" s="2"/>
      <c r="D623" s="2"/>
      <c r="E623" s="2"/>
      <c r="L623" s="2"/>
      <c r="M623" s="2"/>
    </row>
    <row r="624" ht="15.75" customHeight="1">
      <c r="B624" s="2"/>
      <c r="C624" s="2"/>
      <c r="D624" s="2"/>
      <c r="E624" s="2"/>
      <c r="L624" s="2"/>
      <c r="M624" s="2"/>
    </row>
    <row r="625" ht="15.75" customHeight="1">
      <c r="B625" s="2"/>
      <c r="C625" s="2"/>
      <c r="D625" s="2"/>
      <c r="E625" s="2"/>
      <c r="L625" s="2"/>
      <c r="M625" s="2"/>
    </row>
    <row r="626" ht="15.75" customHeight="1">
      <c r="B626" s="2"/>
      <c r="C626" s="2"/>
      <c r="D626" s="2"/>
      <c r="E626" s="2"/>
      <c r="L626" s="2"/>
      <c r="M626" s="2"/>
    </row>
    <row r="627" ht="15.75" customHeight="1">
      <c r="B627" s="2"/>
      <c r="C627" s="2"/>
      <c r="D627" s="2"/>
      <c r="E627" s="2"/>
      <c r="L627" s="2"/>
      <c r="M627" s="2"/>
    </row>
    <row r="628" ht="15.75" customHeight="1">
      <c r="B628" s="2"/>
      <c r="C628" s="2"/>
      <c r="D628" s="2"/>
      <c r="E628" s="2"/>
      <c r="L628" s="2"/>
      <c r="M628" s="2"/>
    </row>
    <row r="629" ht="15.75" customHeight="1">
      <c r="B629" s="2"/>
      <c r="C629" s="2"/>
      <c r="D629" s="2"/>
      <c r="E629" s="2"/>
      <c r="L629" s="2"/>
      <c r="M629" s="2"/>
    </row>
    <row r="630" ht="15.75" customHeight="1">
      <c r="B630" s="2"/>
      <c r="C630" s="2"/>
      <c r="D630" s="2"/>
      <c r="E630" s="2"/>
      <c r="L630" s="2"/>
      <c r="M630" s="2"/>
    </row>
    <row r="631" ht="15.75" customHeight="1">
      <c r="B631" s="2"/>
      <c r="C631" s="2"/>
      <c r="D631" s="2"/>
      <c r="E631" s="2"/>
      <c r="L631" s="2"/>
      <c r="M631" s="2"/>
    </row>
    <row r="632" ht="15.75" customHeight="1">
      <c r="B632" s="2"/>
      <c r="C632" s="2"/>
      <c r="D632" s="2"/>
      <c r="E632" s="2"/>
      <c r="L632" s="2"/>
      <c r="M632" s="2"/>
    </row>
    <row r="633" ht="15.75" customHeight="1">
      <c r="B633" s="2"/>
      <c r="C633" s="2"/>
      <c r="D633" s="2"/>
      <c r="E633" s="2"/>
      <c r="L633" s="2"/>
      <c r="M633" s="2"/>
    </row>
    <row r="634" ht="15.75" customHeight="1">
      <c r="B634" s="2"/>
      <c r="C634" s="2"/>
      <c r="D634" s="2"/>
      <c r="E634" s="2"/>
      <c r="L634" s="2"/>
      <c r="M634" s="2"/>
    </row>
    <row r="635" ht="15.75" customHeight="1">
      <c r="B635" s="2"/>
      <c r="C635" s="2"/>
      <c r="D635" s="2"/>
      <c r="E635" s="2"/>
      <c r="L635" s="2"/>
      <c r="M635" s="2"/>
    </row>
    <row r="636" ht="15.75" customHeight="1">
      <c r="B636" s="2"/>
      <c r="C636" s="2"/>
      <c r="D636" s="2"/>
      <c r="E636" s="2"/>
      <c r="L636" s="2"/>
      <c r="M636" s="2"/>
    </row>
    <row r="637" ht="15.75" customHeight="1">
      <c r="B637" s="2"/>
      <c r="C637" s="2"/>
      <c r="D637" s="2"/>
      <c r="E637" s="2"/>
      <c r="L637" s="2"/>
      <c r="M637" s="2"/>
    </row>
    <row r="638" ht="15.75" customHeight="1">
      <c r="B638" s="2"/>
      <c r="C638" s="2"/>
      <c r="D638" s="2"/>
      <c r="E638" s="2"/>
      <c r="L638" s="2"/>
      <c r="M638" s="2"/>
    </row>
    <row r="639" ht="15.75" customHeight="1">
      <c r="B639" s="2"/>
      <c r="C639" s="2"/>
      <c r="D639" s="2"/>
      <c r="E639" s="2"/>
      <c r="L639" s="2"/>
      <c r="M639" s="2"/>
    </row>
    <row r="640" ht="15.75" customHeight="1">
      <c r="B640" s="2"/>
      <c r="C640" s="2"/>
      <c r="D640" s="2"/>
      <c r="E640" s="2"/>
      <c r="L640" s="2"/>
      <c r="M640" s="2"/>
    </row>
    <row r="641" ht="15.75" customHeight="1">
      <c r="B641" s="2"/>
      <c r="C641" s="2"/>
      <c r="D641" s="2"/>
      <c r="E641" s="2"/>
      <c r="L641" s="2"/>
      <c r="M641" s="2"/>
    </row>
    <row r="642" ht="15.75" customHeight="1">
      <c r="B642" s="2"/>
      <c r="C642" s="2"/>
      <c r="D642" s="2"/>
      <c r="E642" s="2"/>
      <c r="L642" s="2"/>
      <c r="M642" s="2"/>
    </row>
    <row r="643" ht="15.75" customHeight="1">
      <c r="B643" s="2"/>
      <c r="C643" s="2"/>
      <c r="D643" s="2"/>
      <c r="E643" s="2"/>
      <c r="L643" s="2"/>
      <c r="M643" s="2"/>
    </row>
    <row r="644" ht="15.75" customHeight="1">
      <c r="B644" s="2"/>
      <c r="C644" s="2"/>
      <c r="D644" s="2"/>
      <c r="E644" s="2"/>
      <c r="L644" s="2"/>
      <c r="M644" s="2"/>
    </row>
    <row r="645" ht="15.75" customHeight="1">
      <c r="B645" s="2"/>
      <c r="C645" s="2"/>
      <c r="D645" s="2"/>
      <c r="E645" s="2"/>
      <c r="L645" s="2"/>
      <c r="M645" s="2"/>
    </row>
    <row r="646" ht="15.75" customHeight="1">
      <c r="B646" s="2"/>
      <c r="C646" s="2"/>
      <c r="D646" s="2"/>
      <c r="E646" s="2"/>
      <c r="L646" s="2"/>
      <c r="M646" s="2"/>
    </row>
    <row r="647" ht="15.75" customHeight="1">
      <c r="B647" s="2"/>
      <c r="C647" s="2"/>
      <c r="D647" s="2"/>
      <c r="E647" s="2"/>
      <c r="L647" s="2"/>
      <c r="M647" s="2"/>
    </row>
    <row r="648" ht="15.75" customHeight="1">
      <c r="B648" s="2"/>
      <c r="C648" s="2"/>
      <c r="D648" s="2"/>
      <c r="E648" s="2"/>
      <c r="L648" s="2"/>
      <c r="M648" s="2"/>
    </row>
    <row r="649" ht="15.75" customHeight="1">
      <c r="B649" s="2"/>
      <c r="C649" s="2"/>
      <c r="D649" s="2"/>
      <c r="E649" s="2"/>
      <c r="L649" s="2"/>
      <c r="M649" s="2"/>
    </row>
    <row r="650" ht="15.75" customHeight="1">
      <c r="B650" s="2"/>
      <c r="C650" s="2"/>
      <c r="D650" s="2"/>
      <c r="E650" s="2"/>
      <c r="L650" s="2"/>
      <c r="M650" s="2"/>
    </row>
    <row r="651" ht="15.75" customHeight="1">
      <c r="B651" s="2"/>
      <c r="C651" s="2"/>
      <c r="D651" s="2"/>
      <c r="E651" s="2"/>
      <c r="L651" s="2"/>
      <c r="M651" s="2"/>
    </row>
    <row r="652" ht="15.75" customHeight="1">
      <c r="B652" s="2"/>
      <c r="C652" s="2"/>
      <c r="D652" s="2"/>
      <c r="E652" s="2"/>
      <c r="L652" s="2"/>
      <c r="M652" s="2"/>
    </row>
    <row r="653" ht="15.75" customHeight="1">
      <c r="B653" s="2"/>
      <c r="C653" s="2"/>
      <c r="D653" s="2"/>
      <c r="E653" s="2"/>
      <c r="L653" s="2"/>
      <c r="M653" s="2"/>
    </row>
    <row r="654" ht="15.75" customHeight="1">
      <c r="B654" s="2"/>
      <c r="C654" s="2"/>
      <c r="D654" s="2"/>
      <c r="E654" s="2"/>
      <c r="L654" s="2"/>
      <c r="M654" s="2"/>
    </row>
    <row r="655" ht="15.75" customHeight="1">
      <c r="B655" s="2"/>
      <c r="C655" s="2"/>
      <c r="D655" s="2"/>
      <c r="E655" s="2"/>
      <c r="L655" s="2"/>
      <c r="M655" s="2"/>
    </row>
    <row r="656" ht="15.75" customHeight="1">
      <c r="B656" s="2"/>
      <c r="C656" s="2"/>
      <c r="D656" s="2"/>
      <c r="E656" s="2"/>
      <c r="L656" s="2"/>
      <c r="M656" s="2"/>
    </row>
    <row r="657" ht="15.75" customHeight="1">
      <c r="B657" s="2"/>
      <c r="C657" s="2"/>
      <c r="D657" s="2"/>
      <c r="E657" s="2"/>
      <c r="L657" s="2"/>
      <c r="M657" s="2"/>
    </row>
    <row r="658" ht="15.75" customHeight="1">
      <c r="B658" s="2"/>
      <c r="C658" s="2"/>
      <c r="D658" s="2"/>
      <c r="E658" s="2"/>
      <c r="L658" s="2"/>
      <c r="M658" s="2"/>
    </row>
    <row r="659" ht="15.75" customHeight="1">
      <c r="B659" s="2"/>
      <c r="C659" s="2"/>
      <c r="D659" s="2"/>
      <c r="E659" s="2"/>
      <c r="L659" s="2"/>
      <c r="M659" s="2"/>
    </row>
    <row r="660" ht="15.75" customHeight="1">
      <c r="B660" s="2"/>
      <c r="C660" s="2"/>
      <c r="D660" s="2"/>
      <c r="E660" s="2"/>
      <c r="L660" s="2"/>
      <c r="M660" s="2"/>
    </row>
    <row r="661" ht="15.75" customHeight="1">
      <c r="B661" s="2"/>
      <c r="C661" s="2"/>
      <c r="D661" s="2"/>
      <c r="E661" s="2"/>
      <c r="L661" s="2"/>
      <c r="M661" s="2"/>
    </row>
    <row r="662" ht="15.75" customHeight="1">
      <c r="B662" s="2"/>
      <c r="C662" s="2"/>
      <c r="D662" s="2"/>
      <c r="E662" s="2"/>
      <c r="L662" s="2"/>
      <c r="M662" s="2"/>
    </row>
    <row r="663" ht="15.75" customHeight="1">
      <c r="B663" s="2"/>
      <c r="C663" s="2"/>
      <c r="D663" s="2"/>
      <c r="E663" s="2"/>
      <c r="L663" s="2"/>
      <c r="M663" s="2"/>
    </row>
    <row r="664" ht="15.75" customHeight="1">
      <c r="B664" s="2"/>
      <c r="C664" s="2"/>
      <c r="D664" s="2"/>
      <c r="E664" s="2"/>
      <c r="L664" s="2"/>
      <c r="M664" s="2"/>
    </row>
    <row r="665" ht="15.75" customHeight="1">
      <c r="B665" s="2"/>
      <c r="C665" s="2"/>
      <c r="D665" s="2"/>
      <c r="E665" s="2"/>
      <c r="L665" s="2"/>
      <c r="M665" s="2"/>
    </row>
    <row r="666" ht="15.75" customHeight="1">
      <c r="B666" s="2"/>
      <c r="C666" s="2"/>
      <c r="D666" s="2"/>
      <c r="E666" s="2"/>
      <c r="L666" s="2"/>
      <c r="M666" s="2"/>
    </row>
    <row r="667" ht="15.75" customHeight="1">
      <c r="B667" s="2"/>
      <c r="C667" s="2"/>
      <c r="D667" s="2"/>
      <c r="E667" s="2"/>
      <c r="L667" s="2"/>
      <c r="M667" s="2"/>
    </row>
    <row r="668" ht="15.75" customHeight="1">
      <c r="B668" s="2"/>
      <c r="C668" s="2"/>
      <c r="D668" s="2"/>
      <c r="E668" s="2"/>
      <c r="L668" s="2"/>
      <c r="M668" s="2"/>
    </row>
    <row r="669" ht="15.75" customHeight="1">
      <c r="B669" s="2"/>
      <c r="C669" s="2"/>
      <c r="D669" s="2"/>
      <c r="E669" s="2"/>
      <c r="L669" s="2"/>
      <c r="M669" s="2"/>
    </row>
    <row r="670" ht="15.75" customHeight="1">
      <c r="B670" s="2"/>
      <c r="C670" s="2"/>
      <c r="D670" s="2"/>
      <c r="E670" s="2"/>
      <c r="L670" s="2"/>
      <c r="M670" s="2"/>
    </row>
    <row r="671" ht="15.75" customHeight="1">
      <c r="B671" s="2"/>
      <c r="C671" s="2"/>
      <c r="D671" s="2"/>
      <c r="E671" s="2"/>
      <c r="L671" s="2"/>
      <c r="M671" s="2"/>
    </row>
    <row r="672" ht="15.75" customHeight="1">
      <c r="B672" s="2"/>
      <c r="C672" s="2"/>
      <c r="D672" s="2"/>
      <c r="E672" s="2"/>
      <c r="L672" s="2"/>
      <c r="M672" s="2"/>
    </row>
    <row r="673" ht="15.75" customHeight="1">
      <c r="B673" s="2"/>
      <c r="C673" s="2"/>
      <c r="D673" s="2"/>
      <c r="E673" s="2"/>
      <c r="L673" s="2"/>
      <c r="M673" s="2"/>
    </row>
    <row r="674" ht="15.75" customHeight="1">
      <c r="B674" s="2"/>
      <c r="C674" s="2"/>
      <c r="D674" s="2"/>
      <c r="E674" s="2"/>
      <c r="L674" s="2"/>
      <c r="M674" s="2"/>
    </row>
    <row r="675" ht="15.75" customHeight="1">
      <c r="B675" s="2"/>
      <c r="C675" s="2"/>
      <c r="D675" s="2"/>
      <c r="E675" s="2"/>
      <c r="L675" s="2"/>
      <c r="M675" s="2"/>
    </row>
    <row r="676" ht="15.75" customHeight="1">
      <c r="B676" s="2"/>
      <c r="C676" s="2"/>
      <c r="D676" s="2"/>
      <c r="E676" s="2"/>
      <c r="L676" s="2"/>
      <c r="M676" s="2"/>
    </row>
    <row r="677" ht="15.75" customHeight="1">
      <c r="B677" s="2"/>
      <c r="C677" s="2"/>
      <c r="D677" s="2"/>
      <c r="E677" s="2"/>
      <c r="L677" s="2"/>
      <c r="M677" s="2"/>
    </row>
    <row r="678" ht="15.75" customHeight="1">
      <c r="B678" s="2"/>
      <c r="C678" s="2"/>
      <c r="D678" s="2"/>
      <c r="E678" s="2"/>
      <c r="L678" s="2"/>
      <c r="M678" s="2"/>
    </row>
    <row r="679" ht="15.75" customHeight="1">
      <c r="B679" s="2"/>
      <c r="C679" s="2"/>
      <c r="D679" s="2"/>
      <c r="E679" s="2"/>
      <c r="L679" s="2"/>
      <c r="M679" s="2"/>
    </row>
    <row r="680" ht="15.75" customHeight="1">
      <c r="B680" s="2"/>
      <c r="C680" s="2"/>
      <c r="D680" s="2"/>
      <c r="E680" s="2"/>
      <c r="L680" s="2"/>
      <c r="M680" s="2"/>
    </row>
    <row r="681" ht="15.75" customHeight="1">
      <c r="B681" s="2"/>
      <c r="C681" s="2"/>
      <c r="D681" s="2"/>
      <c r="E681" s="2"/>
      <c r="L681" s="2"/>
      <c r="M681" s="2"/>
    </row>
    <row r="682" ht="15.75" customHeight="1">
      <c r="B682" s="2"/>
      <c r="C682" s="2"/>
      <c r="D682" s="2"/>
      <c r="E682" s="2"/>
      <c r="L682" s="2"/>
      <c r="M682" s="2"/>
    </row>
    <row r="683" ht="15.75" customHeight="1">
      <c r="B683" s="2"/>
      <c r="C683" s="2"/>
      <c r="D683" s="2"/>
      <c r="E683" s="2"/>
      <c r="L683" s="2"/>
      <c r="M683" s="2"/>
    </row>
    <row r="684" ht="15.75" customHeight="1">
      <c r="B684" s="2"/>
      <c r="C684" s="2"/>
      <c r="D684" s="2"/>
      <c r="E684" s="2"/>
      <c r="L684" s="2"/>
      <c r="M684" s="2"/>
    </row>
    <row r="685" ht="15.75" customHeight="1">
      <c r="B685" s="2"/>
      <c r="C685" s="2"/>
      <c r="D685" s="2"/>
      <c r="E685" s="2"/>
      <c r="L685" s="2"/>
      <c r="M685" s="2"/>
    </row>
    <row r="686" ht="15.75" customHeight="1">
      <c r="B686" s="2"/>
      <c r="C686" s="2"/>
      <c r="D686" s="2"/>
      <c r="E686" s="2"/>
      <c r="L686" s="2"/>
      <c r="M686" s="2"/>
    </row>
    <row r="687" ht="15.75" customHeight="1">
      <c r="B687" s="2"/>
      <c r="C687" s="2"/>
      <c r="D687" s="2"/>
      <c r="E687" s="2"/>
      <c r="L687" s="2"/>
      <c r="M687" s="2"/>
    </row>
    <row r="688" ht="15.75" customHeight="1">
      <c r="B688" s="2"/>
      <c r="C688" s="2"/>
      <c r="D688" s="2"/>
      <c r="E688" s="2"/>
      <c r="L688" s="2"/>
      <c r="M688" s="2"/>
    </row>
    <row r="689" ht="15.75" customHeight="1">
      <c r="B689" s="2"/>
      <c r="C689" s="2"/>
      <c r="D689" s="2"/>
      <c r="E689" s="2"/>
      <c r="L689" s="2"/>
      <c r="M689" s="2"/>
    </row>
    <row r="690" ht="15.75" customHeight="1">
      <c r="B690" s="2"/>
      <c r="C690" s="2"/>
      <c r="D690" s="2"/>
      <c r="E690" s="2"/>
      <c r="L690" s="2"/>
      <c r="M690" s="2"/>
    </row>
    <row r="691" ht="15.75" customHeight="1">
      <c r="B691" s="2"/>
      <c r="C691" s="2"/>
      <c r="D691" s="2"/>
      <c r="E691" s="2"/>
      <c r="L691" s="2"/>
      <c r="M691" s="2"/>
    </row>
    <row r="692" ht="15.75" customHeight="1">
      <c r="B692" s="2"/>
      <c r="C692" s="2"/>
      <c r="D692" s="2"/>
      <c r="E692" s="2"/>
      <c r="L692" s="2"/>
      <c r="M692" s="2"/>
    </row>
    <row r="693" ht="15.75" customHeight="1">
      <c r="B693" s="2"/>
      <c r="C693" s="2"/>
      <c r="D693" s="2"/>
      <c r="E693" s="2"/>
      <c r="L693" s="2"/>
      <c r="M693" s="2"/>
    </row>
    <row r="694" ht="15.75" customHeight="1">
      <c r="B694" s="2"/>
      <c r="C694" s="2"/>
      <c r="D694" s="2"/>
      <c r="E694" s="2"/>
      <c r="L694" s="2"/>
      <c r="M694" s="2"/>
    </row>
    <row r="695" ht="15.75" customHeight="1">
      <c r="B695" s="2"/>
      <c r="C695" s="2"/>
      <c r="D695" s="2"/>
      <c r="E695" s="2"/>
      <c r="L695" s="2"/>
      <c r="M695" s="2"/>
    </row>
    <row r="696" ht="15.75" customHeight="1">
      <c r="B696" s="2"/>
      <c r="C696" s="2"/>
      <c r="D696" s="2"/>
      <c r="E696" s="2"/>
      <c r="L696" s="2"/>
      <c r="M696" s="2"/>
    </row>
    <row r="697" ht="15.75" customHeight="1">
      <c r="B697" s="2"/>
      <c r="C697" s="2"/>
      <c r="D697" s="2"/>
      <c r="E697" s="2"/>
      <c r="L697" s="2"/>
      <c r="M697" s="2"/>
    </row>
    <row r="698" ht="15.75" customHeight="1">
      <c r="B698" s="2"/>
      <c r="C698" s="2"/>
      <c r="D698" s="2"/>
      <c r="E698" s="2"/>
      <c r="L698" s="2"/>
      <c r="M698" s="2"/>
    </row>
    <row r="699" ht="15.75" customHeight="1">
      <c r="B699" s="2"/>
      <c r="C699" s="2"/>
      <c r="D699" s="2"/>
      <c r="E699" s="2"/>
      <c r="L699" s="2"/>
      <c r="M699" s="2"/>
    </row>
    <row r="700" ht="15.75" customHeight="1">
      <c r="B700" s="2"/>
      <c r="C700" s="2"/>
      <c r="D700" s="2"/>
      <c r="E700" s="2"/>
      <c r="L700" s="2"/>
      <c r="M700" s="2"/>
    </row>
    <row r="701" ht="15.75" customHeight="1">
      <c r="B701" s="2"/>
      <c r="C701" s="2"/>
      <c r="D701" s="2"/>
      <c r="E701" s="2"/>
      <c r="L701" s="2"/>
      <c r="M701" s="2"/>
    </row>
    <row r="702" ht="15.75" customHeight="1">
      <c r="B702" s="2"/>
      <c r="C702" s="2"/>
      <c r="D702" s="2"/>
      <c r="E702" s="2"/>
      <c r="L702" s="2"/>
      <c r="M702" s="2"/>
    </row>
    <row r="703" ht="15.75" customHeight="1">
      <c r="B703" s="2"/>
      <c r="C703" s="2"/>
      <c r="D703" s="2"/>
      <c r="E703" s="2"/>
      <c r="L703" s="2"/>
      <c r="M703" s="2"/>
    </row>
    <row r="704" ht="15.75" customHeight="1">
      <c r="B704" s="2"/>
      <c r="C704" s="2"/>
      <c r="D704" s="2"/>
      <c r="E704" s="2"/>
      <c r="L704" s="2"/>
      <c r="M704" s="2"/>
    </row>
    <row r="705" ht="15.75" customHeight="1">
      <c r="B705" s="2"/>
      <c r="C705" s="2"/>
      <c r="D705" s="2"/>
      <c r="E705" s="2"/>
      <c r="L705" s="2"/>
      <c r="M705" s="2"/>
    </row>
    <row r="706" ht="15.75" customHeight="1">
      <c r="B706" s="2"/>
      <c r="C706" s="2"/>
      <c r="D706" s="2"/>
      <c r="E706" s="2"/>
      <c r="L706" s="2"/>
      <c r="M706" s="2"/>
    </row>
    <row r="707" ht="15.75" customHeight="1">
      <c r="B707" s="2"/>
      <c r="C707" s="2"/>
      <c r="D707" s="2"/>
      <c r="E707" s="2"/>
      <c r="L707" s="2"/>
      <c r="M707" s="2"/>
    </row>
    <row r="708" ht="15.75" customHeight="1">
      <c r="B708" s="2"/>
      <c r="C708" s="2"/>
      <c r="D708" s="2"/>
      <c r="E708" s="2"/>
      <c r="L708" s="2"/>
      <c r="M708" s="2"/>
    </row>
    <row r="709" ht="15.75" customHeight="1">
      <c r="B709" s="2"/>
      <c r="C709" s="2"/>
      <c r="D709" s="2"/>
      <c r="E709" s="2"/>
      <c r="L709" s="2"/>
      <c r="M709" s="2"/>
    </row>
    <row r="710" ht="15.75" customHeight="1">
      <c r="B710" s="2"/>
      <c r="C710" s="2"/>
      <c r="D710" s="2"/>
      <c r="E710" s="2"/>
      <c r="L710" s="2"/>
      <c r="M710" s="2"/>
    </row>
    <row r="711" ht="15.75" customHeight="1">
      <c r="B711" s="2"/>
      <c r="C711" s="2"/>
      <c r="D711" s="2"/>
      <c r="E711" s="2"/>
      <c r="L711" s="2"/>
      <c r="M711" s="2"/>
    </row>
    <row r="712" ht="15.75" customHeight="1">
      <c r="B712" s="2"/>
      <c r="C712" s="2"/>
      <c r="D712" s="2"/>
      <c r="E712" s="2"/>
      <c r="L712" s="2"/>
      <c r="M712" s="2"/>
    </row>
    <row r="713" ht="15.75" customHeight="1">
      <c r="B713" s="2"/>
      <c r="C713" s="2"/>
      <c r="D713" s="2"/>
      <c r="E713" s="2"/>
      <c r="L713" s="2"/>
      <c r="M713" s="2"/>
    </row>
    <row r="714" ht="15.75" customHeight="1">
      <c r="B714" s="2"/>
      <c r="C714" s="2"/>
      <c r="D714" s="2"/>
      <c r="E714" s="2"/>
      <c r="L714" s="2"/>
      <c r="M714" s="2"/>
    </row>
    <row r="715" ht="15.75" customHeight="1">
      <c r="B715" s="2"/>
      <c r="C715" s="2"/>
      <c r="D715" s="2"/>
      <c r="E715" s="2"/>
      <c r="L715" s="2"/>
      <c r="M715" s="2"/>
    </row>
    <row r="716" ht="15.75" customHeight="1">
      <c r="B716" s="2"/>
      <c r="C716" s="2"/>
      <c r="D716" s="2"/>
      <c r="E716" s="2"/>
      <c r="L716" s="2"/>
      <c r="M716" s="2"/>
    </row>
    <row r="717" ht="15.75" customHeight="1">
      <c r="B717" s="2"/>
      <c r="C717" s="2"/>
      <c r="D717" s="2"/>
      <c r="E717" s="2"/>
      <c r="L717" s="2"/>
      <c r="M717" s="2"/>
    </row>
    <row r="718" ht="15.75" customHeight="1">
      <c r="B718" s="2"/>
      <c r="C718" s="2"/>
      <c r="D718" s="2"/>
      <c r="E718" s="2"/>
      <c r="L718" s="2"/>
      <c r="M718" s="2"/>
    </row>
    <row r="719" ht="15.75" customHeight="1">
      <c r="B719" s="2"/>
      <c r="C719" s="2"/>
      <c r="D719" s="2"/>
      <c r="E719" s="2"/>
      <c r="L719" s="2"/>
      <c r="M719" s="2"/>
    </row>
    <row r="720" ht="15.75" customHeight="1">
      <c r="B720" s="2"/>
      <c r="C720" s="2"/>
      <c r="D720" s="2"/>
      <c r="E720" s="2"/>
      <c r="L720" s="2"/>
      <c r="M720" s="2"/>
    </row>
    <row r="721" ht="15.75" customHeight="1">
      <c r="B721" s="2"/>
      <c r="C721" s="2"/>
      <c r="D721" s="2"/>
      <c r="E721" s="2"/>
      <c r="L721" s="2"/>
      <c r="M721" s="2"/>
    </row>
    <row r="722" ht="15.75" customHeight="1">
      <c r="B722" s="2"/>
      <c r="C722" s="2"/>
      <c r="D722" s="2"/>
      <c r="E722" s="2"/>
      <c r="L722" s="2"/>
      <c r="M722" s="2"/>
    </row>
    <row r="723" ht="15.75" customHeight="1">
      <c r="B723" s="2"/>
      <c r="C723" s="2"/>
      <c r="D723" s="2"/>
      <c r="E723" s="2"/>
      <c r="L723" s="2"/>
      <c r="M723" s="2"/>
    </row>
    <row r="724" ht="15.75" customHeight="1">
      <c r="B724" s="2"/>
      <c r="C724" s="2"/>
      <c r="D724" s="2"/>
      <c r="E724" s="2"/>
      <c r="L724" s="2"/>
      <c r="M724" s="2"/>
    </row>
    <row r="725" ht="15.75" customHeight="1">
      <c r="B725" s="2"/>
      <c r="C725" s="2"/>
      <c r="D725" s="2"/>
      <c r="E725" s="2"/>
      <c r="L725" s="2"/>
      <c r="M725" s="2"/>
    </row>
    <row r="726" ht="15.75" customHeight="1">
      <c r="B726" s="2"/>
      <c r="C726" s="2"/>
      <c r="D726" s="2"/>
      <c r="E726" s="2"/>
      <c r="L726" s="2"/>
      <c r="M726" s="2"/>
    </row>
    <row r="727" ht="15.75" customHeight="1">
      <c r="B727" s="2"/>
      <c r="C727" s="2"/>
      <c r="D727" s="2"/>
      <c r="E727" s="2"/>
      <c r="L727" s="2"/>
      <c r="M727" s="2"/>
    </row>
    <row r="728" ht="15.75" customHeight="1">
      <c r="B728" s="2"/>
      <c r="C728" s="2"/>
      <c r="D728" s="2"/>
      <c r="E728" s="2"/>
      <c r="L728" s="2"/>
      <c r="M728" s="2"/>
    </row>
    <row r="729" ht="15.75" customHeight="1">
      <c r="B729" s="2"/>
      <c r="C729" s="2"/>
      <c r="D729" s="2"/>
      <c r="E729" s="2"/>
      <c r="L729" s="2"/>
      <c r="M729" s="2"/>
    </row>
    <row r="730" ht="15.75" customHeight="1">
      <c r="B730" s="2"/>
      <c r="C730" s="2"/>
      <c r="D730" s="2"/>
      <c r="E730" s="2"/>
      <c r="L730" s="2"/>
      <c r="M730" s="2"/>
    </row>
    <row r="731" ht="15.75" customHeight="1">
      <c r="B731" s="2"/>
      <c r="C731" s="2"/>
      <c r="D731" s="2"/>
      <c r="E731" s="2"/>
      <c r="L731" s="2"/>
      <c r="M731" s="2"/>
    </row>
    <row r="732" ht="15.75" customHeight="1">
      <c r="B732" s="2"/>
      <c r="C732" s="2"/>
      <c r="D732" s="2"/>
      <c r="E732" s="2"/>
      <c r="L732" s="2"/>
      <c r="M732" s="2"/>
    </row>
    <row r="733" ht="15.75" customHeight="1">
      <c r="B733" s="2"/>
      <c r="C733" s="2"/>
      <c r="D733" s="2"/>
      <c r="E733" s="2"/>
      <c r="L733" s="2"/>
      <c r="M733" s="2"/>
    </row>
    <row r="734" ht="15.75" customHeight="1">
      <c r="B734" s="2"/>
      <c r="C734" s="2"/>
      <c r="D734" s="2"/>
      <c r="E734" s="2"/>
      <c r="L734" s="2"/>
      <c r="M734" s="2"/>
    </row>
    <row r="735" ht="15.75" customHeight="1">
      <c r="B735" s="2"/>
      <c r="C735" s="2"/>
      <c r="D735" s="2"/>
      <c r="E735" s="2"/>
      <c r="L735" s="2"/>
      <c r="M735" s="2"/>
    </row>
    <row r="736" ht="15.75" customHeight="1">
      <c r="B736" s="2"/>
      <c r="C736" s="2"/>
      <c r="D736" s="2"/>
      <c r="E736" s="2"/>
      <c r="L736" s="2"/>
      <c r="M736" s="2"/>
    </row>
    <row r="737" ht="15.75" customHeight="1">
      <c r="B737" s="2"/>
      <c r="C737" s="2"/>
      <c r="D737" s="2"/>
      <c r="E737" s="2"/>
      <c r="L737" s="2"/>
      <c r="M737" s="2"/>
    </row>
    <row r="738" ht="15.75" customHeight="1">
      <c r="B738" s="2"/>
      <c r="C738" s="2"/>
      <c r="D738" s="2"/>
      <c r="E738" s="2"/>
      <c r="L738" s="2"/>
      <c r="M738" s="2"/>
    </row>
    <row r="739" ht="15.75" customHeight="1">
      <c r="B739" s="2"/>
      <c r="C739" s="2"/>
      <c r="D739" s="2"/>
      <c r="E739" s="2"/>
      <c r="L739" s="2"/>
      <c r="M739" s="2"/>
    </row>
    <row r="740" ht="15.75" customHeight="1">
      <c r="B740" s="2"/>
      <c r="C740" s="2"/>
      <c r="D740" s="2"/>
      <c r="E740" s="2"/>
      <c r="L740" s="2"/>
      <c r="M740" s="2"/>
    </row>
    <row r="741" ht="15.75" customHeight="1">
      <c r="B741" s="2"/>
      <c r="C741" s="2"/>
      <c r="D741" s="2"/>
      <c r="E741" s="2"/>
      <c r="L741" s="2"/>
      <c r="M741" s="2"/>
    </row>
    <row r="742" ht="15.75" customHeight="1">
      <c r="B742" s="2"/>
      <c r="C742" s="2"/>
      <c r="D742" s="2"/>
      <c r="E742" s="2"/>
      <c r="L742" s="2"/>
      <c r="M742" s="2"/>
    </row>
    <row r="743" ht="15.75" customHeight="1">
      <c r="B743" s="2"/>
      <c r="C743" s="2"/>
      <c r="D743" s="2"/>
      <c r="E743" s="2"/>
      <c r="L743" s="2"/>
      <c r="M743" s="2"/>
    </row>
    <row r="744" ht="15.75" customHeight="1">
      <c r="B744" s="2"/>
      <c r="C744" s="2"/>
      <c r="D744" s="2"/>
      <c r="E744" s="2"/>
      <c r="L744" s="2"/>
      <c r="M744" s="2"/>
    </row>
    <row r="745" ht="15.75" customHeight="1">
      <c r="B745" s="2"/>
      <c r="C745" s="2"/>
      <c r="D745" s="2"/>
      <c r="E745" s="2"/>
      <c r="L745" s="2"/>
      <c r="M745" s="2"/>
    </row>
    <row r="746" ht="15.75" customHeight="1">
      <c r="B746" s="2"/>
      <c r="C746" s="2"/>
      <c r="D746" s="2"/>
      <c r="E746" s="2"/>
      <c r="L746" s="2"/>
      <c r="M746" s="2"/>
    </row>
    <row r="747" ht="15.75" customHeight="1">
      <c r="B747" s="2"/>
      <c r="C747" s="2"/>
      <c r="D747" s="2"/>
      <c r="E747" s="2"/>
      <c r="L747" s="2"/>
      <c r="M747" s="2"/>
    </row>
    <row r="748" ht="15.75" customHeight="1">
      <c r="B748" s="2"/>
      <c r="C748" s="2"/>
      <c r="D748" s="2"/>
      <c r="E748" s="2"/>
      <c r="L748" s="2"/>
      <c r="M748" s="2"/>
    </row>
    <row r="749" ht="15.75" customHeight="1">
      <c r="B749" s="2"/>
      <c r="C749" s="2"/>
      <c r="D749" s="2"/>
      <c r="E749" s="2"/>
      <c r="L749" s="2"/>
      <c r="M749" s="2"/>
    </row>
    <row r="750" ht="15.75" customHeight="1">
      <c r="B750" s="2"/>
      <c r="C750" s="2"/>
      <c r="D750" s="2"/>
      <c r="E750" s="2"/>
      <c r="L750" s="2"/>
      <c r="M750" s="2"/>
    </row>
    <row r="751" ht="15.75" customHeight="1">
      <c r="B751" s="2"/>
      <c r="C751" s="2"/>
      <c r="D751" s="2"/>
      <c r="E751" s="2"/>
      <c r="L751" s="2"/>
      <c r="M751" s="2"/>
    </row>
    <row r="752" ht="15.75" customHeight="1">
      <c r="B752" s="2"/>
      <c r="C752" s="2"/>
      <c r="D752" s="2"/>
      <c r="E752" s="2"/>
      <c r="L752" s="2"/>
      <c r="M752" s="2"/>
    </row>
    <row r="753" ht="15.75" customHeight="1">
      <c r="B753" s="2"/>
      <c r="C753" s="2"/>
      <c r="D753" s="2"/>
      <c r="E753" s="2"/>
      <c r="L753" s="2"/>
      <c r="M753" s="2"/>
    </row>
    <row r="754" ht="15.75" customHeight="1">
      <c r="B754" s="2"/>
      <c r="C754" s="2"/>
      <c r="D754" s="2"/>
      <c r="E754" s="2"/>
      <c r="L754" s="2"/>
      <c r="M754" s="2"/>
    </row>
    <row r="755" ht="15.75" customHeight="1">
      <c r="B755" s="2"/>
      <c r="C755" s="2"/>
      <c r="D755" s="2"/>
      <c r="E755" s="2"/>
      <c r="L755" s="2"/>
      <c r="M755" s="2"/>
    </row>
    <row r="756" ht="15.75" customHeight="1">
      <c r="B756" s="2"/>
      <c r="C756" s="2"/>
      <c r="D756" s="2"/>
      <c r="E756" s="2"/>
      <c r="L756" s="2"/>
      <c r="M756" s="2"/>
    </row>
    <row r="757" ht="15.75" customHeight="1">
      <c r="B757" s="2"/>
      <c r="C757" s="2"/>
      <c r="D757" s="2"/>
      <c r="E757" s="2"/>
      <c r="L757" s="2"/>
      <c r="M757" s="2"/>
    </row>
    <row r="758" ht="15.75" customHeight="1">
      <c r="B758" s="2"/>
      <c r="C758" s="2"/>
      <c r="D758" s="2"/>
      <c r="E758" s="2"/>
      <c r="L758" s="2"/>
      <c r="M758" s="2"/>
    </row>
    <row r="759" ht="15.75" customHeight="1">
      <c r="B759" s="2"/>
      <c r="C759" s="2"/>
      <c r="D759" s="2"/>
      <c r="E759" s="2"/>
      <c r="L759" s="2"/>
      <c r="M759" s="2"/>
    </row>
    <row r="760" ht="15.75" customHeight="1">
      <c r="B760" s="2"/>
      <c r="C760" s="2"/>
      <c r="D760" s="2"/>
      <c r="E760" s="2"/>
      <c r="L760" s="2"/>
      <c r="M760" s="2"/>
    </row>
    <row r="761" ht="15.75" customHeight="1">
      <c r="B761" s="2"/>
      <c r="C761" s="2"/>
      <c r="D761" s="2"/>
      <c r="E761" s="2"/>
      <c r="L761" s="2"/>
      <c r="M761" s="2"/>
    </row>
    <row r="762" ht="15.75" customHeight="1">
      <c r="B762" s="2"/>
      <c r="C762" s="2"/>
      <c r="D762" s="2"/>
      <c r="E762" s="2"/>
      <c r="L762" s="2"/>
      <c r="M762" s="2"/>
    </row>
    <row r="763" ht="15.75" customHeight="1">
      <c r="B763" s="2"/>
      <c r="C763" s="2"/>
      <c r="D763" s="2"/>
      <c r="E763" s="2"/>
      <c r="L763" s="2"/>
      <c r="M763" s="2"/>
    </row>
    <row r="764" ht="15.75" customHeight="1">
      <c r="B764" s="2"/>
      <c r="C764" s="2"/>
      <c r="D764" s="2"/>
      <c r="E764" s="2"/>
      <c r="L764" s="2"/>
      <c r="M764" s="2"/>
    </row>
    <row r="765" ht="15.75" customHeight="1">
      <c r="B765" s="2"/>
      <c r="C765" s="2"/>
      <c r="D765" s="2"/>
      <c r="E765" s="2"/>
      <c r="L765" s="2"/>
      <c r="M765" s="2"/>
    </row>
    <row r="766" ht="15.75" customHeight="1">
      <c r="B766" s="2"/>
      <c r="C766" s="2"/>
      <c r="D766" s="2"/>
      <c r="E766" s="2"/>
      <c r="L766" s="2"/>
      <c r="M766" s="2"/>
    </row>
    <row r="767" ht="15.75" customHeight="1">
      <c r="B767" s="2"/>
      <c r="C767" s="2"/>
      <c r="D767" s="2"/>
      <c r="E767" s="2"/>
      <c r="L767" s="2"/>
      <c r="M767" s="2"/>
    </row>
    <row r="768" ht="15.75" customHeight="1">
      <c r="B768" s="2"/>
      <c r="C768" s="2"/>
      <c r="D768" s="2"/>
      <c r="E768" s="2"/>
      <c r="L768" s="2"/>
      <c r="M768" s="2"/>
    </row>
    <row r="769" ht="15.75" customHeight="1">
      <c r="B769" s="2"/>
      <c r="C769" s="2"/>
      <c r="D769" s="2"/>
      <c r="E769" s="2"/>
      <c r="L769" s="2"/>
      <c r="M769" s="2"/>
    </row>
    <row r="770" ht="15.75" customHeight="1">
      <c r="B770" s="2"/>
      <c r="C770" s="2"/>
      <c r="D770" s="2"/>
      <c r="E770" s="2"/>
      <c r="L770" s="2"/>
      <c r="M770" s="2"/>
    </row>
    <row r="771" ht="15.75" customHeight="1">
      <c r="B771" s="2"/>
      <c r="C771" s="2"/>
      <c r="D771" s="2"/>
      <c r="E771" s="2"/>
      <c r="L771" s="2"/>
      <c r="M771" s="2"/>
    </row>
    <row r="772" ht="15.75" customHeight="1">
      <c r="B772" s="2"/>
      <c r="C772" s="2"/>
      <c r="D772" s="2"/>
      <c r="E772" s="2"/>
      <c r="L772" s="2"/>
      <c r="M772" s="2"/>
    </row>
    <row r="773" ht="15.75" customHeight="1">
      <c r="B773" s="2"/>
      <c r="C773" s="2"/>
      <c r="D773" s="2"/>
      <c r="E773" s="2"/>
      <c r="L773" s="2"/>
      <c r="M773" s="2"/>
    </row>
    <row r="774" ht="15.75" customHeight="1">
      <c r="B774" s="2"/>
      <c r="C774" s="2"/>
      <c r="D774" s="2"/>
      <c r="E774" s="2"/>
      <c r="L774" s="2"/>
      <c r="M774" s="2"/>
    </row>
    <row r="775" ht="15.75" customHeight="1">
      <c r="B775" s="2"/>
      <c r="C775" s="2"/>
      <c r="D775" s="2"/>
      <c r="E775" s="2"/>
      <c r="L775" s="2"/>
      <c r="M775" s="2"/>
    </row>
    <row r="776" ht="15.75" customHeight="1">
      <c r="B776" s="2"/>
      <c r="C776" s="2"/>
      <c r="D776" s="2"/>
      <c r="E776" s="2"/>
      <c r="L776" s="2"/>
      <c r="M776" s="2"/>
    </row>
    <row r="777" ht="15.75" customHeight="1">
      <c r="B777" s="2"/>
      <c r="C777" s="2"/>
      <c r="D777" s="2"/>
      <c r="E777" s="2"/>
      <c r="L777" s="2"/>
      <c r="M777" s="2"/>
    </row>
    <row r="778" ht="15.75" customHeight="1">
      <c r="B778" s="2"/>
      <c r="C778" s="2"/>
      <c r="D778" s="2"/>
      <c r="E778" s="2"/>
      <c r="L778" s="2"/>
      <c r="M778" s="2"/>
    </row>
    <row r="779" ht="15.75" customHeight="1">
      <c r="B779" s="2"/>
      <c r="C779" s="2"/>
      <c r="D779" s="2"/>
      <c r="E779" s="2"/>
      <c r="L779" s="2"/>
      <c r="M779" s="2"/>
    </row>
    <row r="780" ht="15.75" customHeight="1">
      <c r="B780" s="2"/>
      <c r="C780" s="2"/>
      <c r="D780" s="2"/>
      <c r="E780" s="2"/>
      <c r="L780" s="2"/>
      <c r="M780" s="2"/>
    </row>
    <row r="781" ht="15.75" customHeight="1">
      <c r="B781" s="2"/>
      <c r="C781" s="2"/>
      <c r="D781" s="2"/>
      <c r="E781" s="2"/>
      <c r="L781" s="2"/>
      <c r="M781" s="2"/>
    </row>
    <row r="782" ht="15.75" customHeight="1">
      <c r="B782" s="2"/>
      <c r="C782" s="2"/>
      <c r="D782" s="2"/>
      <c r="E782" s="2"/>
      <c r="L782" s="2"/>
      <c r="M782" s="2"/>
    </row>
    <row r="783" ht="15.75" customHeight="1">
      <c r="B783" s="2"/>
      <c r="C783" s="2"/>
      <c r="D783" s="2"/>
      <c r="E783" s="2"/>
      <c r="L783" s="2"/>
      <c r="M783" s="2"/>
    </row>
    <row r="784" ht="15.75" customHeight="1">
      <c r="B784" s="2"/>
      <c r="C784" s="2"/>
      <c r="D784" s="2"/>
      <c r="E784" s="2"/>
      <c r="L784" s="2"/>
      <c r="M784" s="2"/>
    </row>
    <row r="785" ht="15.75" customHeight="1">
      <c r="B785" s="2"/>
      <c r="C785" s="2"/>
      <c r="D785" s="2"/>
      <c r="E785" s="2"/>
      <c r="L785" s="2"/>
      <c r="M785" s="2"/>
    </row>
    <row r="786" ht="15.75" customHeight="1">
      <c r="B786" s="2"/>
      <c r="C786" s="2"/>
      <c r="D786" s="2"/>
      <c r="E786" s="2"/>
      <c r="L786" s="2"/>
      <c r="M786" s="2"/>
    </row>
    <row r="787" ht="15.75" customHeight="1">
      <c r="B787" s="2"/>
      <c r="C787" s="2"/>
      <c r="D787" s="2"/>
      <c r="E787" s="2"/>
      <c r="L787" s="2"/>
      <c r="M787" s="2"/>
    </row>
    <row r="788" ht="15.75" customHeight="1">
      <c r="B788" s="2"/>
      <c r="C788" s="2"/>
      <c r="D788" s="2"/>
      <c r="E788" s="2"/>
      <c r="L788" s="2"/>
      <c r="M788" s="2"/>
    </row>
    <row r="789" ht="15.75" customHeight="1">
      <c r="B789" s="2"/>
      <c r="C789" s="2"/>
      <c r="D789" s="2"/>
      <c r="E789" s="2"/>
      <c r="L789" s="2"/>
      <c r="M789" s="2"/>
    </row>
    <row r="790" ht="15.75" customHeight="1">
      <c r="B790" s="2"/>
      <c r="C790" s="2"/>
      <c r="D790" s="2"/>
      <c r="E790" s="2"/>
      <c r="L790" s="2"/>
      <c r="M790" s="2"/>
    </row>
    <row r="791" ht="15.75" customHeight="1">
      <c r="B791" s="2"/>
      <c r="C791" s="2"/>
      <c r="D791" s="2"/>
      <c r="E791" s="2"/>
      <c r="L791" s="2"/>
      <c r="M791" s="2"/>
    </row>
    <row r="792" ht="15.75" customHeight="1">
      <c r="B792" s="2"/>
      <c r="C792" s="2"/>
      <c r="D792" s="2"/>
      <c r="E792" s="2"/>
      <c r="L792" s="2"/>
      <c r="M792" s="2"/>
    </row>
    <row r="793" ht="15.75" customHeight="1">
      <c r="B793" s="2"/>
      <c r="C793" s="2"/>
      <c r="D793" s="2"/>
      <c r="E793" s="2"/>
      <c r="L793" s="2"/>
      <c r="M793" s="2"/>
    </row>
    <row r="794" ht="15.75" customHeight="1">
      <c r="B794" s="2"/>
      <c r="C794" s="2"/>
      <c r="D794" s="2"/>
      <c r="E794" s="2"/>
      <c r="L794" s="2"/>
      <c r="M794" s="2"/>
    </row>
    <row r="795" ht="15.75" customHeight="1">
      <c r="B795" s="2"/>
      <c r="C795" s="2"/>
      <c r="D795" s="2"/>
      <c r="E795" s="2"/>
      <c r="L795" s="2"/>
      <c r="M795" s="2"/>
    </row>
    <row r="796" ht="15.75" customHeight="1">
      <c r="B796" s="2"/>
      <c r="C796" s="2"/>
      <c r="D796" s="2"/>
      <c r="E796" s="2"/>
      <c r="L796" s="2"/>
      <c r="M796" s="2"/>
    </row>
    <row r="797" ht="15.75" customHeight="1">
      <c r="B797" s="2"/>
      <c r="C797" s="2"/>
      <c r="D797" s="2"/>
      <c r="E797" s="2"/>
      <c r="L797" s="2"/>
      <c r="M797" s="2"/>
    </row>
    <row r="798" ht="15.75" customHeight="1">
      <c r="B798" s="2"/>
      <c r="C798" s="2"/>
      <c r="D798" s="2"/>
      <c r="E798" s="2"/>
      <c r="L798" s="2"/>
      <c r="M798" s="2"/>
    </row>
    <row r="799" ht="15.75" customHeight="1">
      <c r="B799" s="2"/>
      <c r="C799" s="2"/>
      <c r="D799" s="2"/>
      <c r="E799" s="2"/>
      <c r="L799" s="2"/>
      <c r="M799" s="2"/>
    </row>
    <row r="800" ht="15.75" customHeight="1">
      <c r="B800" s="2"/>
      <c r="C800" s="2"/>
      <c r="D800" s="2"/>
      <c r="E800" s="2"/>
      <c r="L800" s="2"/>
      <c r="M800" s="2"/>
    </row>
    <row r="801" ht="15.75" customHeight="1">
      <c r="B801" s="2"/>
      <c r="C801" s="2"/>
      <c r="D801" s="2"/>
      <c r="E801" s="2"/>
      <c r="L801" s="2"/>
      <c r="M801" s="2"/>
    </row>
    <row r="802" ht="15.75" customHeight="1">
      <c r="B802" s="2"/>
      <c r="C802" s="2"/>
      <c r="D802" s="2"/>
      <c r="E802" s="2"/>
      <c r="L802" s="2"/>
      <c r="M802" s="2"/>
    </row>
    <row r="803" ht="15.75" customHeight="1">
      <c r="B803" s="2"/>
      <c r="C803" s="2"/>
      <c r="D803" s="2"/>
      <c r="E803" s="2"/>
      <c r="L803" s="2"/>
      <c r="M803" s="2"/>
    </row>
    <row r="804" ht="15.75" customHeight="1">
      <c r="B804" s="2"/>
      <c r="C804" s="2"/>
      <c r="D804" s="2"/>
      <c r="E804" s="2"/>
      <c r="L804" s="2"/>
      <c r="M804" s="2"/>
    </row>
    <row r="805" ht="15.75" customHeight="1">
      <c r="B805" s="2"/>
      <c r="C805" s="2"/>
      <c r="D805" s="2"/>
      <c r="E805" s="2"/>
      <c r="L805" s="2"/>
      <c r="M805" s="2"/>
    </row>
    <row r="806" ht="15.75" customHeight="1">
      <c r="B806" s="2"/>
      <c r="C806" s="2"/>
      <c r="D806" s="2"/>
      <c r="E806" s="2"/>
      <c r="L806" s="2"/>
      <c r="M806" s="2"/>
    </row>
    <row r="807" ht="15.75" customHeight="1">
      <c r="B807" s="2"/>
      <c r="C807" s="2"/>
      <c r="D807" s="2"/>
      <c r="E807" s="2"/>
      <c r="L807" s="2"/>
      <c r="M807" s="2"/>
    </row>
    <row r="808" ht="15.75" customHeight="1">
      <c r="B808" s="2"/>
      <c r="C808" s="2"/>
      <c r="D808" s="2"/>
      <c r="E808" s="2"/>
      <c r="L808" s="2"/>
      <c r="M808" s="2"/>
    </row>
    <row r="809" ht="15.75" customHeight="1">
      <c r="B809" s="2"/>
      <c r="C809" s="2"/>
      <c r="D809" s="2"/>
      <c r="E809" s="2"/>
      <c r="L809" s="2"/>
      <c r="M809" s="2"/>
    </row>
    <row r="810" ht="15.75" customHeight="1">
      <c r="B810" s="2"/>
      <c r="C810" s="2"/>
      <c r="D810" s="2"/>
      <c r="E810" s="2"/>
      <c r="L810" s="2"/>
      <c r="M810" s="2"/>
    </row>
    <row r="811" ht="15.75" customHeight="1">
      <c r="B811" s="2"/>
      <c r="C811" s="2"/>
      <c r="D811" s="2"/>
      <c r="E811" s="2"/>
      <c r="L811" s="2"/>
      <c r="M811" s="2"/>
    </row>
    <row r="812" ht="15.75" customHeight="1">
      <c r="B812" s="2"/>
      <c r="C812" s="2"/>
      <c r="D812" s="2"/>
      <c r="E812" s="2"/>
      <c r="L812" s="2"/>
      <c r="M812" s="2"/>
    </row>
    <row r="813" ht="15.75" customHeight="1">
      <c r="B813" s="2"/>
      <c r="C813" s="2"/>
      <c r="D813" s="2"/>
      <c r="E813" s="2"/>
      <c r="L813" s="2"/>
      <c r="M813" s="2"/>
    </row>
    <row r="814" ht="15.75" customHeight="1">
      <c r="B814" s="2"/>
      <c r="C814" s="2"/>
      <c r="D814" s="2"/>
      <c r="E814" s="2"/>
      <c r="L814" s="2"/>
      <c r="M814" s="2"/>
    </row>
    <row r="815" ht="15.75" customHeight="1">
      <c r="B815" s="2"/>
      <c r="C815" s="2"/>
      <c r="D815" s="2"/>
      <c r="E815" s="2"/>
      <c r="L815" s="2"/>
      <c r="M815" s="2"/>
    </row>
    <row r="816" ht="15.75" customHeight="1">
      <c r="B816" s="2"/>
      <c r="C816" s="2"/>
      <c r="D816" s="2"/>
      <c r="E816" s="2"/>
      <c r="L816" s="2"/>
      <c r="M816" s="2"/>
    </row>
    <row r="817" ht="15.75" customHeight="1">
      <c r="B817" s="2"/>
      <c r="C817" s="2"/>
      <c r="D817" s="2"/>
      <c r="E817" s="2"/>
      <c r="L817" s="2"/>
      <c r="M817" s="2"/>
    </row>
    <row r="818" ht="15.75" customHeight="1">
      <c r="B818" s="2"/>
      <c r="C818" s="2"/>
      <c r="D818" s="2"/>
      <c r="E818" s="2"/>
      <c r="L818" s="2"/>
      <c r="M818" s="2"/>
    </row>
    <row r="819" ht="15.75" customHeight="1">
      <c r="B819" s="2"/>
      <c r="C819" s="2"/>
      <c r="D819" s="2"/>
      <c r="E819" s="2"/>
      <c r="L819" s="2"/>
      <c r="M819" s="2"/>
    </row>
    <row r="820" ht="15.75" customHeight="1">
      <c r="B820" s="2"/>
      <c r="C820" s="2"/>
      <c r="D820" s="2"/>
      <c r="E820" s="2"/>
      <c r="L820" s="2"/>
      <c r="M820" s="2"/>
    </row>
    <row r="821" ht="15.75" customHeight="1">
      <c r="B821" s="2"/>
      <c r="C821" s="2"/>
      <c r="D821" s="2"/>
      <c r="E821" s="2"/>
      <c r="L821" s="2"/>
      <c r="M821" s="2"/>
    </row>
    <row r="822" ht="15.75" customHeight="1">
      <c r="B822" s="2"/>
      <c r="C822" s="2"/>
      <c r="D822" s="2"/>
      <c r="E822" s="2"/>
      <c r="L822" s="2"/>
      <c r="M822" s="2"/>
    </row>
    <row r="823" ht="15.75" customHeight="1">
      <c r="B823" s="2"/>
      <c r="C823" s="2"/>
      <c r="D823" s="2"/>
      <c r="E823" s="2"/>
      <c r="L823" s="2"/>
      <c r="M823" s="2"/>
    </row>
    <row r="824" ht="15.75" customHeight="1">
      <c r="B824" s="2"/>
      <c r="C824" s="2"/>
      <c r="D824" s="2"/>
      <c r="E824" s="2"/>
      <c r="L824" s="2"/>
      <c r="M824" s="2"/>
    </row>
    <row r="825" ht="15.75" customHeight="1">
      <c r="B825" s="2"/>
      <c r="C825" s="2"/>
      <c r="D825" s="2"/>
      <c r="E825" s="2"/>
      <c r="L825" s="2"/>
      <c r="M825" s="2"/>
    </row>
    <row r="826" ht="15.75" customHeight="1">
      <c r="B826" s="2"/>
      <c r="C826" s="2"/>
      <c r="D826" s="2"/>
      <c r="E826" s="2"/>
      <c r="L826" s="2"/>
      <c r="M826" s="2"/>
    </row>
    <row r="827" ht="15.75" customHeight="1">
      <c r="B827" s="2"/>
      <c r="C827" s="2"/>
      <c r="D827" s="2"/>
      <c r="E827" s="2"/>
      <c r="L827" s="2"/>
      <c r="M827" s="2"/>
    </row>
    <row r="828" ht="15.75" customHeight="1">
      <c r="B828" s="2"/>
      <c r="C828" s="2"/>
      <c r="D828" s="2"/>
      <c r="E828" s="2"/>
      <c r="L828" s="2"/>
      <c r="M828" s="2"/>
    </row>
    <row r="829" ht="15.75" customHeight="1">
      <c r="B829" s="2"/>
      <c r="C829" s="2"/>
      <c r="D829" s="2"/>
      <c r="E829" s="2"/>
      <c r="L829" s="2"/>
      <c r="M829" s="2"/>
    </row>
    <row r="830" ht="15.75" customHeight="1">
      <c r="B830" s="2"/>
      <c r="C830" s="2"/>
      <c r="D830" s="2"/>
      <c r="E830" s="2"/>
      <c r="L830" s="2"/>
      <c r="M830" s="2"/>
    </row>
    <row r="831" ht="15.75" customHeight="1">
      <c r="B831" s="2"/>
      <c r="C831" s="2"/>
      <c r="D831" s="2"/>
      <c r="E831" s="2"/>
      <c r="L831" s="2"/>
      <c r="M831" s="2"/>
    </row>
    <row r="832" ht="15.75" customHeight="1">
      <c r="B832" s="2"/>
      <c r="C832" s="2"/>
      <c r="D832" s="2"/>
      <c r="E832" s="2"/>
      <c r="L832" s="2"/>
      <c r="M832" s="2"/>
    </row>
    <row r="833" ht="15.75" customHeight="1">
      <c r="B833" s="2"/>
      <c r="C833" s="2"/>
      <c r="D833" s="2"/>
      <c r="E833" s="2"/>
      <c r="L833" s="2"/>
      <c r="M833" s="2"/>
    </row>
    <row r="834" ht="15.75" customHeight="1">
      <c r="B834" s="2"/>
      <c r="C834" s="2"/>
      <c r="D834" s="2"/>
      <c r="E834" s="2"/>
      <c r="L834" s="2"/>
      <c r="M834" s="2"/>
    </row>
    <row r="835" ht="15.75" customHeight="1">
      <c r="B835" s="2"/>
      <c r="C835" s="2"/>
      <c r="D835" s="2"/>
      <c r="E835" s="2"/>
      <c r="L835" s="2"/>
      <c r="M835" s="2"/>
    </row>
    <row r="836" ht="15.75" customHeight="1">
      <c r="B836" s="2"/>
      <c r="C836" s="2"/>
      <c r="D836" s="2"/>
      <c r="E836" s="2"/>
      <c r="L836" s="2"/>
      <c r="M836" s="2"/>
    </row>
    <row r="837" ht="15.75" customHeight="1">
      <c r="B837" s="2"/>
      <c r="C837" s="2"/>
      <c r="D837" s="2"/>
      <c r="E837" s="2"/>
      <c r="L837" s="2"/>
      <c r="M837" s="2"/>
    </row>
    <row r="838" ht="15.75" customHeight="1">
      <c r="B838" s="2"/>
      <c r="C838" s="2"/>
      <c r="D838" s="2"/>
      <c r="E838" s="2"/>
      <c r="L838" s="2"/>
      <c r="M838" s="2"/>
    </row>
    <row r="839" ht="15.75" customHeight="1">
      <c r="B839" s="2"/>
      <c r="C839" s="2"/>
      <c r="D839" s="2"/>
      <c r="E839" s="2"/>
      <c r="L839" s="2"/>
      <c r="M839" s="2"/>
    </row>
    <row r="840" ht="15.75" customHeight="1">
      <c r="B840" s="2"/>
      <c r="C840" s="2"/>
      <c r="D840" s="2"/>
      <c r="E840" s="2"/>
      <c r="L840" s="2"/>
      <c r="M840" s="2"/>
    </row>
    <row r="841" ht="15.75" customHeight="1">
      <c r="B841" s="2"/>
      <c r="C841" s="2"/>
      <c r="D841" s="2"/>
      <c r="E841" s="2"/>
      <c r="L841" s="2"/>
      <c r="M841" s="2"/>
    </row>
    <row r="842" ht="15.75" customHeight="1">
      <c r="B842" s="2"/>
      <c r="C842" s="2"/>
      <c r="D842" s="2"/>
      <c r="E842" s="2"/>
      <c r="L842" s="2"/>
      <c r="M842" s="2"/>
    </row>
    <row r="843" ht="15.75" customHeight="1">
      <c r="B843" s="2"/>
      <c r="C843" s="2"/>
      <c r="D843" s="2"/>
      <c r="E843" s="2"/>
      <c r="L843" s="2"/>
      <c r="M843" s="2"/>
    </row>
    <row r="844" ht="15.75" customHeight="1">
      <c r="B844" s="2"/>
      <c r="C844" s="2"/>
      <c r="D844" s="2"/>
      <c r="E844" s="2"/>
      <c r="L844" s="2"/>
      <c r="M844" s="2"/>
    </row>
    <row r="845" ht="15.75" customHeight="1">
      <c r="B845" s="2"/>
      <c r="C845" s="2"/>
      <c r="D845" s="2"/>
      <c r="E845" s="2"/>
      <c r="L845" s="2"/>
      <c r="M845" s="2"/>
    </row>
    <row r="846" ht="15.75" customHeight="1">
      <c r="B846" s="2"/>
      <c r="C846" s="2"/>
      <c r="D846" s="2"/>
      <c r="E846" s="2"/>
      <c r="L846" s="2"/>
      <c r="M846" s="2"/>
    </row>
    <row r="847" ht="15.75" customHeight="1">
      <c r="B847" s="2"/>
      <c r="C847" s="2"/>
      <c r="D847" s="2"/>
      <c r="E847" s="2"/>
      <c r="L847" s="2"/>
      <c r="M847" s="2"/>
    </row>
    <row r="848" ht="15.75" customHeight="1">
      <c r="B848" s="2"/>
      <c r="C848" s="2"/>
      <c r="D848" s="2"/>
      <c r="E848" s="2"/>
      <c r="L848" s="2"/>
      <c r="M848" s="2"/>
    </row>
    <row r="849" ht="15.75" customHeight="1">
      <c r="B849" s="2"/>
      <c r="C849" s="2"/>
      <c r="D849" s="2"/>
      <c r="E849" s="2"/>
      <c r="L849" s="2"/>
      <c r="M849" s="2"/>
    </row>
    <row r="850" ht="15.75" customHeight="1">
      <c r="B850" s="2"/>
      <c r="C850" s="2"/>
      <c r="D850" s="2"/>
      <c r="E850" s="2"/>
      <c r="L850" s="2"/>
      <c r="M850" s="2"/>
    </row>
    <row r="851" ht="15.75" customHeight="1">
      <c r="B851" s="2"/>
      <c r="C851" s="2"/>
      <c r="D851" s="2"/>
      <c r="E851" s="2"/>
      <c r="L851" s="2"/>
      <c r="M851" s="2"/>
    </row>
    <row r="852" ht="15.75" customHeight="1">
      <c r="B852" s="2"/>
      <c r="C852" s="2"/>
      <c r="D852" s="2"/>
      <c r="E852" s="2"/>
      <c r="L852" s="2"/>
      <c r="M852" s="2"/>
    </row>
    <row r="853" ht="15.75" customHeight="1">
      <c r="B853" s="2"/>
      <c r="C853" s="2"/>
      <c r="D853" s="2"/>
      <c r="E853" s="2"/>
      <c r="L853" s="2"/>
      <c r="M853" s="2"/>
    </row>
    <row r="854" ht="15.75" customHeight="1">
      <c r="B854" s="2"/>
      <c r="C854" s="2"/>
      <c r="D854" s="2"/>
      <c r="E854" s="2"/>
      <c r="L854" s="2"/>
      <c r="M854" s="2"/>
    </row>
    <row r="855" ht="15.75" customHeight="1">
      <c r="B855" s="2"/>
      <c r="C855" s="2"/>
      <c r="D855" s="2"/>
      <c r="E855" s="2"/>
      <c r="L855" s="2"/>
      <c r="M855" s="2"/>
    </row>
    <row r="856" ht="15.75" customHeight="1">
      <c r="B856" s="2"/>
      <c r="C856" s="2"/>
      <c r="D856" s="2"/>
      <c r="E856" s="2"/>
      <c r="L856" s="2"/>
      <c r="M856" s="2"/>
    </row>
    <row r="857" ht="15.75" customHeight="1">
      <c r="B857" s="2"/>
      <c r="C857" s="2"/>
      <c r="D857" s="2"/>
      <c r="E857" s="2"/>
      <c r="L857" s="2"/>
      <c r="M857" s="2"/>
    </row>
    <row r="858" ht="15.75" customHeight="1">
      <c r="B858" s="2"/>
      <c r="C858" s="2"/>
      <c r="D858" s="2"/>
      <c r="E858" s="2"/>
      <c r="L858" s="2"/>
      <c r="M858" s="2"/>
    </row>
    <row r="859" ht="15.75" customHeight="1">
      <c r="B859" s="2"/>
      <c r="C859" s="2"/>
      <c r="D859" s="2"/>
      <c r="E859" s="2"/>
      <c r="L859" s="2"/>
      <c r="M859" s="2"/>
    </row>
    <row r="860" ht="15.75" customHeight="1">
      <c r="B860" s="2"/>
      <c r="C860" s="2"/>
      <c r="D860" s="2"/>
      <c r="E860" s="2"/>
      <c r="L860" s="2"/>
      <c r="M860" s="2"/>
    </row>
    <row r="861" ht="15.75" customHeight="1">
      <c r="B861" s="2"/>
      <c r="C861" s="2"/>
      <c r="D861" s="2"/>
      <c r="E861" s="2"/>
      <c r="L861" s="2"/>
      <c r="M861" s="2"/>
    </row>
    <row r="862" ht="15.75" customHeight="1">
      <c r="B862" s="2"/>
      <c r="C862" s="2"/>
      <c r="D862" s="2"/>
      <c r="E862" s="2"/>
      <c r="L862" s="2"/>
      <c r="M862" s="2"/>
    </row>
    <row r="863" ht="15.75" customHeight="1">
      <c r="B863" s="2"/>
      <c r="C863" s="2"/>
      <c r="D863" s="2"/>
      <c r="E863" s="2"/>
      <c r="L863" s="2"/>
      <c r="M863" s="2"/>
    </row>
    <row r="864" ht="15.75" customHeight="1">
      <c r="B864" s="2"/>
      <c r="C864" s="2"/>
      <c r="D864" s="2"/>
      <c r="E864" s="2"/>
      <c r="L864" s="2"/>
      <c r="M864" s="2"/>
    </row>
    <row r="865" ht="15.75" customHeight="1">
      <c r="B865" s="2"/>
      <c r="C865" s="2"/>
      <c r="D865" s="2"/>
      <c r="E865" s="2"/>
      <c r="L865" s="2"/>
      <c r="M865" s="2"/>
    </row>
    <row r="866" ht="15.75" customHeight="1">
      <c r="B866" s="2"/>
      <c r="C866" s="2"/>
      <c r="D866" s="2"/>
      <c r="E866" s="2"/>
      <c r="L866" s="2"/>
      <c r="M866" s="2"/>
    </row>
    <row r="867" ht="15.75" customHeight="1">
      <c r="B867" s="2"/>
      <c r="C867" s="2"/>
      <c r="D867" s="2"/>
      <c r="E867" s="2"/>
      <c r="L867" s="2"/>
      <c r="M867" s="2"/>
    </row>
    <row r="868" ht="15.75" customHeight="1">
      <c r="B868" s="2"/>
      <c r="C868" s="2"/>
      <c r="D868" s="2"/>
      <c r="E868" s="2"/>
      <c r="L868" s="2"/>
      <c r="M868" s="2"/>
    </row>
    <row r="869" ht="15.75" customHeight="1">
      <c r="B869" s="2"/>
      <c r="C869" s="2"/>
      <c r="D869" s="2"/>
      <c r="E869" s="2"/>
      <c r="L869" s="2"/>
      <c r="M869" s="2"/>
    </row>
    <row r="870" ht="15.75" customHeight="1">
      <c r="B870" s="2"/>
      <c r="C870" s="2"/>
      <c r="D870" s="2"/>
      <c r="E870" s="2"/>
      <c r="L870" s="2"/>
      <c r="M870" s="2"/>
    </row>
    <row r="871" ht="15.75" customHeight="1">
      <c r="B871" s="2"/>
      <c r="C871" s="2"/>
      <c r="D871" s="2"/>
      <c r="E871" s="2"/>
      <c r="L871" s="2"/>
      <c r="M871" s="2"/>
    </row>
    <row r="872" ht="15.75" customHeight="1">
      <c r="B872" s="2"/>
      <c r="C872" s="2"/>
      <c r="D872" s="2"/>
      <c r="E872" s="2"/>
      <c r="L872" s="2"/>
      <c r="M872" s="2"/>
    </row>
    <row r="873" ht="15.75" customHeight="1">
      <c r="B873" s="2"/>
      <c r="C873" s="2"/>
      <c r="D873" s="2"/>
      <c r="E873" s="2"/>
      <c r="L873" s="2"/>
      <c r="M873" s="2"/>
    </row>
    <row r="874" ht="15.75" customHeight="1">
      <c r="B874" s="2"/>
      <c r="C874" s="2"/>
      <c r="D874" s="2"/>
      <c r="E874" s="2"/>
      <c r="L874" s="2"/>
      <c r="M874" s="2"/>
    </row>
    <row r="875" ht="15.75" customHeight="1">
      <c r="B875" s="2"/>
      <c r="C875" s="2"/>
      <c r="D875" s="2"/>
      <c r="E875" s="2"/>
      <c r="L875" s="2"/>
      <c r="M875" s="2"/>
    </row>
    <row r="876" ht="15.75" customHeight="1">
      <c r="B876" s="2"/>
      <c r="C876" s="2"/>
      <c r="D876" s="2"/>
      <c r="E876" s="2"/>
      <c r="L876" s="2"/>
      <c r="M876" s="2"/>
    </row>
    <row r="877" ht="15.75" customHeight="1">
      <c r="B877" s="2"/>
      <c r="C877" s="2"/>
      <c r="D877" s="2"/>
      <c r="E877" s="2"/>
      <c r="L877" s="2"/>
      <c r="M877" s="2"/>
    </row>
    <row r="878" ht="15.75" customHeight="1">
      <c r="B878" s="2"/>
      <c r="C878" s="2"/>
      <c r="D878" s="2"/>
      <c r="E878" s="2"/>
      <c r="L878" s="2"/>
      <c r="M878" s="2"/>
    </row>
    <row r="879" ht="15.75" customHeight="1">
      <c r="B879" s="2"/>
      <c r="C879" s="2"/>
      <c r="D879" s="2"/>
      <c r="E879" s="2"/>
      <c r="L879" s="2"/>
      <c r="M879" s="2"/>
    </row>
    <row r="880" ht="15.75" customHeight="1">
      <c r="B880" s="2"/>
      <c r="C880" s="2"/>
      <c r="D880" s="2"/>
      <c r="E880" s="2"/>
      <c r="L880" s="2"/>
      <c r="M880" s="2"/>
    </row>
    <row r="881" ht="15.75" customHeight="1">
      <c r="B881" s="2"/>
      <c r="C881" s="2"/>
      <c r="D881" s="2"/>
      <c r="E881" s="2"/>
      <c r="L881" s="2"/>
      <c r="M881" s="2"/>
    </row>
    <row r="882" ht="15.75" customHeight="1">
      <c r="B882" s="2"/>
      <c r="C882" s="2"/>
      <c r="D882" s="2"/>
      <c r="E882" s="2"/>
      <c r="L882" s="2"/>
      <c r="M882" s="2"/>
    </row>
    <row r="883" ht="15.75" customHeight="1">
      <c r="B883" s="2"/>
      <c r="C883" s="2"/>
      <c r="D883" s="2"/>
      <c r="E883" s="2"/>
      <c r="L883" s="2"/>
      <c r="M883" s="2"/>
    </row>
    <row r="884" ht="15.75" customHeight="1">
      <c r="B884" s="2"/>
      <c r="C884" s="2"/>
      <c r="D884" s="2"/>
      <c r="E884" s="2"/>
      <c r="L884" s="2"/>
      <c r="M884" s="2"/>
    </row>
    <row r="885" ht="15.75" customHeight="1">
      <c r="B885" s="2"/>
      <c r="C885" s="2"/>
      <c r="D885" s="2"/>
      <c r="E885" s="2"/>
      <c r="L885" s="2"/>
      <c r="M885" s="2"/>
    </row>
    <row r="886" ht="15.75" customHeight="1">
      <c r="B886" s="2"/>
      <c r="C886" s="2"/>
      <c r="D886" s="2"/>
      <c r="E886" s="2"/>
      <c r="L886" s="2"/>
      <c r="M886" s="2"/>
    </row>
    <row r="887" ht="15.75" customHeight="1">
      <c r="B887" s="2"/>
      <c r="C887" s="2"/>
      <c r="D887" s="2"/>
      <c r="E887" s="2"/>
      <c r="L887" s="2"/>
      <c r="M887" s="2"/>
    </row>
    <row r="888" ht="15.75" customHeight="1">
      <c r="B888" s="2"/>
      <c r="C888" s="2"/>
      <c r="D888" s="2"/>
      <c r="E888" s="2"/>
      <c r="L888" s="2"/>
      <c r="M888" s="2"/>
    </row>
    <row r="889" ht="15.75" customHeight="1">
      <c r="B889" s="2"/>
      <c r="C889" s="2"/>
      <c r="D889" s="2"/>
      <c r="E889" s="2"/>
      <c r="L889" s="2"/>
      <c r="M889" s="2"/>
    </row>
    <row r="890" ht="15.75" customHeight="1">
      <c r="B890" s="2"/>
      <c r="C890" s="2"/>
      <c r="D890" s="2"/>
      <c r="E890" s="2"/>
      <c r="L890" s="2"/>
      <c r="M890" s="2"/>
    </row>
    <row r="891" ht="15.75" customHeight="1">
      <c r="B891" s="2"/>
      <c r="C891" s="2"/>
      <c r="D891" s="2"/>
      <c r="E891" s="2"/>
      <c r="L891" s="2"/>
      <c r="M891" s="2"/>
    </row>
    <row r="892" ht="15.75" customHeight="1">
      <c r="B892" s="2"/>
      <c r="C892" s="2"/>
      <c r="D892" s="2"/>
      <c r="E892" s="2"/>
      <c r="L892" s="2"/>
      <c r="M892" s="2"/>
    </row>
    <row r="893" ht="15.75" customHeight="1">
      <c r="B893" s="2"/>
      <c r="C893" s="2"/>
      <c r="D893" s="2"/>
      <c r="E893" s="2"/>
      <c r="L893" s="2"/>
      <c r="M893" s="2"/>
    </row>
    <row r="894" ht="15.75" customHeight="1">
      <c r="B894" s="2"/>
      <c r="C894" s="2"/>
      <c r="D894" s="2"/>
      <c r="E894" s="2"/>
      <c r="L894" s="2"/>
      <c r="M894" s="2"/>
    </row>
    <row r="895" ht="15.75" customHeight="1">
      <c r="B895" s="2"/>
      <c r="C895" s="2"/>
      <c r="D895" s="2"/>
      <c r="E895" s="2"/>
      <c r="L895" s="2"/>
      <c r="M895" s="2"/>
    </row>
    <row r="896" ht="15.75" customHeight="1">
      <c r="B896" s="2"/>
      <c r="C896" s="2"/>
      <c r="D896" s="2"/>
      <c r="E896" s="2"/>
      <c r="L896" s="2"/>
      <c r="M896" s="2"/>
    </row>
    <row r="897" ht="15.75" customHeight="1">
      <c r="B897" s="2"/>
      <c r="C897" s="2"/>
      <c r="D897" s="2"/>
      <c r="E897" s="2"/>
      <c r="L897" s="2"/>
      <c r="M897" s="2"/>
    </row>
    <row r="898" ht="15.75" customHeight="1">
      <c r="B898" s="2"/>
      <c r="C898" s="2"/>
      <c r="D898" s="2"/>
      <c r="E898" s="2"/>
      <c r="L898" s="2"/>
      <c r="M898" s="2"/>
    </row>
    <row r="899" ht="15.75" customHeight="1">
      <c r="B899" s="2"/>
      <c r="C899" s="2"/>
      <c r="D899" s="2"/>
      <c r="E899" s="2"/>
      <c r="L899" s="2"/>
      <c r="M899" s="2"/>
    </row>
    <row r="900" ht="15.75" customHeight="1">
      <c r="B900" s="2"/>
      <c r="C900" s="2"/>
      <c r="D900" s="2"/>
      <c r="E900" s="2"/>
      <c r="L900" s="2"/>
      <c r="M900" s="2"/>
    </row>
    <row r="901" ht="15.75" customHeight="1">
      <c r="B901" s="2"/>
      <c r="C901" s="2"/>
      <c r="D901" s="2"/>
      <c r="E901" s="2"/>
      <c r="L901" s="2"/>
      <c r="M901" s="2"/>
    </row>
    <row r="902" ht="15.75" customHeight="1">
      <c r="B902" s="2"/>
      <c r="C902" s="2"/>
      <c r="D902" s="2"/>
      <c r="E902" s="2"/>
      <c r="L902" s="2"/>
      <c r="M902" s="2"/>
    </row>
    <row r="903" ht="15.75" customHeight="1">
      <c r="B903" s="2"/>
      <c r="C903" s="2"/>
      <c r="D903" s="2"/>
      <c r="E903" s="2"/>
      <c r="L903" s="2"/>
      <c r="M903" s="2"/>
    </row>
    <row r="904" ht="15.75" customHeight="1">
      <c r="B904" s="2"/>
      <c r="C904" s="2"/>
      <c r="D904" s="2"/>
      <c r="E904" s="2"/>
      <c r="L904" s="2"/>
      <c r="M904" s="2"/>
    </row>
    <row r="905" ht="15.75" customHeight="1">
      <c r="B905" s="2"/>
      <c r="C905" s="2"/>
      <c r="D905" s="2"/>
      <c r="E905" s="2"/>
      <c r="L905" s="2"/>
      <c r="M905" s="2"/>
    </row>
    <row r="906" ht="15.75" customHeight="1">
      <c r="B906" s="2"/>
      <c r="C906" s="2"/>
      <c r="D906" s="2"/>
      <c r="E906" s="2"/>
      <c r="L906" s="2"/>
      <c r="M906" s="2"/>
    </row>
    <row r="907" ht="15.75" customHeight="1">
      <c r="B907" s="2"/>
      <c r="C907" s="2"/>
      <c r="D907" s="2"/>
      <c r="E907" s="2"/>
      <c r="L907" s="2"/>
      <c r="M907" s="2"/>
    </row>
    <row r="908" ht="15.75" customHeight="1">
      <c r="B908" s="2"/>
      <c r="C908" s="2"/>
      <c r="D908" s="2"/>
      <c r="E908" s="2"/>
      <c r="L908" s="2"/>
      <c r="M908" s="2"/>
    </row>
    <row r="909" ht="15.75" customHeight="1">
      <c r="B909" s="2"/>
      <c r="C909" s="2"/>
      <c r="D909" s="2"/>
      <c r="E909" s="2"/>
      <c r="L909" s="2"/>
      <c r="M909" s="2"/>
    </row>
    <row r="910" ht="15.75" customHeight="1">
      <c r="B910" s="2"/>
      <c r="C910" s="2"/>
      <c r="D910" s="2"/>
      <c r="E910" s="2"/>
      <c r="L910" s="2"/>
      <c r="M910" s="2"/>
    </row>
    <row r="911" ht="15.75" customHeight="1">
      <c r="B911" s="2"/>
      <c r="C911" s="2"/>
      <c r="D911" s="2"/>
      <c r="E911" s="2"/>
      <c r="L911" s="2"/>
      <c r="M911" s="2"/>
    </row>
    <row r="912" ht="15.75" customHeight="1">
      <c r="B912" s="2"/>
      <c r="C912" s="2"/>
      <c r="D912" s="2"/>
      <c r="E912" s="2"/>
      <c r="L912" s="2"/>
      <c r="M912" s="2"/>
    </row>
    <row r="913" ht="15.75" customHeight="1">
      <c r="B913" s="2"/>
      <c r="C913" s="2"/>
      <c r="D913" s="2"/>
      <c r="E913" s="2"/>
      <c r="L913" s="2"/>
      <c r="M913" s="2"/>
    </row>
    <row r="914" ht="15.75" customHeight="1">
      <c r="B914" s="2"/>
      <c r="C914" s="2"/>
      <c r="D914" s="2"/>
      <c r="E914" s="2"/>
      <c r="L914" s="2"/>
      <c r="M914" s="2"/>
    </row>
    <row r="915" ht="15.75" customHeight="1">
      <c r="B915" s="2"/>
      <c r="C915" s="2"/>
      <c r="D915" s="2"/>
      <c r="E915" s="2"/>
      <c r="L915" s="2"/>
      <c r="M915" s="2"/>
    </row>
    <row r="916" ht="15.75" customHeight="1">
      <c r="B916" s="2"/>
      <c r="C916" s="2"/>
      <c r="D916" s="2"/>
      <c r="E916" s="2"/>
      <c r="L916" s="2"/>
      <c r="M916" s="2"/>
    </row>
    <row r="917" ht="15.75" customHeight="1">
      <c r="B917" s="2"/>
      <c r="C917" s="2"/>
      <c r="D917" s="2"/>
      <c r="E917" s="2"/>
      <c r="L917" s="2"/>
      <c r="M917" s="2"/>
    </row>
    <row r="918" ht="15.75" customHeight="1">
      <c r="B918" s="2"/>
      <c r="C918" s="2"/>
      <c r="D918" s="2"/>
      <c r="E918" s="2"/>
      <c r="L918" s="2"/>
      <c r="M918" s="2"/>
    </row>
    <row r="919" ht="15.75" customHeight="1">
      <c r="B919" s="2"/>
      <c r="C919" s="2"/>
      <c r="D919" s="2"/>
      <c r="E919" s="2"/>
      <c r="L919" s="2"/>
      <c r="M919" s="2"/>
    </row>
    <row r="920" ht="15.75" customHeight="1">
      <c r="B920" s="2"/>
      <c r="C920" s="2"/>
      <c r="D920" s="2"/>
      <c r="E920" s="2"/>
      <c r="L920" s="2"/>
      <c r="M920" s="2"/>
    </row>
    <row r="921" ht="15.75" customHeight="1">
      <c r="B921" s="2"/>
      <c r="C921" s="2"/>
      <c r="D921" s="2"/>
      <c r="E921" s="2"/>
      <c r="L921" s="2"/>
      <c r="M921" s="2"/>
    </row>
    <row r="922" ht="15.75" customHeight="1">
      <c r="B922" s="2"/>
      <c r="C922" s="2"/>
      <c r="D922" s="2"/>
      <c r="E922" s="2"/>
      <c r="L922" s="2"/>
      <c r="M922" s="2"/>
    </row>
    <row r="923" ht="15.75" customHeight="1">
      <c r="B923" s="2"/>
      <c r="C923" s="2"/>
      <c r="D923" s="2"/>
      <c r="E923" s="2"/>
      <c r="L923" s="2"/>
      <c r="M923" s="2"/>
    </row>
    <row r="924" ht="15.75" customHeight="1">
      <c r="B924" s="2"/>
      <c r="C924" s="2"/>
      <c r="D924" s="2"/>
      <c r="E924" s="2"/>
      <c r="L924" s="2"/>
      <c r="M924" s="2"/>
    </row>
    <row r="925" ht="15.75" customHeight="1">
      <c r="B925" s="2"/>
      <c r="C925" s="2"/>
      <c r="D925" s="2"/>
      <c r="E925" s="2"/>
      <c r="L925" s="2"/>
      <c r="M925" s="2"/>
    </row>
    <row r="926" ht="15.75" customHeight="1">
      <c r="B926" s="2"/>
      <c r="C926" s="2"/>
      <c r="D926" s="2"/>
      <c r="E926" s="2"/>
      <c r="L926" s="2"/>
      <c r="M926" s="2"/>
    </row>
    <row r="927" ht="15.75" customHeight="1">
      <c r="B927" s="2"/>
      <c r="C927" s="2"/>
      <c r="D927" s="2"/>
      <c r="E927" s="2"/>
      <c r="L927" s="2"/>
      <c r="M927" s="2"/>
    </row>
    <row r="928" ht="15.75" customHeight="1">
      <c r="B928" s="2"/>
      <c r="C928" s="2"/>
      <c r="D928" s="2"/>
      <c r="E928" s="2"/>
      <c r="L928" s="2"/>
      <c r="M928" s="2"/>
    </row>
    <row r="929" ht="15.75" customHeight="1">
      <c r="B929" s="2"/>
      <c r="C929" s="2"/>
      <c r="D929" s="2"/>
      <c r="E929" s="2"/>
      <c r="L929" s="2"/>
      <c r="M929" s="2"/>
    </row>
    <row r="930" ht="15.75" customHeight="1">
      <c r="B930" s="2"/>
      <c r="C930" s="2"/>
      <c r="D930" s="2"/>
      <c r="E930" s="2"/>
      <c r="L930" s="2"/>
      <c r="M930" s="2"/>
    </row>
    <row r="931" ht="15.75" customHeight="1">
      <c r="B931" s="2"/>
      <c r="C931" s="2"/>
      <c r="D931" s="2"/>
      <c r="E931" s="2"/>
      <c r="L931" s="2"/>
      <c r="M931" s="2"/>
    </row>
    <row r="932" ht="15.75" customHeight="1">
      <c r="B932" s="2"/>
      <c r="C932" s="2"/>
      <c r="D932" s="2"/>
      <c r="E932" s="2"/>
      <c r="L932" s="2"/>
      <c r="M932" s="2"/>
    </row>
    <row r="933" ht="15.75" customHeight="1">
      <c r="B933" s="2"/>
      <c r="C933" s="2"/>
      <c r="D933" s="2"/>
      <c r="E933" s="2"/>
      <c r="L933" s="2"/>
      <c r="M933" s="2"/>
    </row>
    <row r="934" ht="15.75" customHeight="1">
      <c r="B934" s="2"/>
      <c r="C934" s="2"/>
      <c r="D934" s="2"/>
      <c r="E934" s="2"/>
      <c r="L934" s="2"/>
      <c r="M934" s="2"/>
    </row>
    <row r="935" ht="15.75" customHeight="1">
      <c r="B935" s="2"/>
      <c r="C935" s="2"/>
      <c r="D935" s="2"/>
      <c r="E935" s="2"/>
      <c r="L935" s="2"/>
      <c r="M935" s="2"/>
    </row>
    <row r="936" ht="15.75" customHeight="1">
      <c r="B936" s="2"/>
      <c r="C936" s="2"/>
      <c r="D936" s="2"/>
      <c r="E936" s="2"/>
      <c r="L936" s="2"/>
      <c r="M936" s="2"/>
    </row>
    <row r="937" ht="15.75" customHeight="1">
      <c r="B937" s="2"/>
      <c r="C937" s="2"/>
      <c r="D937" s="2"/>
      <c r="E937" s="2"/>
      <c r="L937" s="2"/>
      <c r="M937" s="2"/>
    </row>
    <row r="938" ht="15.75" customHeight="1">
      <c r="B938" s="2"/>
      <c r="C938" s="2"/>
      <c r="D938" s="2"/>
      <c r="E938" s="2"/>
      <c r="L938" s="2"/>
      <c r="M938" s="2"/>
    </row>
    <row r="939" ht="15.75" customHeight="1">
      <c r="B939" s="2"/>
      <c r="C939" s="2"/>
      <c r="D939" s="2"/>
      <c r="E939" s="2"/>
      <c r="L939" s="2"/>
      <c r="M939" s="2"/>
    </row>
    <row r="940" ht="15.75" customHeight="1">
      <c r="B940" s="2"/>
      <c r="C940" s="2"/>
      <c r="D940" s="2"/>
      <c r="E940" s="2"/>
      <c r="L940" s="2"/>
      <c r="M940" s="2"/>
    </row>
    <row r="941" ht="15.75" customHeight="1">
      <c r="B941" s="2"/>
      <c r="C941" s="2"/>
      <c r="D941" s="2"/>
      <c r="E941" s="2"/>
      <c r="L941" s="2"/>
      <c r="M941" s="2"/>
    </row>
    <row r="942" ht="15.75" customHeight="1">
      <c r="B942" s="2"/>
      <c r="C942" s="2"/>
      <c r="D942" s="2"/>
      <c r="E942" s="2"/>
      <c r="L942" s="2"/>
      <c r="M942" s="2"/>
    </row>
    <row r="943" ht="15.75" customHeight="1">
      <c r="B943" s="2"/>
      <c r="C943" s="2"/>
      <c r="D943" s="2"/>
      <c r="E943" s="2"/>
      <c r="L943" s="2"/>
      <c r="M943" s="2"/>
    </row>
    <row r="944" ht="15.75" customHeight="1">
      <c r="B944" s="2"/>
      <c r="C944" s="2"/>
      <c r="D944" s="2"/>
      <c r="E944" s="2"/>
      <c r="L944" s="2"/>
      <c r="M944" s="2"/>
    </row>
    <row r="945" ht="15.75" customHeight="1">
      <c r="B945" s="2"/>
      <c r="C945" s="2"/>
      <c r="D945" s="2"/>
      <c r="E945" s="2"/>
      <c r="L945" s="2"/>
      <c r="M945" s="2"/>
    </row>
    <row r="946" ht="15.75" customHeight="1">
      <c r="B946" s="2"/>
      <c r="C946" s="2"/>
      <c r="D946" s="2"/>
      <c r="E946" s="2"/>
      <c r="L946" s="2"/>
      <c r="M946" s="2"/>
    </row>
    <row r="947" ht="15.75" customHeight="1">
      <c r="B947" s="2"/>
      <c r="C947" s="2"/>
      <c r="D947" s="2"/>
      <c r="E947" s="2"/>
      <c r="L947" s="2"/>
      <c r="M947" s="2"/>
    </row>
    <row r="948" ht="15.75" customHeight="1">
      <c r="B948" s="2"/>
      <c r="C948" s="2"/>
      <c r="D948" s="2"/>
      <c r="E948" s="2"/>
      <c r="L948" s="2"/>
      <c r="M948" s="2"/>
    </row>
    <row r="949" ht="15.75" customHeight="1">
      <c r="B949" s="2"/>
      <c r="C949" s="2"/>
      <c r="D949" s="2"/>
      <c r="E949" s="2"/>
      <c r="L949" s="2"/>
      <c r="M949" s="2"/>
    </row>
    <row r="950" ht="15.75" customHeight="1">
      <c r="B950" s="2"/>
      <c r="C950" s="2"/>
      <c r="D950" s="2"/>
      <c r="E950" s="2"/>
      <c r="L950" s="2"/>
      <c r="M950" s="2"/>
    </row>
    <row r="951" ht="15.75" customHeight="1">
      <c r="B951" s="2"/>
      <c r="C951" s="2"/>
      <c r="D951" s="2"/>
      <c r="E951" s="2"/>
      <c r="L951" s="2"/>
      <c r="M951" s="2"/>
    </row>
    <row r="952" ht="15.75" customHeight="1">
      <c r="B952" s="2"/>
      <c r="C952" s="2"/>
      <c r="D952" s="2"/>
      <c r="E952" s="2"/>
      <c r="L952" s="2"/>
      <c r="M952" s="2"/>
    </row>
    <row r="953" ht="15.75" customHeight="1">
      <c r="B953" s="2"/>
      <c r="C953" s="2"/>
      <c r="D953" s="2"/>
      <c r="E953" s="2"/>
      <c r="L953" s="2"/>
      <c r="M953" s="2"/>
    </row>
    <row r="954" ht="15.75" customHeight="1">
      <c r="B954" s="2"/>
      <c r="C954" s="2"/>
      <c r="D954" s="2"/>
      <c r="E954" s="2"/>
      <c r="L954" s="2"/>
      <c r="M954" s="2"/>
    </row>
    <row r="955" ht="15.75" customHeight="1">
      <c r="B955" s="2"/>
      <c r="C955" s="2"/>
      <c r="D955" s="2"/>
      <c r="E955" s="2"/>
      <c r="L955" s="2"/>
      <c r="M955" s="2"/>
    </row>
    <row r="956" ht="15.75" customHeight="1">
      <c r="B956" s="2"/>
      <c r="C956" s="2"/>
      <c r="D956" s="2"/>
      <c r="E956" s="2"/>
      <c r="L956" s="2"/>
      <c r="M956" s="2"/>
    </row>
    <row r="957" ht="15.75" customHeight="1">
      <c r="B957" s="2"/>
      <c r="C957" s="2"/>
      <c r="D957" s="2"/>
      <c r="E957" s="2"/>
      <c r="L957" s="2"/>
      <c r="M957" s="2"/>
    </row>
    <row r="958" ht="15.75" customHeight="1">
      <c r="B958" s="2"/>
      <c r="C958" s="2"/>
      <c r="D958" s="2"/>
      <c r="E958" s="2"/>
      <c r="L958" s="2"/>
      <c r="M958" s="2"/>
    </row>
    <row r="959" ht="15.75" customHeight="1">
      <c r="B959" s="2"/>
      <c r="C959" s="2"/>
      <c r="D959" s="2"/>
      <c r="E959" s="2"/>
      <c r="L959" s="2"/>
      <c r="M959" s="2"/>
    </row>
    <row r="960" ht="15.75" customHeight="1">
      <c r="B960" s="2"/>
      <c r="C960" s="2"/>
      <c r="D960" s="2"/>
      <c r="E960" s="2"/>
      <c r="L960" s="2"/>
      <c r="M960" s="2"/>
    </row>
    <row r="961" ht="15.75" customHeight="1">
      <c r="B961" s="2"/>
      <c r="C961" s="2"/>
      <c r="D961" s="2"/>
      <c r="E961" s="2"/>
      <c r="L961" s="2"/>
      <c r="M961" s="2"/>
    </row>
    <row r="962" ht="15.75" customHeight="1">
      <c r="B962" s="2"/>
      <c r="C962" s="2"/>
      <c r="D962" s="2"/>
      <c r="E962" s="2"/>
      <c r="L962" s="2"/>
      <c r="M962" s="2"/>
    </row>
    <row r="963" ht="15.75" customHeight="1">
      <c r="B963" s="2"/>
      <c r="C963" s="2"/>
      <c r="D963" s="2"/>
      <c r="E963" s="2"/>
      <c r="L963" s="2"/>
      <c r="M963" s="2"/>
    </row>
    <row r="964" ht="15.75" customHeight="1">
      <c r="B964" s="2"/>
      <c r="C964" s="2"/>
      <c r="D964" s="2"/>
      <c r="E964" s="2"/>
      <c r="L964" s="2"/>
      <c r="M964" s="2"/>
    </row>
    <row r="965" ht="15.75" customHeight="1">
      <c r="B965" s="2"/>
      <c r="C965" s="2"/>
      <c r="D965" s="2"/>
      <c r="E965" s="2"/>
      <c r="L965" s="2"/>
      <c r="M965" s="2"/>
    </row>
    <row r="966" ht="15.75" customHeight="1">
      <c r="B966" s="2"/>
      <c r="C966" s="2"/>
      <c r="D966" s="2"/>
      <c r="E966" s="2"/>
      <c r="L966" s="2"/>
      <c r="M966" s="2"/>
    </row>
    <row r="967" ht="15.75" customHeight="1">
      <c r="B967" s="2"/>
      <c r="C967" s="2"/>
      <c r="D967" s="2"/>
      <c r="E967" s="2"/>
      <c r="L967" s="2"/>
      <c r="M967" s="2"/>
    </row>
    <row r="968" ht="15.75" customHeight="1">
      <c r="B968" s="2"/>
      <c r="C968" s="2"/>
      <c r="D968" s="2"/>
      <c r="E968" s="2"/>
      <c r="L968" s="2"/>
      <c r="M968" s="2"/>
    </row>
    <row r="969" ht="15.75" customHeight="1">
      <c r="B969" s="2"/>
      <c r="C969" s="2"/>
      <c r="D969" s="2"/>
      <c r="E969" s="2"/>
      <c r="L969" s="2"/>
      <c r="M969" s="2"/>
    </row>
    <row r="970" ht="15.75" customHeight="1">
      <c r="B970" s="2"/>
      <c r="C970" s="2"/>
      <c r="D970" s="2"/>
      <c r="E970" s="2"/>
      <c r="L970" s="2"/>
      <c r="M970" s="2"/>
    </row>
    <row r="971" ht="15.75" customHeight="1">
      <c r="B971" s="2"/>
      <c r="C971" s="2"/>
      <c r="D971" s="2"/>
      <c r="E971" s="2"/>
      <c r="L971" s="2"/>
      <c r="M971" s="2"/>
    </row>
    <row r="972" ht="15.75" customHeight="1">
      <c r="B972" s="2"/>
      <c r="C972" s="2"/>
      <c r="D972" s="2"/>
      <c r="E972" s="2"/>
      <c r="L972" s="2"/>
      <c r="M972" s="2"/>
    </row>
    <row r="973" ht="15.75" customHeight="1">
      <c r="B973" s="2"/>
      <c r="C973" s="2"/>
      <c r="D973" s="2"/>
      <c r="E973" s="2"/>
      <c r="L973" s="2"/>
      <c r="M973" s="2"/>
    </row>
    <row r="974" ht="15.75" customHeight="1">
      <c r="B974" s="2"/>
      <c r="C974" s="2"/>
      <c r="D974" s="2"/>
      <c r="E974" s="2"/>
      <c r="L974" s="2"/>
      <c r="M974" s="2"/>
    </row>
    <row r="975" ht="15.75" customHeight="1">
      <c r="B975" s="2"/>
      <c r="C975" s="2"/>
      <c r="D975" s="2"/>
      <c r="E975" s="2"/>
      <c r="L975" s="2"/>
      <c r="M975" s="2"/>
    </row>
    <row r="976" ht="15.75" customHeight="1">
      <c r="B976" s="2"/>
      <c r="C976" s="2"/>
      <c r="D976" s="2"/>
      <c r="E976" s="2"/>
      <c r="L976" s="2"/>
      <c r="M976" s="2"/>
    </row>
    <row r="977" ht="15.75" customHeight="1">
      <c r="B977" s="2"/>
      <c r="C977" s="2"/>
      <c r="D977" s="2"/>
      <c r="E977" s="2"/>
      <c r="L977" s="2"/>
      <c r="M977" s="2"/>
    </row>
    <row r="978" ht="15.75" customHeight="1">
      <c r="B978" s="2"/>
      <c r="C978" s="2"/>
      <c r="D978" s="2"/>
      <c r="E978" s="2"/>
      <c r="L978" s="2"/>
      <c r="M978" s="2"/>
    </row>
    <row r="979" ht="15.75" customHeight="1">
      <c r="B979" s="2"/>
      <c r="C979" s="2"/>
      <c r="D979" s="2"/>
      <c r="E979" s="2"/>
      <c r="L979" s="2"/>
      <c r="M979" s="2"/>
    </row>
    <row r="980" ht="15.75" customHeight="1">
      <c r="B980" s="2"/>
      <c r="C980" s="2"/>
      <c r="D980" s="2"/>
      <c r="E980" s="2"/>
      <c r="L980" s="2"/>
      <c r="M980" s="2"/>
    </row>
    <row r="981" ht="15.75" customHeight="1">
      <c r="B981" s="2"/>
      <c r="C981" s="2"/>
      <c r="D981" s="2"/>
      <c r="E981" s="2"/>
      <c r="L981" s="2"/>
      <c r="M981" s="2"/>
    </row>
    <row r="982" ht="15.75" customHeight="1">
      <c r="B982" s="2"/>
      <c r="C982" s="2"/>
      <c r="D982" s="2"/>
      <c r="E982" s="2"/>
      <c r="L982" s="2"/>
      <c r="M982" s="2"/>
    </row>
    <row r="983" ht="15.75" customHeight="1">
      <c r="B983" s="2"/>
      <c r="C983" s="2"/>
      <c r="D983" s="2"/>
      <c r="E983" s="2"/>
      <c r="L983" s="2"/>
      <c r="M983" s="2"/>
    </row>
    <row r="984" ht="15.75" customHeight="1">
      <c r="B984" s="2"/>
      <c r="C984" s="2"/>
      <c r="D984" s="2"/>
      <c r="E984" s="2"/>
      <c r="L984" s="2"/>
      <c r="M984" s="2"/>
    </row>
    <row r="985" ht="15.75" customHeight="1">
      <c r="B985" s="2"/>
      <c r="C985" s="2"/>
      <c r="D985" s="2"/>
      <c r="E985" s="2"/>
      <c r="L985" s="2"/>
      <c r="M985" s="2"/>
    </row>
    <row r="986" ht="15.75" customHeight="1">
      <c r="B986" s="2"/>
      <c r="C986" s="2"/>
      <c r="D986" s="2"/>
      <c r="E986" s="2"/>
      <c r="L986" s="2"/>
      <c r="M986" s="2"/>
    </row>
    <row r="987" ht="15.75" customHeight="1">
      <c r="B987" s="2"/>
      <c r="C987" s="2"/>
      <c r="D987" s="2"/>
      <c r="E987" s="2"/>
      <c r="L987" s="2"/>
      <c r="M987" s="2"/>
    </row>
    <row r="988" ht="15.75" customHeight="1">
      <c r="B988" s="2"/>
      <c r="C988" s="2"/>
      <c r="D988" s="2"/>
      <c r="E988" s="2"/>
      <c r="L988" s="2"/>
      <c r="M988" s="2"/>
    </row>
    <row r="989" ht="15.75" customHeight="1">
      <c r="B989" s="2"/>
      <c r="C989" s="2"/>
      <c r="D989" s="2"/>
      <c r="E989" s="2"/>
      <c r="L989" s="2"/>
      <c r="M989" s="2"/>
    </row>
    <row r="990" ht="15.75" customHeight="1">
      <c r="B990" s="2"/>
      <c r="C990" s="2"/>
      <c r="D990" s="2"/>
      <c r="E990" s="2"/>
      <c r="L990" s="2"/>
      <c r="M990" s="2"/>
    </row>
    <row r="991" ht="15.75" customHeight="1">
      <c r="B991" s="2"/>
      <c r="C991" s="2"/>
      <c r="D991" s="2"/>
      <c r="E991" s="2"/>
      <c r="L991" s="2"/>
      <c r="M991" s="2"/>
    </row>
    <row r="992" ht="15.75" customHeight="1">
      <c r="B992" s="2"/>
      <c r="C992" s="2"/>
      <c r="D992" s="2"/>
      <c r="E992" s="2"/>
      <c r="L992" s="2"/>
      <c r="M992" s="2"/>
    </row>
    <row r="993" ht="15.75" customHeight="1">
      <c r="B993" s="2"/>
      <c r="C993" s="2"/>
      <c r="D993" s="2"/>
      <c r="E993" s="2"/>
      <c r="L993" s="2"/>
      <c r="M993" s="2"/>
    </row>
    <row r="994" ht="15.75" customHeight="1">
      <c r="B994" s="2"/>
      <c r="C994" s="2"/>
      <c r="D994" s="2"/>
      <c r="E994" s="2"/>
      <c r="L994" s="2"/>
      <c r="M994" s="2"/>
    </row>
    <row r="995" ht="15.75" customHeight="1">
      <c r="B995" s="2"/>
      <c r="C995" s="2"/>
      <c r="D995" s="2"/>
      <c r="E995" s="2"/>
      <c r="L995" s="2"/>
      <c r="M995" s="2"/>
    </row>
    <row r="996" ht="15.75" customHeight="1">
      <c r="B996" s="2"/>
      <c r="C996" s="2"/>
      <c r="D996" s="2"/>
      <c r="E996" s="2"/>
      <c r="L996" s="2"/>
      <c r="M996" s="2"/>
    </row>
    <row r="997" ht="15.75" customHeight="1">
      <c r="B997" s="2"/>
      <c r="C997" s="2"/>
      <c r="D997" s="2"/>
      <c r="E997" s="2"/>
      <c r="L997" s="2"/>
      <c r="M997" s="2"/>
    </row>
    <row r="998" ht="15.75" customHeight="1">
      <c r="B998" s="2"/>
      <c r="C998" s="2"/>
      <c r="D998" s="2"/>
      <c r="E998" s="2"/>
      <c r="L998" s="2"/>
      <c r="M998" s="2"/>
    </row>
    <row r="999" ht="15.75" customHeight="1">
      <c r="B999" s="2"/>
      <c r="C999" s="2"/>
      <c r="D999" s="2"/>
      <c r="E999" s="2"/>
      <c r="L999" s="2"/>
      <c r="M999" s="2"/>
    </row>
    <row r="1000" ht="15.75" customHeight="1">
      <c r="B1000" s="2"/>
      <c r="C1000" s="2"/>
      <c r="D1000" s="2"/>
      <c r="E1000" s="2"/>
      <c r="L1000" s="2"/>
      <c r="M1000" s="2"/>
    </row>
  </sheetData>
  <mergeCells count="10">
    <mergeCell ref="X10:AA10"/>
    <mergeCell ref="X20:AA20"/>
    <mergeCell ref="AC20:AE20"/>
    <mergeCell ref="J5:N7"/>
    <mergeCell ref="P5:T7"/>
    <mergeCell ref="J8:N8"/>
    <mergeCell ref="AC8:AD8"/>
    <mergeCell ref="AH8:AJ8"/>
    <mergeCell ref="AL8:AN8"/>
    <mergeCell ref="AC10:AE10"/>
  </mergeCells>
  <conditionalFormatting sqref="N10:N41">
    <cfRule type="cellIs" dxfId="0" priority="1" operator="greaterThanOrEqual">
      <formula>0</formula>
    </cfRule>
  </conditionalFormatting>
  <conditionalFormatting sqref="N10:N41">
    <cfRule type="cellIs" dxfId="1" priority="2" operator="lessThan">
      <formula>0</formula>
    </cfRule>
  </conditionalFormatting>
  <conditionalFormatting sqref="N10:N41">
    <cfRule type="cellIs" dxfId="2" priority="3" operator="lessThan">
      <formula>0</formula>
    </cfRule>
  </conditionalFormatting>
  <conditionalFormatting sqref="T10:T41">
    <cfRule type="cellIs" dxfId="0" priority="4" operator="greaterThanOrEqual">
      <formula>0</formula>
    </cfRule>
  </conditionalFormatting>
  <conditionalFormatting sqref="T10:T41">
    <cfRule type="cellIs" dxfId="1" priority="5" operator="lessThan">
      <formula>0</formula>
    </cfRule>
  </conditionalFormatting>
  <conditionalFormatting sqref="T10:T41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13.0"/>
    <col customWidth="1" min="4" max="4" width="11.0"/>
    <col customWidth="1" min="5" max="5" width="19.11"/>
    <col customWidth="1" min="6" max="6" width="17.67"/>
    <col customWidth="1" min="7" max="7" width="18.33"/>
    <col customWidth="1" min="8" max="8" width="11.11"/>
    <col customWidth="1" min="9" max="9" width="13.0"/>
    <col customWidth="1" min="10" max="10" width="11.11"/>
    <col customWidth="1" min="11" max="11" width="19.0"/>
    <col customWidth="1" min="12" max="12" width="17.78"/>
    <col customWidth="1" min="13" max="13" width="21.33"/>
    <col customWidth="1" min="14" max="14" width="11.11"/>
    <col customWidth="1" min="15" max="17" width="10.56"/>
    <col customWidth="1" min="18" max="18" width="11.11"/>
    <col customWidth="1" min="19" max="19" width="13.0"/>
    <col customWidth="1" min="20" max="20" width="14.33"/>
    <col customWidth="1" min="21" max="21" width="13.11"/>
    <col customWidth="1" min="22" max="22" width="14.33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136" t="s">
        <v>28</v>
      </c>
      <c r="K7" s="136"/>
      <c r="L7" s="136"/>
      <c r="M7" s="136"/>
      <c r="N7" s="136"/>
    </row>
    <row r="8" ht="15.75" customHeight="1">
      <c r="B8" s="175">
        <v>45505.0</v>
      </c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B9" s="61">
        <v>5923.387500000001</v>
      </c>
      <c r="C9" s="61"/>
      <c r="D9" s="47">
        <v>1.0</v>
      </c>
      <c r="E9" s="44" t="s">
        <v>47</v>
      </c>
      <c r="F9" s="160">
        <f>9800</f>
        <v>9800</v>
      </c>
      <c r="G9" s="160">
        <f>9878.35-75</f>
        <v>9803.35</v>
      </c>
      <c r="H9" s="51">
        <f t="shared" ref="H9:H39" si="1">G9-F9</f>
        <v>3.35</v>
      </c>
      <c r="I9" s="61"/>
      <c r="J9" s="47">
        <v>1.0</v>
      </c>
      <c r="K9" s="44" t="s">
        <v>47</v>
      </c>
      <c r="L9" s="59">
        <v>6600.0</v>
      </c>
      <c r="M9" s="55">
        <f>6080.57-397-16</f>
        <v>5667.57</v>
      </c>
      <c r="N9" s="51">
        <f t="shared" ref="N9:N39" si="2">M9-L9</f>
        <v>-932.43</v>
      </c>
    </row>
    <row r="10" ht="15.75" customHeight="1">
      <c r="B10" s="61">
        <v>5217.297500000001</v>
      </c>
      <c r="C10" s="61"/>
      <c r="D10" s="47">
        <v>2.0</v>
      </c>
      <c r="E10" s="44" t="s">
        <v>48</v>
      </c>
      <c r="F10" s="55">
        <v>15000.0</v>
      </c>
      <c r="G10" s="55">
        <f>11690.55+5733-305</f>
        <v>17118.55</v>
      </c>
      <c r="H10" s="51">
        <f t="shared" si="1"/>
        <v>2118.55</v>
      </c>
      <c r="I10" s="61"/>
      <c r="J10" s="47">
        <v>2.0</v>
      </c>
      <c r="K10" s="44" t="s">
        <v>48</v>
      </c>
      <c r="L10" s="59">
        <v>11000.0</v>
      </c>
      <c r="M10" s="55">
        <f>9155.51-623</f>
        <v>8532.51</v>
      </c>
      <c r="N10" s="51">
        <f t="shared" si="2"/>
        <v>-2467.49</v>
      </c>
    </row>
    <row r="11" ht="15.75" customHeight="1">
      <c r="B11" s="61">
        <v>4712.1625</v>
      </c>
      <c r="C11" s="61"/>
      <c r="D11" s="47">
        <v>3.0</v>
      </c>
      <c r="E11" s="44" t="s">
        <v>41</v>
      </c>
      <c r="F11" s="55">
        <v>18600.0</v>
      </c>
      <c r="G11" s="55">
        <f>17051</f>
        <v>17051</v>
      </c>
      <c r="H11" s="51">
        <f t="shared" si="1"/>
        <v>-1549</v>
      </c>
      <c r="I11" s="61"/>
      <c r="J11" s="47">
        <v>3.0</v>
      </c>
      <c r="K11" s="44" t="s">
        <v>41</v>
      </c>
      <c r="L11" s="59">
        <v>14600.0</v>
      </c>
      <c r="M11" s="55">
        <f>17617.36-1240</f>
        <v>16377.36</v>
      </c>
      <c r="N11" s="51">
        <f t="shared" si="2"/>
        <v>1777.36</v>
      </c>
    </row>
    <row r="12" ht="15.75" customHeight="1">
      <c r="B12" s="61">
        <v>7324.556</v>
      </c>
      <c r="C12" s="61"/>
      <c r="D12" s="47">
        <v>4.0</v>
      </c>
      <c r="E12" s="44" t="s">
        <v>44</v>
      </c>
      <c r="F12" s="55">
        <v>19400.0</v>
      </c>
      <c r="G12" s="55">
        <f>20122.28</f>
        <v>20122.28</v>
      </c>
      <c r="H12" s="51">
        <f t="shared" si="1"/>
        <v>722.28</v>
      </c>
      <c r="I12" s="61"/>
      <c r="J12" s="47">
        <v>4.0</v>
      </c>
      <c r="K12" s="44" t="s">
        <v>44</v>
      </c>
      <c r="L12" s="59">
        <v>21000.0</v>
      </c>
      <c r="M12" s="55">
        <f>22586.07-1645</f>
        <v>20941.07</v>
      </c>
      <c r="N12" s="51">
        <f t="shared" si="2"/>
        <v>-58.93</v>
      </c>
    </row>
    <row r="13" ht="15.75" customHeight="1">
      <c r="B13" s="61">
        <v>13353.779999999999</v>
      </c>
      <c r="C13" s="61"/>
      <c r="D13" s="47">
        <v>5.0</v>
      </c>
      <c r="E13" s="44" t="s">
        <v>45</v>
      </c>
      <c r="F13" s="55">
        <v>6800.0</v>
      </c>
      <c r="G13" s="55">
        <f>7788.5</f>
        <v>7788.5</v>
      </c>
      <c r="H13" s="51">
        <f t="shared" si="1"/>
        <v>988.5</v>
      </c>
      <c r="I13" s="61">
        <f t="shared" ref="I13:I15" si="3">AVERAGE(M13,M20,M27,M34)</f>
        <v>3389.2725</v>
      </c>
      <c r="J13" s="47">
        <v>5.0</v>
      </c>
      <c r="K13" s="44" t="s">
        <v>45</v>
      </c>
      <c r="L13" s="59">
        <v>4000.0</v>
      </c>
      <c r="M13" s="55">
        <f>3594.47-230</f>
        <v>3364.47</v>
      </c>
      <c r="N13" s="51">
        <f t="shared" si="2"/>
        <v>-635.53</v>
      </c>
    </row>
    <row r="14" ht="15.75" customHeight="1">
      <c r="B14" s="61">
        <v>15854.13</v>
      </c>
      <c r="C14" s="61"/>
      <c r="D14" s="44">
        <v>6.0</v>
      </c>
      <c r="E14" s="44" t="s">
        <v>46</v>
      </c>
      <c r="F14" s="55">
        <v>4500.0</v>
      </c>
      <c r="G14" s="55">
        <f>3699.25+974.5+6.3</f>
        <v>4680.05</v>
      </c>
      <c r="H14" s="51">
        <f t="shared" si="1"/>
        <v>180.05</v>
      </c>
      <c r="I14" s="61">
        <f t="shared" si="3"/>
        <v>4368.8175</v>
      </c>
      <c r="J14" s="44">
        <v>6.0</v>
      </c>
      <c r="K14" s="44" t="s">
        <v>46</v>
      </c>
      <c r="L14" s="59">
        <v>4800.0</v>
      </c>
      <c r="M14" s="55">
        <f>3377.45-276</f>
        <v>3101.45</v>
      </c>
      <c r="N14" s="51">
        <f t="shared" si="2"/>
        <v>-1698.55</v>
      </c>
    </row>
    <row r="15" ht="15.75" customHeight="1">
      <c r="B15" s="61">
        <v>21108.3425</v>
      </c>
      <c r="C15" s="61"/>
      <c r="D15" s="44">
        <v>7.0</v>
      </c>
      <c r="E15" s="44" t="s">
        <v>40</v>
      </c>
      <c r="F15" s="55">
        <v>7000.0</v>
      </c>
      <c r="G15" s="55">
        <f>4810.75+166.75</f>
        <v>4977.5</v>
      </c>
      <c r="H15" s="51">
        <f t="shared" si="1"/>
        <v>-2022.5</v>
      </c>
      <c r="I15" s="61">
        <f t="shared" si="3"/>
        <v>4588.5925</v>
      </c>
      <c r="J15" s="44">
        <v>7.0</v>
      </c>
      <c r="K15" s="44" t="s">
        <v>40</v>
      </c>
      <c r="L15" s="59">
        <v>4800.0</v>
      </c>
      <c r="M15" s="55">
        <f>6303.69-435</f>
        <v>5868.69</v>
      </c>
      <c r="N15" s="51">
        <f t="shared" si="2"/>
        <v>1068.69</v>
      </c>
    </row>
    <row r="16" ht="15.75" customHeight="1">
      <c r="D16" s="44">
        <v>8.0</v>
      </c>
      <c r="E16" s="44" t="s">
        <v>47</v>
      </c>
      <c r="F16" s="55">
        <v>6000.0</v>
      </c>
      <c r="G16" s="55">
        <f>5900.55</f>
        <v>5900.55</v>
      </c>
      <c r="H16" s="51">
        <f t="shared" si="1"/>
        <v>-99.45</v>
      </c>
      <c r="I16" s="61">
        <v>5034.896</v>
      </c>
      <c r="J16" s="44">
        <v>8.0</v>
      </c>
      <c r="K16" s="44" t="s">
        <v>47</v>
      </c>
      <c r="L16" s="59">
        <v>6600.0</v>
      </c>
      <c r="M16" s="55">
        <f>5479.63-385</f>
        <v>5094.63</v>
      </c>
      <c r="N16" s="51">
        <f t="shared" si="2"/>
        <v>-1505.37</v>
      </c>
    </row>
    <row r="17" ht="15.75" customHeight="1">
      <c r="D17" s="44">
        <v>9.0</v>
      </c>
      <c r="E17" s="44" t="s">
        <v>48</v>
      </c>
      <c r="F17" s="55">
        <v>15000.0</v>
      </c>
      <c r="G17" s="55">
        <f>13275.15-185</f>
        <v>13090.15</v>
      </c>
      <c r="H17" s="51">
        <f t="shared" si="1"/>
        <v>-1909.85</v>
      </c>
      <c r="I17" s="61">
        <v>9889.944</v>
      </c>
      <c r="J17" s="44">
        <v>9.0</v>
      </c>
      <c r="K17" s="44" t="s">
        <v>48</v>
      </c>
      <c r="L17" s="59">
        <v>11000.0</v>
      </c>
      <c r="M17" s="55">
        <f>10645.6-790</f>
        <v>9855.6</v>
      </c>
      <c r="N17" s="51">
        <f t="shared" si="2"/>
        <v>-1144.4</v>
      </c>
      <c r="S17" s="70"/>
      <c r="T17" s="71" t="s">
        <v>52</v>
      </c>
      <c r="U17" s="72"/>
      <c r="V17" s="73" t="s">
        <v>53</v>
      </c>
    </row>
    <row r="18" ht="15.75" customHeight="1">
      <c r="D18" s="44">
        <v>10.0</v>
      </c>
      <c r="E18" s="44" t="s">
        <v>41</v>
      </c>
      <c r="F18" s="55">
        <v>18600.0</v>
      </c>
      <c r="G18" s="55">
        <f>18325.1</f>
        <v>18325.1</v>
      </c>
      <c r="H18" s="51">
        <f t="shared" si="1"/>
        <v>-274.9</v>
      </c>
      <c r="I18" s="61">
        <v>15058.432</v>
      </c>
      <c r="J18" s="44">
        <v>10.0</v>
      </c>
      <c r="K18" s="44" t="s">
        <v>41</v>
      </c>
      <c r="L18" s="59">
        <v>14600.0</v>
      </c>
      <c r="M18" s="55">
        <f>15976.88-1178</f>
        <v>14798.88</v>
      </c>
      <c r="N18" s="51">
        <f t="shared" si="2"/>
        <v>198.88</v>
      </c>
      <c r="S18" s="74" t="s">
        <v>29</v>
      </c>
      <c r="T18" s="75">
        <v>355000.0</v>
      </c>
      <c r="U18" s="2" t="s">
        <v>29</v>
      </c>
      <c r="V18" s="76">
        <v>300000.0</v>
      </c>
    </row>
    <row r="19" ht="15.75" customHeight="1">
      <c r="D19" s="44">
        <v>11.0</v>
      </c>
      <c r="E19" s="44" t="s">
        <v>44</v>
      </c>
      <c r="F19" s="55">
        <f>21800</f>
        <v>21800</v>
      </c>
      <c r="G19" s="55">
        <f>22246.5</f>
        <v>22246.5</v>
      </c>
      <c r="H19" s="51">
        <f t="shared" si="1"/>
        <v>446.5</v>
      </c>
      <c r="I19" s="61">
        <v>21270.6625</v>
      </c>
      <c r="J19" s="44">
        <v>11.0</v>
      </c>
      <c r="K19" s="44" t="s">
        <v>44</v>
      </c>
      <c r="L19" s="59">
        <f>21000+600</f>
        <v>21600</v>
      </c>
      <c r="M19" s="55">
        <f>20468.04-1559</f>
        <v>18909.04</v>
      </c>
      <c r="N19" s="51">
        <f t="shared" si="2"/>
        <v>-2690.96</v>
      </c>
      <c r="S19" s="74"/>
      <c r="T19" s="2"/>
      <c r="U19" s="2"/>
      <c r="V19" s="77"/>
    </row>
    <row r="20" ht="15.75" customHeight="1">
      <c r="D20" s="44">
        <v>12.0</v>
      </c>
      <c r="E20" s="44" t="s">
        <v>45</v>
      </c>
      <c r="F20" s="55">
        <v>6800.0</v>
      </c>
      <c r="G20" s="55">
        <f>3260.4+171</f>
        <v>3431.4</v>
      </c>
      <c r="H20" s="51">
        <f t="shared" si="1"/>
        <v>-3368.6</v>
      </c>
      <c r="J20" s="44">
        <v>12.0</v>
      </c>
      <c r="K20" s="44" t="s">
        <v>45</v>
      </c>
      <c r="L20" s="59">
        <v>4000.0</v>
      </c>
      <c r="M20" s="55">
        <f>3072.4-269</f>
        <v>2803.4</v>
      </c>
      <c r="N20" s="51">
        <f t="shared" si="2"/>
        <v>-1196.6</v>
      </c>
      <c r="S20" s="74" t="s">
        <v>58</v>
      </c>
      <c r="T20" s="75">
        <f>SUM(G9:G15)</f>
        <v>81541.23</v>
      </c>
      <c r="U20" s="58" t="s">
        <v>58</v>
      </c>
      <c r="V20" s="76">
        <f>SUM(M9:M15)</f>
        <v>63853.12</v>
      </c>
    </row>
    <row r="21" ht="15.75" customHeight="1">
      <c r="D21" s="44">
        <v>13.0</v>
      </c>
      <c r="E21" s="44" t="s">
        <v>46</v>
      </c>
      <c r="F21" s="55">
        <v>4500.0</v>
      </c>
      <c r="G21" s="55">
        <f>5622.55</f>
        <v>5622.55</v>
      </c>
      <c r="H21" s="51">
        <f t="shared" si="1"/>
        <v>1122.55</v>
      </c>
      <c r="J21" s="44">
        <v>13.0</v>
      </c>
      <c r="K21" s="44" t="s">
        <v>46</v>
      </c>
      <c r="L21" s="59">
        <v>4800.0</v>
      </c>
      <c r="M21" s="55">
        <f>4964.86-292</f>
        <v>4672.86</v>
      </c>
      <c r="N21" s="51">
        <f t="shared" si="2"/>
        <v>-127.14</v>
      </c>
      <c r="S21" s="74"/>
      <c r="T21" s="79">
        <f>T20/T18</f>
        <v>0.2296936056</v>
      </c>
      <c r="V21" s="80">
        <f>V20/V18</f>
        <v>0.2128437333</v>
      </c>
      <c r="W21" s="66"/>
    </row>
    <row r="22" ht="15.75" customHeight="1">
      <c r="D22" s="44">
        <v>14.0</v>
      </c>
      <c r="E22" s="44" t="s">
        <v>40</v>
      </c>
      <c r="F22" s="55">
        <v>7000.0</v>
      </c>
      <c r="G22" s="55">
        <f>4307.65</f>
        <v>4307.65</v>
      </c>
      <c r="H22" s="51">
        <f t="shared" si="1"/>
        <v>-2692.35</v>
      </c>
      <c r="J22" s="44">
        <v>14.0</v>
      </c>
      <c r="K22" s="44" t="s">
        <v>40</v>
      </c>
      <c r="L22" s="59">
        <v>4800.0</v>
      </c>
      <c r="M22" s="55">
        <f>5192.24-493</f>
        <v>4699.24</v>
      </c>
      <c r="N22" s="51">
        <f t="shared" si="2"/>
        <v>-100.76</v>
      </c>
      <c r="S22" s="74"/>
      <c r="T22" s="81"/>
      <c r="V22" s="77"/>
    </row>
    <row r="23" ht="15.75" customHeight="1">
      <c r="D23" s="44">
        <v>15.0</v>
      </c>
      <c r="E23" s="44" t="s">
        <v>47</v>
      </c>
      <c r="F23" s="55">
        <v>6000.0</v>
      </c>
      <c r="G23" s="55">
        <f>4182.95+519.5</f>
        <v>4702.45</v>
      </c>
      <c r="H23" s="51">
        <f t="shared" si="1"/>
        <v>-1297.55</v>
      </c>
      <c r="J23" s="44">
        <v>15.0</v>
      </c>
      <c r="K23" s="44" t="s">
        <v>47</v>
      </c>
      <c r="L23" s="59">
        <v>6600.0</v>
      </c>
      <c r="M23" s="55">
        <f>4040.7-354</f>
        <v>3686.7</v>
      </c>
      <c r="N23" s="51">
        <f t="shared" si="2"/>
        <v>-2913.3</v>
      </c>
      <c r="S23" s="74" t="s">
        <v>62</v>
      </c>
      <c r="T23" s="75">
        <f>SUM(G16:G22)</f>
        <v>72923.9</v>
      </c>
      <c r="U23" s="58" t="s">
        <v>62</v>
      </c>
      <c r="V23" s="76">
        <f>SUM(M16:M22)</f>
        <v>60833.65</v>
      </c>
    </row>
    <row r="24" ht="15.75" customHeight="1">
      <c r="D24" s="44">
        <v>16.0</v>
      </c>
      <c r="E24" s="44" t="s">
        <v>48</v>
      </c>
      <c r="F24" s="55">
        <v>15000.0</v>
      </c>
      <c r="G24" s="55">
        <f>14572.95+198.5-195</f>
        <v>14576.45</v>
      </c>
      <c r="H24" s="51">
        <f t="shared" si="1"/>
        <v>-423.55</v>
      </c>
      <c r="J24" s="44">
        <v>16.0</v>
      </c>
      <c r="K24" s="44" t="s">
        <v>48</v>
      </c>
      <c r="L24" s="59">
        <v>11000.0</v>
      </c>
      <c r="M24" s="55">
        <f>10774.16-885</f>
        <v>9889.16</v>
      </c>
      <c r="N24" s="51">
        <f t="shared" si="2"/>
        <v>-1110.84</v>
      </c>
      <c r="S24" s="74"/>
      <c r="T24" s="79">
        <f>T23/T18</f>
        <v>0.2054194366</v>
      </c>
      <c r="V24" s="80">
        <f>V23/V18</f>
        <v>0.2027788333</v>
      </c>
    </row>
    <row r="25" ht="15.75" customHeight="1">
      <c r="D25" s="44">
        <v>17.0</v>
      </c>
      <c r="E25" s="44" t="s">
        <v>41</v>
      </c>
      <c r="F25" s="55">
        <v>18600.0</v>
      </c>
      <c r="G25" s="55">
        <f>15794.15</f>
        <v>15794.15</v>
      </c>
      <c r="H25" s="51">
        <f t="shared" si="1"/>
        <v>-2805.85</v>
      </c>
      <c r="J25" s="44">
        <v>17.0</v>
      </c>
      <c r="K25" s="44" t="s">
        <v>41</v>
      </c>
      <c r="L25" s="59">
        <v>14600.0</v>
      </c>
      <c r="M25" s="55">
        <f>17155.56-1208</f>
        <v>15947.56</v>
      </c>
      <c r="N25" s="51">
        <f t="shared" si="2"/>
        <v>1347.56</v>
      </c>
      <c r="S25" s="74"/>
      <c r="T25" s="81"/>
      <c r="V25" s="77"/>
    </row>
    <row r="26" ht="15.75" customHeight="1">
      <c r="D26" s="44">
        <v>18.0</v>
      </c>
      <c r="E26" s="44" t="s">
        <v>44</v>
      </c>
      <c r="F26" s="55">
        <v>19400.0</v>
      </c>
      <c r="G26" s="55">
        <f>22381.3</f>
        <v>22381.3</v>
      </c>
      <c r="H26" s="51">
        <f t="shared" si="1"/>
        <v>2981.3</v>
      </c>
      <c r="J26" s="44">
        <v>18.0</v>
      </c>
      <c r="K26" s="44" t="s">
        <v>44</v>
      </c>
      <c r="L26" s="59">
        <v>21000.0</v>
      </c>
      <c r="M26" s="55">
        <f>24403.36-1872</f>
        <v>22531.36</v>
      </c>
      <c r="N26" s="51">
        <f t="shared" si="2"/>
        <v>1531.36</v>
      </c>
      <c r="S26" s="74" t="s">
        <v>63</v>
      </c>
      <c r="T26" s="75">
        <f>SUM(G23:G29)</f>
        <v>72395.79</v>
      </c>
      <c r="U26" s="58" t="s">
        <v>63</v>
      </c>
      <c r="V26" s="76">
        <f>SUM(M23:M29)</f>
        <v>63876.88</v>
      </c>
    </row>
    <row r="27" ht="15.75" customHeight="1">
      <c r="D27" s="44">
        <v>19.0</v>
      </c>
      <c r="E27" s="44" t="s">
        <v>45</v>
      </c>
      <c r="F27" s="55">
        <v>6800.0</v>
      </c>
      <c r="G27" s="55">
        <f>5335.5</f>
        <v>5335.5</v>
      </c>
      <c r="H27" s="51">
        <f t="shared" si="1"/>
        <v>-1464.5</v>
      </c>
      <c r="J27" s="44">
        <v>19.0</v>
      </c>
      <c r="K27" s="44" t="s">
        <v>45</v>
      </c>
      <c r="L27" s="59">
        <v>4000.0</v>
      </c>
      <c r="M27" s="55">
        <f>4537.18-290-8</f>
        <v>4239.18</v>
      </c>
      <c r="N27" s="51">
        <f t="shared" si="2"/>
        <v>239.18</v>
      </c>
      <c r="S27" s="74"/>
      <c r="T27" s="79">
        <f>T26/T18</f>
        <v>0.2039318028</v>
      </c>
      <c r="V27" s="80">
        <f>V26/V18</f>
        <v>0.2129229333</v>
      </c>
    </row>
    <row r="28" ht="15.75" customHeight="1">
      <c r="D28" s="44">
        <v>20.0</v>
      </c>
      <c r="E28" s="44" t="s">
        <v>46</v>
      </c>
      <c r="F28" s="55">
        <v>4500.0</v>
      </c>
      <c r="G28" s="55">
        <f>4728.94</f>
        <v>4728.94</v>
      </c>
      <c r="H28" s="51">
        <f t="shared" si="1"/>
        <v>228.94</v>
      </c>
      <c r="J28" s="44">
        <v>20.0</v>
      </c>
      <c r="K28" s="44" t="s">
        <v>46</v>
      </c>
      <c r="L28" s="59">
        <v>4800.0</v>
      </c>
      <c r="M28" s="55">
        <f>4969.11-412</f>
        <v>4557.11</v>
      </c>
      <c r="N28" s="51">
        <f t="shared" si="2"/>
        <v>-242.89</v>
      </c>
      <c r="S28" s="74"/>
      <c r="V28" s="82"/>
    </row>
    <row r="29" ht="15.75" customHeight="1">
      <c r="D29" s="44">
        <v>21.0</v>
      </c>
      <c r="E29" s="47" t="s">
        <v>40</v>
      </c>
      <c r="F29" s="55">
        <v>7000.0</v>
      </c>
      <c r="G29" s="55">
        <f>4729.25+147.75</f>
        <v>4877</v>
      </c>
      <c r="H29" s="51">
        <f t="shared" si="1"/>
        <v>-2123</v>
      </c>
      <c r="J29" s="44">
        <v>21.0</v>
      </c>
      <c r="K29" s="47" t="s">
        <v>40</v>
      </c>
      <c r="L29" s="59">
        <v>4800.0</v>
      </c>
      <c r="M29" s="55">
        <f>3280.81-255</f>
        <v>3025.81</v>
      </c>
      <c r="N29" s="51">
        <f t="shared" si="2"/>
        <v>-1774.19</v>
      </c>
      <c r="S29" s="74" t="s">
        <v>64</v>
      </c>
      <c r="T29" s="61">
        <f>SUM(G30:G36)</f>
        <v>66929.84</v>
      </c>
      <c r="U29" s="58" t="s">
        <v>64</v>
      </c>
      <c r="V29" s="83">
        <f>SUM(M30:M36)</f>
        <v>63229.72</v>
      </c>
    </row>
    <row r="30" ht="15.75" customHeight="1">
      <c r="D30" s="44">
        <v>22.0</v>
      </c>
      <c r="E30" s="47" t="s">
        <v>47</v>
      </c>
      <c r="F30" s="55">
        <v>6000.0</v>
      </c>
      <c r="G30" s="55">
        <f>5978.5</f>
        <v>5978.5</v>
      </c>
      <c r="H30" s="51">
        <f t="shared" si="1"/>
        <v>-21.5</v>
      </c>
      <c r="J30" s="44">
        <v>22.0</v>
      </c>
      <c r="K30" s="47" t="s">
        <v>47</v>
      </c>
      <c r="L30" s="59">
        <v>6600.0</v>
      </c>
      <c r="M30" s="55">
        <f>5040.67-370</f>
        <v>4670.67</v>
      </c>
      <c r="N30" s="51">
        <f t="shared" si="2"/>
        <v>-1929.33</v>
      </c>
      <c r="S30" s="74"/>
      <c r="T30" s="79">
        <f>T29/T18</f>
        <v>0.1885347606</v>
      </c>
      <c r="V30" s="80">
        <f>V29/V18</f>
        <v>0.2107657333</v>
      </c>
    </row>
    <row r="31" ht="15.75" customHeight="1">
      <c r="D31" s="44">
        <v>23.0</v>
      </c>
      <c r="E31" s="47" t="s">
        <v>48</v>
      </c>
      <c r="F31" s="55">
        <v>15000.0</v>
      </c>
      <c r="G31" s="55">
        <f>12052.75-85</f>
        <v>11967.75</v>
      </c>
      <c r="H31" s="51">
        <f t="shared" si="1"/>
        <v>-3032.25</v>
      </c>
      <c r="J31" s="44">
        <v>23.0</v>
      </c>
      <c r="K31" s="47" t="s">
        <v>48</v>
      </c>
      <c r="L31" s="59">
        <v>11000.0</v>
      </c>
      <c r="M31" s="55">
        <f>10022.03-750</f>
        <v>9272.03</v>
      </c>
      <c r="N31" s="51">
        <f t="shared" si="2"/>
        <v>-1727.97</v>
      </c>
      <c r="S31" s="74" t="s">
        <v>65</v>
      </c>
      <c r="T31" s="61">
        <f>SUM(G37:G39)</f>
        <v>36716.33</v>
      </c>
      <c r="U31" s="58" t="s">
        <v>65</v>
      </c>
      <c r="V31" s="83">
        <f>SUM(M37:M39)</f>
        <v>32592.37</v>
      </c>
    </row>
    <row r="32" ht="15.75" customHeight="1">
      <c r="D32" s="44">
        <v>24.0</v>
      </c>
      <c r="E32" s="44" t="s">
        <v>41</v>
      </c>
      <c r="F32" s="55">
        <v>18600.0</v>
      </c>
      <c r="G32" s="55">
        <f>11638</f>
        <v>11638</v>
      </c>
      <c r="H32" s="51">
        <f t="shared" si="1"/>
        <v>-6962</v>
      </c>
      <c r="J32" s="44">
        <v>24.0</v>
      </c>
      <c r="K32" s="44" t="s">
        <v>41</v>
      </c>
      <c r="L32" s="59">
        <v>14600.0</v>
      </c>
      <c r="M32" s="55">
        <f>14618.32-1087</f>
        <v>13531.32</v>
      </c>
      <c r="N32" s="51">
        <f t="shared" si="2"/>
        <v>-1068.68</v>
      </c>
      <c r="S32" s="84" t="s">
        <v>121</v>
      </c>
      <c r="T32" s="85">
        <f>T31/T18</f>
        <v>0.1034262817</v>
      </c>
      <c r="U32" s="86" t="s">
        <v>121</v>
      </c>
      <c r="V32" s="87">
        <f>V31/V18</f>
        <v>0.1086412333</v>
      </c>
    </row>
    <row r="33" ht="15.75" customHeight="1">
      <c r="D33" s="44">
        <v>25.0</v>
      </c>
      <c r="E33" s="44" t="s">
        <v>44</v>
      </c>
      <c r="F33" s="55">
        <v>19400.0</v>
      </c>
      <c r="G33" s="55">
        <f>19683.29</f>
        <v>19683.29</v>
      </c>
      <c r="H33" s="51">
        <f t="shared" si="1"/>
        <v>283.29</v>
      </c>
      <c r="J33" s="44">
        <v>25.0</v>
      </c>
      <c r="K33" s="44" t="s">
        <v>44</v>
      </c>
      <c r="L33" s="59">
        <v>21000.0</v>
      </c>
      <c r="M33" s="55">
        <f>24435.18-1734</f>
        <v>22701.18</v>
      </c>
      <c r="N33" s="51">
        <f t="shared" si="2"/>
        <v>1701.18</v>
      </c>
    </row>
    <row r="34" ht="15.75" customHeight="1">
      <c r="D34" s="44">
        <v>26.0</v>
      </c>
      <c r="E34" s="44" t="s">
        <v>45</v>
      </c>
      <c r="F34" s="55">
        <v>6800.0</v>
      </c>
      <c r="G34" s="55">
        <f>7138.15</f>
        <v>7138.15</v>
      </c>
      <c r="H34" s="51">
        <f t="shared" si="1"/>
        <v>338.15</v>
      </c>
      <c r="J34" s="44">
        <v>26.0</v>
      </c>
      <c r="K34" s="44" t="s">
        <v>45</v>
      </c>
      <c r="L34" s="59">
        <v>4000.0</v>
      </c>
      <c r="M34" s="55">
        <f>3440.04-290</f>
        <v>3150.04</v>
      </c>
      <c r="N34" s="51">
        <f t="shared" si="2"/>
        <v>-849.96</v>
      </c>
      <c r="R34" s="179" t="s">
        <v>72</v>
      </c>
      <c r="S34" s="93" t="s">
        <v>73</v>
      </c>
      <c r="T34" s="94">
        <f>T20+T23+T26+T29+T31</f>
        <v>330507.09</v>
      </c>
      <c r="U34" s="164" t="s">
        <v>74</v>
      </c>
      <c r="V34" s="96">
        <f>V20+V23+V26+V29+V31</f>
        <v>284385.74</v>
      </c>
      <c r="W34" s="179" t="s">
        <v>72</v>
      </c>
    </row>
    <row r="35" ht="15.75" customHeight="1">
      <c r="D35" s="44">
        <v>27.0</v>
      </c>
      <c r="E35" s="44" t="s">
        <v>46</v>
      </c>
      <c r="F35" s="55">
        <v>4500.0</v>
      </c>
      <c r="G35" s="55">
        <f>448.6+5389.05</f>
        <v>5837.65</v>
      </c>
      <c r="H35" s="51">
        <f t="shared" si="1"/>
        <v>1337.65</v>
      </c>
      <c r="J35" s="44">
        <v>27.0</v>
      </c>
      <c r="K35" s="44" t="s">
        <v>46</v>
      </c>
      <c r="L35" s="59">
        <v>4800.0</v>
      </c>
      <c r="M35" s="55">
        <f>5446.85-303</f>
        <v>5143.85</v>
      </c>
      <c r="N35" s="51">
        <f t="shared" si="2"/>
        <v>343.85</v>
      </c>
      <c r="R35" s="180">
        <f>T35-U35</f>
        <v>-0.06899411268</v>
      </c>
      <c r="S35" s="98"/>
      <c r="T35" s="99">
        <f>T34/T18</f>
        <v>0.9310058873</v>
      </c>
      <c r="U35" s="181">
        <v>1.0</v>
      </c>
      <c r="V35" s="100">
        <f>V34/V18</f>
        <v>0.9479524667</v>
      </c>
      <c r="W35" s="180">
        <f>V35-U35</f>
        <v>-0.05204753333</v>
      </c>
    </row>
    <row r="36" ht="15.75" customHeight="1">
      <c r="D36" s="44">
        <v>28.0</v>
      </c>
      <c r="E36" s="44" t="s">
        <v>40</v>
      </c>
      <c r="F36" s="55">
        <v>7000.0</v>
      </c>
      <c r="G36" s="55">
        <f>4580.2+106.3</f>
        <v>4686.5</v>
      </c>
      <c r="H36" s="51">
        <f t="shared" si="1"/>
        <v>-2313.5</v>
      </c>
      <c r="J36" s="44">
        <v>28.0</v>
      </c>
      <c r="K36" s="44" t="s">
        <v>40</v>
      </c>
      <c r="L36" s="59">
        <v>4800.0</v>
      </c>
      <c r="M36" s="55">
        <f>5097.63-337</f>
        <v>4760.63</v>
      </c>
      <c r="N36" s="51">
        <f t="shared" si="2"/>
        <v>-39.37</v>
      </c>
      <c r="S36" s="98" t="s">
        <v>76</v>
      </c>
      <c r="T36" s="104">
        <f>T18-T34</f>
        <v>24492.91</v>
      </c>
      <c r="U36" s="99"/>
      <c r="V36" s="106">
        <f>V18-V34</f>
        <v>15614.26</v>
      </c>
    </row>
    <row r="37" ht="15.75" customHeight="1">
      <c r="D37" s="44">
        <v>29.0</v>
      </c>
      <c r="E37" s="44" t="s">
        <v>47</v>
      </c>
      <c r="F37" s="55">
        <v>6000.0</v>
      </c>
      <c r="G37" s="55">
        <f>10237.93</f>
        <v>10237.93</v>
      </c>
      <c r="H37" s="51">
        <f t="shared" si="1"/>
        <v>4237.93</v>
      </c>
      <c r="J37" s="44">
        <v>29.0</v>
      </c>
      <c r="K37" s="44" t="s">
        <v>47</v>
      </c>
      <c r="L37" s="59">
        <v>6600.0</v>
      </c>
      <c r="M37" s="55">
        <f>6445.91-391</f>
        <v>6054.91</v>
      </c>
      <c r="N37" s="51">
        <f t="shared" si="2"/>
        <v>-545.09</v>
      </c>
      <c r="S37" s="110"/>
      <c r="T37" s="112">
        <f>T36/T18</f>
        <v>0.06899411268</v>
      </c>
      <c r="U37" s="112"/>
      <c r="V37" s="113">
        <f>V36/V18</f>
        <v>0.05204753333</v>
      </c>
    </row>
    <row r="38" ht="15.75" customHeight="1">
      <c r="D38" s="44">
        <v>30.0</v>
      </c>
      <c r="E38" s="44" t="s">
        <v>48</v>
      </c>
      <c r="F38" s="55">
        <v>15000.0</v>
      </c>
      <c r="G38" s="55">
        <f>10101-85</f>
        <v>10016</v>
      </c>
      <c r="H38" s="51">
        <f t="shared" si="1"/>
        <v>-4984</v>
      </c>
      <c r="J38" s="44">
        <v>30.0</v>
      </c>
      <c r="K38" s="44" t="s">
        <v>48</v>
      </c>
      <c r="L38" s="59">
        <v>11000.0</v>
      </c>
      <c r="M38" s="55">
        <f>12793.42-893</f>
        <v>11900.42</v>
      </c>
      <c r="N38" s="51">
        <f t="shared" si="2"/>
        <v>900.42</v>
      </c>
    </row>
    <row r="39" ht="15.75" customHeight="1">
      <c r="D39" s="44">
        <v>31.0</v>
      </c>
      <c r="E39" s="44" t="s">
        <v>41</v>
      </c>
      <c r="F39" s="55">
        <v>18600.0</v>
      </c>
      <c r="G39" s="55">
        <f>16462.4</f>
        <v>16462.4</v>
      </c>
      <c r="H39" s="51">
        <f t="shared" si="1"/>
        <v>-2137.6</v>
      </c>
      <c r="J39" s="44">
        <v>31.0</v>
      </c>
      <c r="K39" s="44" t="s">
        <v>41</v>
      </c>
      <c r="L39" s="59">
        <v>14600.0</v>
      </c>
      <c r="M39" s="55">
        <f>15684.04-1047</f>
        <v>14637.04</v>
      </c>
      <c r="N39" s="51">
        <f t="shared" si="2"/>
        <v>37.04</v>
      </c>
    </row>
    <row r="40" ht="15.75" customHeight="1">
      <c r="D40" s="8"/>
      <c r="E40" s="8"/>
      <c r="F40" s="107">
        <f t="shared" ref="F40:H40" si="4">SUM(F9:F39)</f>
        <v>355000</v>
      </c>
      <c r="G40" s="107">
        <f t="shared" si="4"/>
        <v>330507.09</v>
      </c>
      <c r="H40" s="105">
        <f t="shared" si="4"/>
        <v>-24492.91</v>
      </c>
      <c r="J40" s="8"/>
      <c r="K40" s="8"/>
      <c r="L40" s="107">
        <f t="shared" ref="L40:N40" si="5">SUM(L9:L39)</f>
        <v>300000</v>
      </c>
      <c r="M40" s="107">
        <f t="shared" si="5"/>
        <v>284385.74</v>
      </c>
      <c r="N40" s="105">
        <f t="shared" si="5"/>
        <v>-15614.26</v>
      </c>
    </row>
    <row r="41" ht="15.75" customHeight="1">
      <c r="G41" s="114">
        <f>G40/E44</f>
        <v>0.9310058873</v>
      </c>
      <c r="H41" s="1"/>
      <c r="J41" s="1"/>
      <c r="K41" s="1"/>
      <c r="L41" s="1"/>
      <c r="M41" s="114">
        <f>M40/K44</f>
        <v>0.9479524667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330507.09</v>
      </c>
      <c r="L43" s="115" t="s">
        <v>77</v>
      </c>
      <c r="M43" s="118">
        <f>L40+N40</f>
        <v>284385.74</v>
      </c>
    </row>
    <row r="44" ht="15.75" customHeight="1">
      <c r="D44" s="122" t="s">
        <v>29</v>
      </c>
      <c r="E44" s="124">
        <v>355000.0</v>
      </c>
      <c r="F44" s="2"/>
      <c r="G44" s="2"/>
      <c r="J44" s="126" t="s">
        <v>29</v>
      </c>
      <c r="K44" s="124">
        <v>300000.0</v>
      </c>
      <c r="L44" s="2"/>
      <c r="M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4:H6"/>
    <mergeCell ref="J4:N6"/>
    <mergeCell ref="D7:H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7.11"/>
    <col customWidth="1" min="3" max="3" width="19.67"/>
    <col customWidth="1" min="4" max="4" width="18.67"/>
    <col customWidth="1" min="5" max="5" width="17.11"/>
    <col customWidth="1" min="6" max="6" width="18.78"/>
    <col customWidth="1" min="7" max="7" width="13.0"/>
    <col customWidth="1" min="8" max="8" width="21.0"/>
    <col customWidth="1" min="9" max="9" width="20.11"/>
    <col customWidth="1" min="10" max="10" width="14.78"/>
    <col customWidth="1" min="11" max="11" width="19.67"/>
    <col customWidth="1" min="12" max="12" width="18.67"/>
    <col customWidth="1" min="13" max="13" width="20.11"/>
    <col customWidth="1" min="14" max="14" width="18.78"/>
    <col customWidth="1" min="15" max="15" width="18.33"/>
    <col customWidth="1" min="16" max="16" width="17.0"/>
    <col customWidth="1" min="17" max="17" width="19.0"/>
    <col customWidth="1" min="18" max="18" width="18.78"/>
    <col customWidth="1" min="19" max="19" width="22.0"/>
    <col customWidth="1" min="20" max="20" width="15.78"/>
    <col customWidth="1" min="21" max="21" width="17.67"/>
    <col customWidth="1" min="22" max="23" width="11.0"/>
    <col customWidth="1" min="24" max="25" width="15.0"/>
    <col customWidth="1" min="26" max="26" width="15.11"/>
    <col customWidth="1" min="27" max="28" width="16.0"/>
    <col customWidth="1" min="29" max="30" width="15.0"/>
    <col customWidth="1" min="31" max="31" width="15.78"/>
    <col customWidth="1" min="32" max="32" width="11.0"/>
    <col customWidth="1" min="33" max="33" width="13.78"/>
    <col customWidth="1" min="34" max="34" width="21.44"/>
    <col customWidth="1" min="35" max="35" width="16.0"/>
    <col customWidth="1" min="36" max="36" width="22.44"/>
    <col customWidth="1" min="37" max="37" width="21.33"/>
    <col customWidth="1" min="38" max="38" width="14.11"/>
    <col customWidth="1" min="39" max="39" width="15.67"/>
    <col customWidth="1" min="40" max="40" width="21.44"/>
    <col customWidth="1" min="41" max="41" width="23.67"/>
    <col customWidth="1" min="42" max="42" width="21.0"/>
  </cols>
  <sheetData>
    <row r="1" ht="10.5" customHeight="1"/>
    <row r="2" ht="15.75" customHeight="1"/>
    <row r="3" ht="16.5" customHeight="1"/>
    <row r="4" ht="16.5" customHeight="1">
      <c r="B4" s="2"/>
      <c r="C4" s="2"/>
      <c r="D4" s="2"/>
      <c r="E4" s="2"/>
      <c r="L4" s="2"/>
      <c r="M4" s="2"/>
      <c r="P4" s="2"/>
      <c r="Q4" s="2"/>
      <c r="R4" s="2"/>
      <c r="S4" s="2"/>
      <c r="V4" s="15"/>
    </row>
    <row r="5" ht="15.75" customHeight="1">
      <c r="B5" s="2"/>
      <c r="C5" s="2"/>
      <c r="D5" s="2"/>
      <c r="E5" s="2"/>
      <c r="J5" s="17" t="s">
        <v>13</v>
      </c>
      <c r="K5" s="18"/>
      <c r="L5" s="18"/>
      <c r="M5" s="18"/>
      <c r="N5" s="19"/>
      <c r="P5" s="27" t="s">
        <v>22</v>
      </c>
      <c r="Q5" s="18"/>
      <c r="R5" s="18"/>
      <c r="S5" s="18"/>
      <c r="T5" s="19"/>
    </row>
    <row r="6" ht="9.0" customHeight="1">
      <c r="B6" s="2"/>
      <c r="C6" s="2"/>
      <c r="D6" s="2"/>
      <c r="E6" s="2"/>
      <c r="J6" s="31"/>
      <c r="N6" s="32"/>
      <c r="P6" s="31"/>
      <c r="T6" s="32"/>
      <c r="AN6" s="2"/>
      <c r="AO6" s="2"/>
    </row>
    <row r="7" ht="15.0" customHeight="1">
      <c r="B7" s="2"/>
      <c r="C7" s="2"/>
      <c r="D7" s="2"/>
      <c r="E7" s="2"/>
      <c r="J7" s="34"/>
      <c r="K7" s="35"/>
      <c r="L7" s="35"/>
      <c r="M7" s="35"/>
      <c r="N7" s="36"/>
      <c r="P7" s="34"/>
      <c r="Q7" s="35"/>
      <c r="R7" s="35"/>
      <c r="S7" s="35"/>
      <c r="T7" s="36"/>
      <c r="AG7" s="1"/>
      <c r="AH7" s="1"/>
      <c r="AI7" s="1"/>
      <c r="AJ7" s="1"/>
      <c r="AK7" s="1"/>
      <c r="AL7" s="1"/>
      <c r="AM7" s="1"/>
      <c r="AN7" s="8"/>
      <c r="AO7" s="8"/>
      <c r="AP7" s="1"/>
    </row>
    <row r="8" ht="21.75" customHeight="1">
      <c r="B8" s="2"/>
      <c r="C8" s="2"/>
      <c r="D8" s="2"/>
      <c r="E8" s="2"/>
      <c r="J8" s="40" t="s">
        <v>28</v>
      </c>
      <c r="K8" s="41"/>
      <c r="L8" s="41"/>
      <c r="M8" s="41"/>
      <c r="N8" s="6"/>
      <c r="P8" s="136" t="s">
        <v>28</v>
      </c>
      <c r="Q8" s="136"/>
      <c r="R8" s="136"/>
      <c r="S8" s="136"/>
      <c r="T8" s="136"/>
      <c r="X8" s="1"/>
      <c r="Y8" s="3"/>
      <c r="Z8" s="3"/>
      <c r="AB8" s="1"/>
      <c r="AC8" s="3"/>
      <c r="AG8" s="1"/>
      <c r="AH8" s="137" t="s">
        <v>116</v>
      </c>
      <c r="AI8" s="41"/>
      <c r="AJ8" s="6"/>
      <c r="AL8" s="137" t="s">
        <v>117</v>
      </c>
      <c r="AM8" s="41"/>
      <c r="AN8" s="6"/>
    </row>
    <row r="9" ht="31.5" customHeight="1">
      <c r="B9" s="2"/>
      <c r="C9" s="2"/>
      <c r="D9" s="2"/>
      <c r="E9" s="2"/>
      <c r="J9" s="44" t="s">
        <v>32</v>
      </c>
      <c r="K9" s="44" t="s">
        <v>33</v>
      </c>
      <c r="L9" s="44" t="s">
        <v>36</v>
      </c>
      <c r="M9" s="44" t="s">
        <v>37</v>
      </c>
      <c r="N9" s="44" t="s">
        <v>38</v>
      </c>
      <c r="P9" s="44" t="s">
        <v>32</v>
      </c>
      <c r="Q9" s="44" t="s">
        <v>33</v>
      </c>
      <c r="R9" s="44" t="s">
        <v>36</v>
      </c>
      <c r="S9" s="44" t="s">
        <v>37</v>
      </c>
      <c r="T9" s="44" t="s">
        <v>38</v>
      </c>
      <c r="X9" s="1"/>
      <c r="Y9" s="1"/>
      <c r="Z9" s="3"/>
      <c r="AA9" s="3"/>
      <c r="AG9" s="1"/>
      <c r="AH9" s="44" t="s">
        <v>32</v>
      </c>
      <c r="AI9" s="44" t="s">
        <v>33</v>
      </c>
      <c r="AJ9" s="138" t="s">
        <v>118</v>
      </c>
      <c r="AL9" s="44" t="s">
        <v>32</v>
      </c>
      <c r="AM9" s="44" t="s">
        <v>33</v>
      </c>
      <c r="AN9" s="138" t="s">
        <v>119</v>
      </c>
    </row>
    <row r="10" ht="15.75" customHeight="1">
      <c r="B10" s="2"/>
      <c r="C10" s="2"/>
      <c r="D10" s="2"/>
      <c r="E10" s="2"/>
      <c r="J10" s="47">
        <v>1.0</v>
      </c>
      <c r="K10" s="44" t="s">
        <v>47</v>
      </c>
      <c r="L10" s="160">
        <f>9800</f>
        <v>9800</v>
      </c>
      <c r="M10" s="160">
        <f>9878.35-75</f>
        <v>9803.35</v>
      </c>
      <c r="N10" s="51">
        <f t="shared" ref="N10:N40" si="1">M10-L10</f>
        <v>3.35</v>
      </c>
      <c r="P10" s="47">
        <v>1.0</v>
      </c>
      <c r="Q10" s="44" t="s">
        <v>47</v>
      </c>
      <c r="R10" s="59">
        <v>6600.0</v>
      </c>
      <c r="S10" s="154">
        <f>6080.57-397-16</f>
        <v>5667.57</v>
      </c>
      <c r="T10" s="51">
        <f t="shared" ref="T10:T40" si="2">S10-R10</f>
        <v>-932.43</v>
      </c>
      <c r="X10" s="139" t="s">
        <v>89</v>
      </c>
      <c r="Y10" s="41"/>
      <c r="Z10" s="41"/>
      <c r="AA10" s="6"/>
      <c r="AC10" s="139" t="s">
        <v>1</v>
      </c>
      <c r="AD10" s="41"/>
      <c r="AE10" s="6"/>
      <c r="AG10" s="1"/>
      <c r="AH10" s="176">
        <v>1.0</v>
      </c>
      <c r="AI10" s="176" t="s">
        <v>44</v>
      </c>
      <c r="AJ10" s="63">
        <v>16397.1</v>
      </c>
      <c r="AL10" s="176">
        <v>1.0</v>
      </c>
      <c r="AM10" s="176" t="s">
        <v>44</v>
      </c>
      <c r="AN10" s="63">
        <f>10028.78+208+13454.66-1710</f>
        <v>21981.44</v>
      </c>
    </row>
    <row r="11" ht="15.75" customHeight="1">
      <c r="B11" s="2"/>
      <c r="C11" s="2"/>
      <c r="D11" s="2"/>
      <c r="E11" s="2"/>
      <c r="J11" s="47">
        <v>2.0</v>
      </c>
      <c r="K11" s="44" t="s">
        <v>48</v>
      </c>
      <c r="L11" s="55">
        <v>15000.0</v>
      </c>
      <c r="M11" s="55">
        <f>11690.55+5733-305</f>
        <v>17118.55</v>
      </c>
      <c r="N11" s="51">
        <f t="shared" si="1"/>
        <v>2118.55</v>
      </c>
      <c r="P11" s="47">
        <v>2.0</v>
      </c>
      <c r="Q11" s="44" t="s">
        <v>48</v>
      </c>
      <c r="R11" s="59">
        <v>11000.0</v>
      </c>
      <c r="S11" s="177">
        <f>9155.51-623</f>
        <v>8532.51</v>
      </c>
      <c r="T11" s="51">
        <f t="shared" si="2"/>
        <v>-2467.49</v>
      </c>
      <c r="X11" s="140"/>
      <c r="Y11" s="141">
        <v>45139.0</v>
      </c>
      <c r="Z11" s="141">
        <v>45170.0</v>
      </c>
      <c r="AA11" s="142" t="s">
        <v>90</v>
      </c>
      <c r="AC11" s="140"/>
      <c r="AD11" s="141">
        <v>45505.0</v>
      </c>
      <c r="AE11" s="141" t="s">
        <v>120</v>
      </c>
      <c r="AG11" s="1"/>
      <c r="AH11" s="176">
        <v>2.0</v>
      </c>
      <c r="AI11" s="176" t="s">
        <v>45</v>
      </c>
      <c r="AJ11" s="63">
        <v>8363.26</v>
      </c>
      <c r="AL11" s="176">
        <v>2.0</v>
      </c>
      <c r="AM11" s="176" t="s">
        <v>45</v>
      </c>
      <c r="AN11" s="63">
        <f>2687.53+1702-282</f>
        <v>4107.53</v>
      </c>
    </row>
    <row r="12" ht="15.75" customHeight="1">
      <c r="B12" s="2"/>
      <c r="C12" s="2"/>
      <c r="D12" s="2"/>
      <c r="E12" s="2"/>
      <c r="J12" s="47">
        <v>3.0</v>
      </c>
      <c r="K12" s="44" t="s">
        <v>41</v>
      </c>
      <c r="L12" s="55">
        <v>18600.0</v>
      </c>
      <c r="M12" s="55">
        <f>17051</f>
        <v>17051</v>
      </c>
      <c r="N12" s="51">
        <f t="shared" si="1"/>
        <v>-1549</v>
      </c>
      <c r="P12" s="47">
        <v>3.0</v>
      </c>
      <c r="Q12" s="44" t="s">
        <v>41</v>
      </c>
      <c r="R12" s="59">
        <v>14600.0</v>
      </c>
      <c r="S12" s="69">
        <f>17617.36-1240</f>
        <v>16377.36</v>
      </c>
      <c r="T12" s="51">
        <f t="shared" si="2"/>
        <v>1777.36</v>
      </c>
      <c r="X12" s="140" t="s">
        <v>6</v>
      </c>
      <c r="Y12" s="55">
        <v>4617.36</v>
      </c>
      <c r="Z12" s="55">
        <v>3973.81</v>
      </c>
      <c r="AA12" s="143">
        <f t="shared" ref="AA12:AA18" si="3">Z12/Y12-1</f>
        <v>-0.1393761803</v>
      </c>
      <c r="AC12" s="140" t="s">
        <v>6</v>
      </c>
      <c r="AD12" s="55">
        <v>5923.39</v>
      </c>
      <c r="AE12" s="144">
        <f t="shared" ref="AE12:AE18" si="4">AD12*AA12+AD12</f>
        <v>5097.810527</v>
      </c>
      <c r="AG12" s="1"/>
      <c r="AH12" s="176">
        <v>3.0</v>
      </c>
      <c r="AI12" s="176" t="s">
        <v>46</v>
      </c>
      <c r="AJ12" s="63">
        <f>5777.3</f>
        <v>5777.3</v>
      </c>
      <c r="AL12" s="176">
        <v>3.0</v>
      </c>
      <c r="AM12" s="176" t="s">
        <v>46</v>
      </c>
      <c r="AN12" s="63">
        <f>1429.73+1588.06-232</f>
        <v>2785.79</v>
      </c>
    </row>
    <row r="13" ht="15.75" customHeight="1">
      <c r="B13" s="2"/>
      <c r="C13" s="2"/>
      <c r="D13" s="2"/>
      <c r="E13" s="2"/>
      <c r="J13" s="47">
        <v>4.0</v>
      </c>
      <c r="K13" s="44" t="s">
        <v>44</v>
      </c>
      <c r="L13" s="55">
        <v>19400.0</v>
      </c>
      <c r="M13" s="55">
        <f>20122.28</f>
        <v>20122.28</v>
      </c>
      <c r="N13" s="51">
        <f t="shared" si="1"/>
        <v>722.28</v>
      </c>
      <c r="P13" s="47">
        <v>4.0</v>
      </c>
      <c r="Q13" s="44" t="s">
        <v>44</v>
      </c>
      <c r="R13" s="59">
        <v>21000.0</v>
      </c>
      <c r="S13" s="55">
        <f>22586.07-1645</f>
        <v>20941.07</v>
      </c>
      <c r="T13" s="51">
        <f t="shared" si="2"/>
        <v>-58.93</v>
      </c>
      <c r="X13" s="140" t="s">
        <v>10</v>
      </c>
      <c r="Y13" s="55">
        <v>4490.59</v>
      </c>
      <c r="Z13" s="55">
        <v>5801.39</v>
      </c>
      <c r="AA13" s="143">
        <f t="shared" si="3"/>
        <v>0.2918992827</v>
      </c>
      <c r="AC13" s="140" t="s">
        <v>10</v>
      </c>
      <c r="AD13" s="55">
        <v>5217.3</v>
      </c>
      <c r="AE13" s="144">
        <f t="shared" si="4"/>
        <v>6740.226128</v>
      </c>
      <c r="AG13" s="1"/>
      <c r="AH13" s="47">
        <v>4.0</v>
      </c>
      <c r="AI13" s="44" t="s">
        <v>40</v>
      </c>
      <c r="AJ13" s="144">
        <v>4245.127135442111</v>
      </c>
      <c r="AL13" s="47">
        <v>4.0</v>
      </c>
      <c r="AM13" s="44" t="s">
        <v>40</v>
      </c>
      <c r="AN13" s="144">
        <v>6514.759669093353</v>
      </c>
    </row>
    <row r="14" ht="15.75" customHeight="1">
      <c r="B14" s="2"/>
      <c r="C14" s="2"/>
      <c r="D14" s="2"/>
      <c r="E14" s="2"/>
      <c r="J14" s="47">
        <v>5.0</v>
      </c>
      <c r="K14" s="44" t="s">
        <v>45</v>
      </c>
      <c r="L14" s="55">
        <v>6800.0</v>
      </c>
      <c r="M14" s="55">
        <f>7788.5</f>
        <v>7788.5</v>
      </c>
      <c r="N14" s="51">
        <f t="shared" si="1"/>
        <v>988.5</v>
      </c>
      <c r="P14" s="47">
        <v>5.0</v>
      </c>
      <c r="Q14" s="44" t="s">
        <v>45</v>
      </c>
      <c r="R14" s="59">
        <v>4000.0</v>
      </c>
      <c r="S14" s="55">
        <f>3594.47-230</f>
        <v>3364.47</v>
      </c>
      <c r="T14" s="51">
        <f t="shared" si="2"/>
        <v>-635.53</v>
      </c>
      <c r="X14" s="140" t="s">
        <v>12</v>
      </c>
      <c r="Y14" s="55">
        <v>7860.48</v>
      </c>
      <c r="Z14" s="55">
        <v>7081.41</v>
      </c>
      <c r="AA14" s="143">
        <f t="shared" si="3"/>
        <v>-0.09911226795</v>
      </c>
      <c r="AC14" s="140" t="s">
        <v>12</v>
      </c>
      <c r="AD14" s="55">
        <v>4712.16</v>
      </c>
      <c r="AE14" s="144">
        <f t="shared" si="4"/>
        <v>4245.127135</v>
      </c>
      <c r="AF14" s="61"/>
      <c r="AG14" s="1"/>
      <c r="AH14" s="178">
        <v>5.0</v>
      </c>
      <c r="AI14" s="178" t="s">
        <v>47</v>
      </c>
      <c r="AJ14" s="69">
        <v>9413.0787993667</v>
      </c>
      <c r="AL14" s="178">
        <v>5.0</v>
      </c>
      <c r="AM14" s="178" t="s">
        <v>47</v>
      </c>
      <c r="AN14" s="69">
        <v>5466.624819601373</v>
      </c>
    </row>
    <row r="15" ht="15.75" customHeight="1">
      <c r="B15" s="2"/>
      <c r="C15" s="2"/>
      <c r="D15" s="2"/>
      <c r="E15" s="2"/>
      <c r="J15" s="44">
        <v>6.0</v>
      </c>
      <c r="K15" s="44" t="s">
        <v>46</v>
      </c>
      <c r="L15" s="55">
        <v>4500.0</v>
      </c>
      <c r="M15" s="55">
        <f>3699.25+974.5+6.3</f>
        <v>4680.05</v>
      </c>
      <c r="N15" s="51">
        <f t="shared" si="1"/>
        <v>180.05</v>
      </c>
      <c r="P15" s="44">
        <v>6.0</v>
      </c>
      <c r="Q15" s="44" t="s">
        <v>46</v>
      </c>
      <c r="R15" s="59">
        <v>4800.0</v>
      </c>
      <c r="S15" s="55">
        <f>3377.45-276</f>
        <v>3101.45</v>
      </c>
      <c r="T15" s="51">
        <f t="shared" si="2"/>
        <v>-1698.55</v>
      </c>
      <c r="X15" s="140" t="s">
        <v>15</v>
      </c>
      <c r="Y15" s="55">
        <v>5463.45</v>
      </c>
      <c r="Z15" s="55">
        <v>7670.24</v>
      </c>
      <c r="AA15" s="143">
        <f t="shared" si="3"/>
        <v>0.4039187693</v>
      </c>
      <c r="AC15" s="140" t="s">
        <v>15</v>
      </c>
      <c r="AD15" s="55">
        <v>6704.86</v>
      </c>
      <c r="AE15" s="144">
        <f t="shared" si="4"/>
        <v>9413.078799</v>
      </c>
      <c r="AG15" s="1"/>
      <c r="AH15" s="44">
        <v>6.0</v>
      </c>
      <c r="AI15" s="44" t="s">
        <v>48</v>
      </c>
      <c r="AJ15" s="144">
        <v>12409.470607178795</v>
      </c>
      <c r="AL15" s="44">
        <v>6.0</v>
      </c>
      <c r="AM15" s="44" t="s">
        <v>48</v>
      </c>
      <c r="AN15" s="144">
        <v>9185.211063629906</v>
      </c>
    </row>
    <row r="16" ht="15.75" customHeight="1">
      <c r="B16" s="2"/>
      <c r="C16" s="2"/>
      <c r="D16" s="2"/>
      <c r="E16" s="2"/>
      <c r="J16" s="44">
        <v>7.0</v>
      </c>
      <c r="K16" s="44" t="s">
        <v>40</v>
      </c>
      <c r="L16" s="55">
        <v>7000.0</v>
      </c>
      <c r="M16" s="55">
        <f>4810.75+166.75</f>
        <v>4977.5</v>
      </c>
      <c r="N16" s="51">
        <f t="shared" si="1"/>
        <v>-2022.5</v>
      </c>
      <c r="P16" s="44">
        <v>7.0</v>
      </c>
      <c r="Q16" s="44" t="s">
        <v>40</v>
      </c>
      <c r="R16" s="59">
        <v>4800.0</v>
      </c>
      <c r="S16" s="55">
        <f>6303.69-435</f>
        <v>5868.69</v>
      </c>
      <c r="T16" s="51">
        <f t="shared" si="2"/>
        <v>1068.69</v>
      </c>
      <c r="X16" s="140" t="s">
        <v>17</v>
      </c>
      <c r="Y16" s="55">
        <v>11200.49</v>
      </c>
      <c r="Z16" s="55">
        <v>10408.45</v>
      </c>
      <c r="AA16" s="143">
        <f t="shared" si="3"/>
        <v>-0.07071476337</v>
      </c>
      <c r="AC16" s="140" t="s">
        <v>17</v>
      </c>
      <c r="AD16" s="55">
        <v>13353.78</v>
      </c>
      <c r="AE16" s="144">
        <f t="shared" si="4"/>
        <v>12409.47061</v>
      </c>
      <c r="AG16" s="1"/>
      <c r="AH16" s="178">
        <v>7.0</v>
      </c>
      <c r="AI16" s="178" t="s">
        <v>41</v>
      </c>
      <c r="AJ16" s="69">
        <v>17297.54730688389</v>
      </c>
      <c r="AL16" s="178">
        <v>7.0</v>
      </c>
      <c r="AM16" s="178" t="s">
        <v>41</v>
      </c>
      <c r="AN16" s="69">
        <v>20039.90498258957</v>
      </c>
    </row>
    <row r="17" ht="15.75" customHeight="1">
      <c r="B17" s="2"/>
      <c r="C17" s="2"/>
      <c r="D17" s="2"/>
      <c r="E17" s="2"/>
      <c r="J17" s="44">
        <v>8.0</v>
      </c>
      <c r="K17" s="44" t="s">
        <v>47</v>
      </c>
      <c r="L17" s="55">
        <v>6000.0</v>
      </c>
      <c r="M17" s="55">
        <f>5900.55</f>
        <v>5900.55</v>
      </c>
      <c r="N17" s="51">
        <f t="shared" si="1"/>
        <v>-99.45</v>
      </c>
      <c r="P17" s="44">
        <v>8.0</v>
      </c>
      <c r="Q17" s="44" t="s">
        <v>47</v>
      </c>
      <c r="R17" s="59">
        <v>6600.0</v>
      </c>
      <c r="S17" s="154">
        <f>5479.63-385</f>
        <v>5094.63</v>
      </c>
      <c r="T17" s="51">
        <f t="shared" si="2"/>
        <v>-1505.37</v>
      </c>
      <c r="X17" s="140" t="s">
        <v>19</v>
      </c>
      <c r="Y17" s="55">
        <v>14563.13</v>
      </c>
      <c r="Z17" s="55">
        <v>15889.01</v>
      </c>
      <c r="AA17" s="143">
        <f t="shared" si="3"/>
        <v>0.09104361494</v>
      </c>
      <c r="AC17" s="140" t="s">
        <v>19</v>
      </c>
      <c r="AD17" s="55">
        <v>15854.13</v>
      </c>
      <c r="AE17" s="144">
        <f t="shared" si="4"/>
        <v>17297.54731</v>
      </c>
      <c r="AG17" s="1"/>
      <c r="AH17" s="44">
        <v>8.0</v>
      </c>
      <c r="AI17" s="44" t="s">
        <v>44</v>
      </c>
      <c r="AJ17" s="144">
        <v>23924.279770303772</v>
      </c>
      <c r="AL17" s="44">
        <v>8.0</v>
      </c>
      <c r="AM17" s="44" t="s">
        <v>44</v>
      </c>
      <c r="AN17" s="144">
        <v>20316.074077416717</v>
      </c>
    </row>
    <row r="18" ht="15.75" customHeight="1">
      <c r="B18" s="2"/>
      <c r="C18" s="2"/>
      <c r="D18" s="2"/>
      <c r="E18" s="2"/>
      <c r="J18" s="44">
        <v>9.0</v>
      </c>
      <c r="K18" s="44" t="s">
        <v>48</v>
      </c>
      <c r="L18" s="55">
        <v>15000.0</v>
      </c>
      <c r="M18" s="55">
        <f>13275.15-185</f>
        <v>13090.15</v>
      </c>
      <c r="N18" s="51">
        <f t="shared" si="1"/>
        <v>-1909.85</v>
      </c>
      <c r="P18" s="44">
        <v>9.0</v>
      </c>
      <c r="Q18" s="44" t="s">
        <v>48</v>
      </c>
      <c r="R18" s="59">
        <v>11000.0</v>
      </c>
      <c r="S18" s="177">
        <f>10645.6-790</f>
        <v>9855.6</v>
      </c>
      <c r="T18" s="51">
        <f t="shared" si="2"/>
        <v>-1144.4</v>
      </c>
      <c r="X18" s="140" t="s">
        <v>20</v>
      </c>
      <c r="Y18" s="55">
        <v>15315.01</v>
      </c>
      <c r="Z18" s="55">
        <v>17276.25</v>
      </c>
      <c r="AA18" s="145">
        <f t="shared" si="3"/>
        <v>0.1280599882</v>
      </c>
      <c r="AC18" s="140" t="s">
        <v>20</v>
      </c>
      <c r="AD18" s="55">
        <v>21208.34</v>
      </c>
      <c r="AE18" s="144">
        <f t="shared" si="4"/>
        <v>23924.27977</v>
      </c>
      <c r="AG18" s="1"/>
      <c r="AH18" s="44">
        <v>9.0</v>
      </c>
      <c r="AI18" s="44" t="s">
        <v>45</v>
      </c>
      <c r="AJ18" s="144">
        <v>5097.810527206023</v>
      </c>
      <c r="AL18" s="44">
        <v>9.0</v>
      </c>
      <c r="AM18" s="44" t="s">
        <v>45</v>
      </c>
      <c r="AN18" s="144">
        <v>4713.440012553152</v>
      </c>
    </row>
    <row r="19" ht="15.75" customHeight="1">
      <c r="B19" s="2"/>
      <c r="C19" s="2"/>
      <c r="D19" s="2"/>
      <c r="E19" s="2"/>
      <c r="J19" s="44">
        <v>10.0</v>
      </c>
      <c r="K19" s="44" t="s">
        <v>41</v>
      </c>
      <c r="L19" s="55">
        <v>18600.0</v>
      </c>
      <c r="M19" s="55">
        <f>18325.1</f>
        <v>18325.1</v>
      </c>
      <c r="N19" s="51">
        <f t="shared" si="1"/>
        <v>-274.9</v>
      </c>
      <c r="P19" s="44">
        <v>10.0</v>
      </c>
      <c r="Q19" s="44" t="s">
        <v>41</v>
      </c>
      <c r="R19" s="59">
        <v>14600.0</v>
      </c>
      <c r="S19" s="69">
        <f>15976.88-1178</f>
        <v>14798.88</v>
      </c>
      <c r="T19" s="51">
        <f t="shared" si="2"/>
        <v>198.88</v>
      </c>
      <c r="X19" s="1"/>
      <c r="Y19" s="8"/>
      <c r="AB19" s="1"/>
      <c r="AC19" s="8"/>
      <c r="AD19" s="8"/>
      <c r="AH19" s="44">
        <v>10.0</v>
      </c>
      <c r="AI19" s="44" t="s">
        <v>46</v>
      </c>
      <c r="AJ19" s="144">
        <v>6740.226127747134</v>
      </c>
      <c r="AL19" s="44">
        <v>10.0</v>
      </c>
      <c r="AM19" s="44" t="s">
        <v>46</v>
      </c>
      <c r="AN19" s="144">
        <v>3700.274357624361</v>
      </c>
    </row>
    <row r="20" ht="15.75" customHeight="1">
      <c r="B20" s="2"/>
      <c r="C20" s="2"/>
      <c r="D20" s="2"/>
      <c r="E20" s="2"/>
      <c r="J20" s="44">
        <v>11.0</v>
      </c>
      <c r="K20" s="44" t="s">
        <v>44</v>
      </c>
      <c r="L20" s="55">
        <f>21800</f>
        <v>21800</v>
      </c>
      <c r="M20" s="55">
        <f>22246.5</f>
        <v>22246.5</v>
      </c>
      <c r="N20" s="51">
        <f t="shared" si="1"/>
        <v>446.5</v>
      </c>
      <c r="P20" s="44">
        <v>11.0</v>
      </c>
      <c r="Q20" s="44" t="s">
        <v>44</v>
      </c>
      <c r="R20" s="59">
        <f>21000+600</f>
        <v>21600</v>
      </c>
      <c r="S20" s="55">
        <f>20468.04-1559</f>
        <v>18909.04</v>
      </c>
      <c r="T20" s="51">
        <f t="shared" si="2"/>
        <v>-2690.96</v>
      </c>
      <c r="X20" s="139" t="s">
        <v>93</v>
      </c>
      <c r="Y20" s="41"/>
      <c r="Z20" s="41"/>
      <c r="AA20" s="6"/>
      <c r="AC20" s="139" t="s">
        <v>5</v>
      </c>
      <c r="AD20" s="41"/>
      <c r="AE20" s="6"/>
      <c r="AH20" s="44">
        <v>11.0</v>
      </c>
      <c r="AI20" s="44" t="s">
        <v>40</v>
      </c>
      <c r="AJ20" s="144">
        <v>4245.127135442111</v>
      </c>
      <c r="AL20" s="44">
        <v>11.0</v>
      </c>
      <c r="AM20" s="44" t="s">
        <v>40</v>
      </c>
      <c r="AN20" s="144">
        <v>6514.759669093353</v>
      </c>
    </row>
    <row r="21" ht="18.0" customHeight="1">
      <c r="B21" s="2"/>
      <c r="C21" s="2"/>
      <c r="D21" s="2"/>
      <c r="E21" s="2"/>
      <c r="J21" s="44">
        <v>12.0</v>
      </c>
      <c r="K21" s="44" t="s">
        <v>45</v>
      </c>
      <c r="L21" s="55">
        <v>6800.0</v>
      </c>
      <c r="M21" s="55">
        <f>3260.4+171</f>
        <v>3431.4</v>
      </c>
      <c r="N21" s="51">
        <f t="shared" si="1"/>
        <v>-3368.6</v>
      </c>
      <c r="P21" s="44">
        <v>12.0</v>
      </c>
      <c r="Q21" s="44" t="s">
        <v>45</v>
      </c>
      <c r="R21" s="59">
        <v>4000.0</v>
      </c>
      <c r="S21" s="55">
        <f>3072.4-269</f>
        <v>2803.4</v>
      </c>
      <c r="T21" s="51">
        <f t="shared" si="2"/>
        <v>-1196.6</v>
      </c>
      <c r="X21" s="140"/>
      <c r="Y21" s="141">
        <v>45139.0</v>
      </c>
      <c r="Z21" s="141">
        <v>45170.0</v>
      </c>
      <c r="AA21" s="142" t="s">
        <v>90</v>
      </c>
      <c r="AC21" s="140"/>
      <c r="AD21" s="141">
        <v>45505.0</v>
      </c>
      <c r="AE21" s="141" t="s">
        <v>120</v>
      </c>
      <c r="AH21" s="44">
        <v>12.0</v>
      </c>
      <c r="AI21" s="44" t="s">
        <v>47</v>
      </c>
      <c r="AJ21" s="144">
        <v>9413.0787993667</v>
      </c>
      <c r="AL21" s="44">
        <v>12.0</v>
      </c>
      <c r="AM21" s="44" t="s">
        <v>47</v>
      </c>
      <c r="AN21" s="144">
        <v>5466.624819601373</v>
      </c>
    </row>
    <row r="22" ht="15.75" customHeight="1">
      <c r="B22" s="2"/>
      <c r="C22" s="2"/>
      <c r="D22" s="2"/>
      <c r="E22" s="2"/>
      <c r="J22" s="44">
        <v>13.0</v>
      </c>
      <c r="K22" s="44" t="s">
        <v>46</v>
      </c>
      <c r="L22" s="55">
        <v>4500.0</v>
      </c>
      <c r="M22" s="55">
        <f>5622.55</f>
        <v>5622.55</v>
      </c>
      <c r="N22" s="51">
        <f t="shared" si="1"/>
        <v>1122.55</v>
      </c>
      <c r="P22" s="44">
        <v>13.0</v>
      </c>
      <c r="Q22" s="44" t="s">
        <v>46</v>
      </c>
      <c r="R22" s="59">
        <v>4800.0</v>
      </c>
      <c r="S22" s="55">
        <f>4964.86-292</f>
        <v>4672.86</v>
      </c>
      <c r="T22" s="51">
        <f t="shared" si="2"/>
        <v>-127.14</v>
      </c>
      <c r="X22" s="140" t="s">
        <v>6</v>
      </c>
      <c r="Y22" s="55">
        <v>2262.38</v>
      </c>
      <c r="Z22" s="55">
        <v>3146.28</v>
      </c>
      <c r="AA22" s="143">
        <f t="shared" ref="AA22:AA28" si="5">Z22/Y22-1</f>
        <v>0.3906947551</v>
      </c>
      <c r="AC22" s="140" t="s">
        <v>6</v>
      </c>
      <c r="AD22" s="55">
        <v>3389.27</v>
      </c>
      <c r="AE22" s="144">
        <f t="shared" ref="AE22:AE28" si="6">AD22*AA22+AD22</f>
        <v>4713.440013</v>
      </c>
      <c r="AH22" s="44">
        <v>13.0</v>
      </c>
      <c r="AI22" s="44" t="s">
        <v>48</v>
      </c>
      <c r="AJ22" s="144">
        <v>12409.470607178795</v>
      </c>
      <c r="AL22" s="44">
        <v>13.0</v>
      </c>
      <c r="AM22" s="44" t="s">
        <v>48</v>
      </c>
      <c r="AN22" s="144">
        <v>9185.211063629906</v>
      </c>
    </row>
    <row r="23" ht="15.75" customHeight="1">
      <c r="B23" s="2"/>
      <c r="C23" s="2"/>
      <c r="D23" s="2"/>
      <c r="E23" s="2"/>
      <c r="J23" s="44">
        <v>14.0</v>
      </c>
      <c r="K23" s="44" t="s">
        <v>40</v>
      </c>
      <c r="L23" s="55">
        <v>7000.0</v>
      </c>
      <c r="M23" s="55">
        <f>4307.65</f>
        <v>4307.65</v>
      </c>
      <c r="N23" s="51">
        <f t="shared" si="1"/>
        <v>-2692.35</v>
      </c>
      <c r="P23" s="44">
        <v>14.0</v>
      </c>
      <c r="Q23" s="44" t="s">
        <v>40</v>
      </c>
      <c r="R23" s="59">
        <v>4800.0</v>
      </c>
      <c r="S23" s="55">
        <f>5192.24-493</f>
        <v>4699.24</v>
      </c>
      <c r="T23" s="51">
        <f t="shared" si="2"/>
        <v>-100.76</v>
      </c>
      <c r="X23" s="140" t="s">
        <v>10</v>
      </c>
      <c r="Y23" s="55">
        <v>4505.23</v>
      </c>
      <c r="Z23" s="55">
        <v>3815.81</v>
      </c>
      <c r="AA23" s="143">
        <f t="shared" si="5"/>
        <v>-0.1530265935</v>
      </c>
      <c r="AC23" s="140" t="s">
        <v>10</v>
      </c>
      <c r="AD23" s="55">
        <v>4368.82</v>
      </c>
      <c r="AE23" s="144">
        <f t="shared" si="6"/>
        <v>3700.274358</v>
      </c>
      <c r="AH23" s="44">
        <v>14.0</v>
      </c>
      <c r="AI23" s="44" t="s">
        <v>41</v>
      </c>
      <c r="AJ23" s="144">
        <v>17297.54730688389</v>
      </c>
      <c r="AL23" s="44">
        <v>14.0</v>
      </c>
      <c r="AM23" s="44" t="s">
        <v>41</v>
      </c>
      <c r="AN23" s="144">
        <v>20039.90498258957</v>
      </c>
    </row>
    <row r="24" ht="15.75" customHeight="1">
      <c r="B24" s="2"/>
      <c r="C24" s="2"/>
      <c r="D24" s="2"/>
      <c r="E24" s="2"/>
      <c r="J24" s="44">
        <v>15.0</v>
      </c>
      <c r="K24" s="44" t="s">
        <v>47</v>
      </c>
      <c r="L24" s="55">
        <v>6000.0</v>
      </c>
      <c r="M24" s="55">
        <f>4182.95+519.5</f>
        <v>4702.45</v>
      </c>
      <c r="N24" s="51">
        <f t="shared" si="1"/>
        <v>-1297.55</v>
      </c>
      <c r="P24" s="44">
        <v>15.0</v>
      </c>
      <c r="Q24" s="44" t="s">
        <v>47</v>
      </c>
      <c r="R24" s="59">
        <v>6600.0</v>
      </c>
      <c r="S24" s="154">
        <f>4040.7-354</f>
        <v>3686.7</v>
      </c>
      <c r="T24" s="51">
        <f t="shared" si="2"/>
        <v>-2913.3</v>
      </c>
      <c r="X24" s="140" t="s">
        <v>12</v>
      </c>
      <c r="Y24" s="55">
        <v>3571.4</v>
      </c>
      <c r="Z24" s="55">
        <v>5070.58</v>
      </c>
      <c r="AA24" s="143">
        <f t="shared" si="5"/>
        <v>0.4197737582</v>
      </c>
      <c r="AC24" s="140" t="s">
        <v>12</v>
      </c>
      <c r="AD24" s="55">
        <v>4588.59</v>
      </c>
      <c r="AE24" s="144">
        <f t="shared" si="6"/>
        <v>6514.759669</v>
      </c>
      <c r="AH24" s="44">
        <v>15.0</v>
      </c>
      <c r="AI24" s="44" t="s">
        <v>44</v>
      </c>
      <c r="AJ24" s="144">
        <v>23924.279770303772</v>
      </c>
      <c r="AL24" s="44">
        <v>15.0</v>
      </c>
      <c r="AM24" s="44" t="s">
        <v>44</v>
      </c>
      <c r="AN24" s="144">
        <v>20316.074077416717</v>
      </c>
    </row>
    <row r="25" ht="15.75" customHeight="1">
      <c r="B25" s="2"/>
      <c r="C25" s="2"/>
      <c r="D25" s="2"/>
      <c r="E25" s="2"/>
      <c r="J25" s="44">
        <v>16.0</v>
      </c>
      <c r="K25" s="44" t="s">
        <v>48</v>
      </c>
      <c r="L25" s="55">
        <v>15000.0</v>
      </c>
      <c r="M25" s="55">
        <f>14572.95+198.5-195</f>
        <v>14576.45</v>
      </c>
      <c r="N25" s="51">
        <f t="shared" si="1"/>
        <v>-423.55</v>
      </c>
      <c r="P25" s="44">
        <v>16.0</v>
      </c>
      <c r="Q25" s="44" t="s">
        <v>48</v>
      </c>
      <c r="R25" s="59">
        <v>11000.0</v>
      </c>
      <c r="S25" s="177">
        <f>10774.16-885</f>
        <v>9889.16</v>
      </c>
      <c r="T25" s="51">
        <f t="shared" si="2"/>
        <v>-1110.84</v>
      </c>
      <c r="X25" s="140" t="s">
        <v>15</v>
      </c>
      <c r="Y25" s="55">
        <v>5231.47</v>
      </c>
      <c r="Z25" s="55">
        <v>5680.05</v>
      </c>
      <c r="AA25" s="143">
        <f t="shared" si="5"/>
        <v>0.08574645367</v>
      </c>
      <c r="AC25" s="140" t="s">
        <v>15</v>
      </c>
      <c r="AD25" s="55">
        <v>5034.9</v>
      </c>
      <c r="AE25" s="144">
        <f t="shared" si="6"/>
        <v>5466.62482</v>
      </c>
      <c r="AH25" s="44">
        <v>16.0</v>
      </c>
      <c r="AI25" s="44" t="s">
        <v>45</v>
      </c>
      <c r="AJ25" s="144">
        <v>5097.810527206023</v>
      </c>
      <c r="AL25" s="44">
        <v>16.0</v>
      </c>
      <c r="AM25" s="44" t="s">
        <v>45</v>
      </c>
      <c r="AN25" s="144">
        <v>4713.440012553152</v>
      </c>
    </row>
    <row r="26" ht="15.75" customHeight="1">
      <c r="B26" s="2"/>
      <c r="C26" s="2"/>
      <c r="D26" s="2"/>
      <c r="E26" s="2"/>
      <c r="J26" s="44">
        <v>17.0</v>
      </c>
      <c r="K26" s="44" t="s">
        <v>41</v>
      </c>
      <c r="L26" s="55">
        <v>18600.0</v>
      </c>
      <c r="M26" s="55">
        <f>15794.15</f>
        <v>15794.15</v>
      </c>
      <c r="N26" s="51">
        <f t="shared" si="1"/>
        <v>-2805.85</v>
      </c>
      <c r="P26" s="44">
        <v>17.0</v>
      </c>
      <c r="Q26" s="44" t="s">
        <v>41</v>
      </c>
      <c r="R26" s="59">
        <v>14600.0</v>
      </c>
      <c r="S26" s="69">
        <f>17155.56-1208</f>
        <v>15947.56</v>
      </c>
      <c r="T26" s="51">
        <f t="shared" si="2"/>
        <v>1347.56</v>
      </c>
      <c r="X26" s="140" t="s">
        <v>17</v>
      </c>
      <c r="Y26" s="55">
        <v>8771.19</v>
      </c>
      <c r="Z26" s="55">
        <v>8146.18</v>
      </c>
      <c r="AA26" s="143">
        <f t="shared" si="5"/>
        <v>-0.07125714983</v>
      </c>
      <c r="AC26" s="140" t="s">
        <v>17</v>
      </c>
      <c r="AD26" s="55">
        <v>9889.94</v>
      </c>
      <c r="AE26" s="144">
        <f t="shared" si="6"/>
        <v>9185.211064</v>
      </c>
      <c r="AH26" s="44">
        <v>17.0</v>
      </c>
      <c r="AI26" s="44" t="s">
        <v>46</v>
      </c>
      <c r="AJ26" s="144">
        <v>6740.226127747134</v>
      </c>
      <c r="AL26" s="44">
        <v>17.0</v>
      </c>
      <c r="AM26" s="44" t="s">
        <v>46</v>
      </c>
      <c r="AN26" s="144">
        <v>3700.274357624361</v>
      </c>
    </row>
    <row r="27" ht="15.75" customHeight="1">
      <c r="B27" s="2"/>
      <c r="C27" s="2"/>
      <c r="D27" s="2"/>
      <c r="E27" s="2"/>
      <c r="J27" s="44">
        <v>18.0</v>
      </c>
      <c r="K27" s="44" t="s">
        <v>44</v>
      </c>
      <c r="L27" s="55">
        <v>19400.0</v>
      </c>
      <c r="M27" s="55">
        <f>22381.3</f>
        <v>22381.3</v>
      </c>
      <c r="N27" s="51">
        <f t="shared" si="1"/>
        <v>2981.3</v>
      </c>
      <c r="P27" s="44">
        <v>18.0</v>
      </c>
      <c r="Q27" s="44" t="s">
        <v>44</v>
      </c>
      <c r="R27" s="59">
        <v>21000.0</v>
      </c>
      <c r="S27" s="55">
        <f>24403.36-1872</f>
        <v>22531.36</v>
      </c>
      <c r="T27" s="51">
        <f t="shared" si="2"/>
        <v>1531.36</v>
      </c>
      <c r="X27" s="140" t="s">
        <v>19</v>
      </c>
      <c r="Y27" s="55">
        <v>10318.53</v>
      </c>
      <c r="Z27" s="55">
        <v>13732.0</v>
      </c>
      <c r="AA27" s="143">
        <f t="shared" si="5"/>
        <v>0.3308097181</v>
      </c>
      <c r="AC27" s="140" t="s">
        <v>19</v>
      </c>
      <c r="AD27" s="55">
        <v>15058.43</v>
      </c>
      <c r="AE27" s="144">
        <f t="shared" si="6"/>
        <v>20039.90498</v>
      </c>
      <c r="AH27" s="44">
        <v>18.0</v>
      </c>
      <c r="AI27" s="47" t="s">
        <v>40</v>
      </c>
      <c r="AJ27" s="144">
        <v>4245.127135442111</v>
      </c>
      <c r="AL27" s="44">
        <v>18.0</v>
      </c>
      <c r="AM27" s="47" t="s">
        <v>40</v>
      </c>
      <c r="AN27" s="144">
        <v>6514.759669093353</v>
      </c>
    </row>
    <row r="28" ht="15.75" customHeight="1">
      <c r="B28" s="2"/>
      <c r="C28" s="2"/>
      <c r="D28" s="2"/>
      <c r="E28" s="2"/>
      <c r="J28" s="44">
        <v>19.0</v>
      </c>
      <c r="K28" s="44" t="s">
        <v>45</v>
      </c>
      <c r="L28" s="55">
        <v>6800.0</v>
      </c>
      <c r="M28" s="55">
        <f>5335.5</f>
        <v>5335.5</v>
      </c>
      <c r="N28" s="51">
        <f t="shared" si="1"/>
        <v>-1464.5</v>
      </c>
      <c r="P28" s="44">
        <v>19.0</v>
      </c>
      <c r="Q28" s="44" t="s">
        <v>45</v>
      </c>
      <c r="R28" s="59">
        <v>4000.0</v>
      </c>
      <c r="S28" s="55">
        <f>4537.18-290-8</f>
        <v>4239.18</v>
      </c>
      <c r="T28" s="51">
        <f t="shared" si="2"/>
        <v>239.18</v>
      </c>
      <c r="X28" s="140" t="s">
        <v>20</v>
      </c>
      <c r="Y28" s="55">
        <v>18175.92</v>
      </c>
      <c r="Z28" s="55">
        <v>17360.22</v>
      </c>
      <c r="AA28" s="145">
        <f t="shared" si="5"/>
        <v>-0.04487805844</v>
      </c>
      <c r="AC28" s="140" t="s">
        <v>20</v>
      </c>
      <c r="AD28" s="55">
        <v>21270.66</v>
      </c>
      <c r="AE28" s="144">
        <f t="shared" si="6"/>
        <v>20316.07408</v>
      </c>
      <c r="AH28" s="44">
        <v>19.0</v>
      </c>
      <c r="AI28" s="47" t="s">
        <v>47</v>
      </c>
      <c r="AJ28" s="144">
        <v>9413.0787993667</v>
      </c>
      <c r="AL28" s="44">
        <v>19.0</v>
      </c>
      <c r="AM28" s="47" t="s">
        <v>47</v>
      </c>
      <c r="AN28" s="144">
        <v>5466.624819601373</v>
      </c>
    </row>
    <row r="29" ht="15.75" customHeight="1">
      <c r="B29" s="2"/>
      <c r="C29" s="2"/>
      <c r="D29" s="2"/>
      <c r="E29" s="2"/>
      <c r="J29" s="44">
        <v>20.0</v>
      </c>
      <c r="K29" s="44" t="s">
        <v>46</v>
      </c>
      <c r="L29" s="55">
        <v>4500.0</v>
      </c>
      <c r="M29" s="55">
        <f>4728.94</f>
        <v>4728.94</v>
      </c>
      <c r="N29" s="51">
        <f t="shared" si="1"/>
        <v>228.94</v>
      </c>
      <c r="P29" s="44">
        <v>20.0</v>
      </c>
      <c r="Q29" s="44" t="s">
        <v>46</v>
      </c>
      <c r="R29" s="59">
        <v>4800.0</v>
      </c>
      <c r="S29" s="55">
        <f>4969.11-412</f>
        <v>4557.11</v>
      </c>
      <c r="T29" s="51">
        <f t="shared" si="2"/>
        <v>-242.89</v>
      </c>
      <c r="AG29" s="1"/>
      <c r="AH29" s="44">
        <v>20.0</v>
      </c>
      <c r="AI29" s="47" t="s">
        <v>48</v>
      </c>
      <c r="AJ29" s="144">
        <v>12409.470607178795</v>
      </c>
      <c r="AL29" s="44">
        <v>20.0</v>
      </c>
      <c r="AM29" s="47" t="s">
        <v>48</v>
      </c>
      <c r="AN29" s="144">
        <v>9185.211063629906</v>
      </c>
    </row>
    <row r="30" ht="15.75" customHeight="1">
      <c r="B30" s="2"/>
      <c r="C30" s="2"/>
      <c r="D30" s="2"/>
      <c r="E30" s="2"/>
      <c r="J30" s="44">
        <v>21.0</v>
      </c>
      <c r="K30" s="47" t="s">
        <v>40</v>
      </c>
      <c r="L30" s="55">
        <v>7000.0</v>
      </c>
      <c r="M30" s="55">
        <f>4729.25+147.75</f>
        <v>4877</v>
      </c>
      <c r="N30" s="51">
        <f t="shared" si="1"/>
        <v>-2123</v>
      </c>
      <c r="P30" s="44">
        <v>21.0</v>
      </c>
      <c r="Q30" s="47" t="s">
        <v>40</v>
      </c>
      <c r="R30" s="59">
        <v>4800.0</v>
      </c>
      <c r="S30" s="55">
        <f>3280.81-255</f>
        <v>3025.81</v>
      </c>
      <c r="T30" s="51">
        <f t="shared" si="2"/>
        <v>-1774.19</v>
      </c>
      <c r="AG30" s="1"/>
      <c r="AH30" s="44">
        <v>21.0</v>
      </c>
      <c r="AI30" s="44" t="s">
        <v>41</v>
      </c>
      <c r="AJ30" s="144">
        <v>17297.54730688389</v>
      </c>
      <c r="AL30" s="44">
        <v>21.0</v>
      </c>
      <c r="AM30" s="44" t="s">
        <v>41</v>
      </c>
      <c r="AN30" s="144">
        <v>20039.90498258957</v>
      </c>
    </row>
    <row r="31" ht="15.75" customHeight="1">
      <c r="B31" s="2"/>
      <c r="C31" s="2"/>
      <c r="D31" s="2"/>
      <c r="E31" s="2"/>
      <c r="J31" s="44">
        <v>22.0</v>
      </c>
      <c r="K31" s="47" t="s">
        <v>47</v>
      </c>
      <c r="L31" s="55">
        <v>6000.0</v>
      </c>
      <c r="M31" s="55">
        <f>5978.5</f>
        <v>5978.5</v>
      </c>
      <c r="N31" s="51">
        <f t="shared" si="1"/>
        <v>-21.5</v>
      </c>
      <c r="P31" s="44">
        <v>22.0</v>
      </c>
      <c r="Q31" s="47" t="s">
        <v>47</v>
      </c>
      <c r="R31" s="59">
        <v>6600.0</v>
      </c>
      <c r="S31" s="154">
        <f>5040.67-370</f>
        <v>4670.67</v>
      </c>
      <c r="T31" s="51">
        <f t="shared" si="2"/>
        <v>-1929.33</v>
      </c>
      <c r="AG31" s="1"/>
      <c r="AH31" s="44">
        <v>22.0</v>
      </c>
      <c r="AI31" s="44" t="s">
        <v>44</v>
      </c>
      <c r="AJ31" s="144">
        <v>23924.279770303772</v>
      </c>
      <c r="AL31" s="44">
        <v>22.0</v>
      </c>
      <c r="AM31" s="44" t="s">
        <v>44</v>
      </c>
      <c r="AN31" s="144">
        <v>20316.074077416717</v>
      </c>
    </row>
    <row r="32" ht="15.75" customHeight="1">
      <c r="B32" s="2"/>
      <c r="C32" s="2"/>
      <c r="D32" s="2"/>
      <c r="E32" s="2"/>
      <c r="J32" s="44">
        <v>23.0</v>
      </c>
      <c r="K32" s="47" t="s">
        <v>48</v>
      </c>
      <c r="L32" s="55">
        <v>15000.0</v>
      </c>
      <c r="M32" s="55">
        <f>12052.75-85</f>
        <v>11967.75</v>
      </c>
      <c r="N32" s="51">
        <f t="shared" si="1"/>
        <v>-3032.25</v>
      </c>
      <c r="P32" s="44">
        <v>23.0</v>
      </c>
      <c r="Q32" s="47" t="s">
        <v>48</v>
      </c>
      <c r="R32" s="59">
        <v>11000.0</v>
      </c>
      <c r="S32" s="177">
        <f>10022.03-750</f>
        <v>9272.03</v>
      </c>
      <c r="T32" s="51">
        <f t="shared" si="2"/>
        <v>-1727.97</v>
      </c>
      <c r="AG32" s="1"/>
      <c r="AH32" s="44">
        <v>23.0</v>
      </c>
      <c r="AI32" s="44" t="s">
        <v>45</v>
      </c>
      <c r="AJ32" s="144">
        <v>5097.810527206023</v>
      </c>
      <c r="AL32" s="44">
        <v>23.0</v>
      </c>
      <c r="AM32" s="44" t="s">
        <v>45</v>
      </c>
      <c r="AN32" s="144">
        <v>4713.440012553152</v>
      </c>
    </row>
    <row r="33" ht="15.75" customHeight="1">
      <c r="B33" s="2"/>
      <c r="C33" s="2"/>
      <c r="D33" s="2"/>
      <c r="E33" s="2"/>
      <c r="J33" s="44">
        <v>24.0</v>
      </c>
      <c r="K33" s="44" t="s">
        <v>41</v>
      </c>
      <c r="L33" s="55">
        <v>18600.0</v>
      </c>
      <c r="M33" s="55">
        <f>11638</f>
        <v>11638</v>
      </c>
      <c r="N33" s="51">
        <f t="shared" si="1"/>
        <v>-6962</v>
      </c>
      <c r="P33" s="44">
        <v>24.0</v>
      </c>
      <c r="Q33" s="44" t="s">
        <v>41</v>
      </c>
      <c r="R33" s="59">
        <v>14600.0</v>
      </c>
      <c r="S33" s="69">
        <f>14618.32-1087</f>
        <v>13531.32</v>
      </c>
      <c r="T33" s="51">
        <f t="shared" si="2"/>
        <v>-1068.68</v>
      </c>
      <c r="AG33" s="1"/>
      <c r="AH33" s="44">
        <v>24.0</v>
      </c>
      <c r="AI33" s="44" t="s">
        <v>46</v>
      </c>
      <c r="AJ33" s="144">
        <v>6740.226127747134</v>
      </c>
      <c r="AL33" s="44">
        <v>24.0</v>
      </c>
      <c r="AM33" s="44" t="s">
        <v>46</v>
      </c>
      <c r="AN33" s="144">
        <v>3700.274357624361</v>
      </c>
    </row>
    <row r="34" ht="15.75" customHeight="1">
      <c r="B34" s="2"/>
      <c r="C34" s="2"/>
      <c r="D34" s="2"/>
      <c r="E34" s="2"/>
      <c r="J34" s="44">
        <v>25.0</v>
      </c>
      <c r="K34" s="44" t="s">
        <v>44</v>
      </c>
      <c r="L34" s="55">
        <v>19400.0</v>
      </c>
      <c r="M34" s="55">
        <f>19683.29</f>
        <v>19683.29</v>
      </c>
      <c r="N34" s="51">
        <f t="shared" si="1"/>
        <v>283.29</v>
      </c>
      <c r="P34" s="44">
        <v>25.0</v>
      </c>
      <c r="Q34" s="44" t="s">
        <v>44</v>
      </c>
      <c r="R34" s="59">
        <v>21000.0</v>
      </c>
      <c r="S34" s="55">
        <f>24435.18-1734</f>
        <v>22701.18</v>
      </c>
      <c r="T34" s="51">
        <f t="shared" si="2"/>
        <v>1701.18</v>
      </c>
      <c r="AG34" s="1"/>
      <c r="AH34" s="44">
        <v>25.0</v>
      </c>
      <c r="AI34" s="44" t="s">
        <v>40</v>
      </c>
      <c r="AJ34" s="144">
        <v>4245.127135442111</v>
      </c>
      <c r="AL34" s="44">
        <v>25.0</v>
      </c>
      <c r="AM34" s="44" t="s">
        <v>40</v>
      </c>
      <c r="AN34" s="144">
        <v>6514.759669093353</v>
      </c>
    </row>
    <row r="35" ht="15.75" customHeight="1">
      <c r="B35" s="2"/>
      <c r="C35" s="2"/>
      <c r="D35" s="2"/>
      <c r="E35" s="2"/>
      <c r="J35" s="44">
        <v>26.0</v>
      </c>
      <c r="K35" s="44" t="s">
        <v>45</v>
      </c>
      <c r="L35" s="55">
        <v>6800.0</v>
      </c>
      <c r="M35" s="55">
        <f>7138.15</f>
        <v>7138.15</v>
      </c>
      <c r="N35" s="51">
        <f t="shared" si="1"/>
        <v>338.15</v>
      </c>
      <c r="P35" s="44">
        <v>26.0</v>
      </c>
      <c r="Q35" s="44" t="s">
        <v>45</v>
      </c>
      <c r="R35" s="59">
        <v>4000.0</v>
      </c>
      <c r="S35" s="55">
        <f>3440.04-290</f>
        <v>3150.04</v>
      </c>
      <c r="T35" s="51">
        <f t="shared" si="2"/>
        <v>-849.96</v>
      </c>
      <c r="AG35" s="1"/>
      <c r="AH35" s="44">
        <v>26.0</v>
      </c>
      <c r="AI35" s="44" t="s">
        <v>47</v>
      </c>
      <c r="AJ35" s="144">
        <v>9413.0787993667</v>
      </c>
      <c r="AL35" s="44">
        <v>26.0</v>
      </c>
      <c r="AM35" s="44" t="s">
        <v>47</v>
      </c>
      <c r="AN35" s="144">
        <v>5466.624819601373</v>
      </c>
    </row>
    <row r="36" ht="15.75" customHeight="1">
      <c r="B36" s="2"/>
      <c r="C36" s="2"/>
      <c r="D36" s="2"/>
      <c r="E36" s="2"/>
      <c r="J36" s="44">
        <v>27.0</v>
      </c>
      <c r="K36" s="44" t="s">
        <v>46</v>
      </c>
      <c r="L36" s="55">
        <v>4500.0</v>
      </c>
      <c r="M36" s="55">
        <f>448.6+5389.05</f>
        <v>5837.65</v>
      </c>
      <c r="N36" s="51">
        <f t="shared" si="1"/>
        <v>1337.65</v>
      </c>
      <c r="P36" s="44">
        <v>27.0</v>
      </c>
      <c r="Q36" s="44" t="s">
        <v>46</v>
      </c>
      <c r="R36" s="59">
        <v>4800.0</v>
      </c>
      <c r="S36" s="55">
        <f>5446.85-303</f>
        <v>5143.85</v>
      </c>
      <c r="T36" s="51">
        <f t="shared" si="2"/>
        <v>343.85</v>
      </c>
      <c r="AG36" s="1"/>
      <c r="AH36" s="44">
        <v>27.0</v>
      </c>
      <c r="AI36" s="44" t="s">
        <v>48</v>
      </c>
      <c r="AJ36" s="144">
        <v>12409.470607178795</v>
      </c>
      <c r="AL36" s="44">
        <v>27.0</v>
      </c>
      <c r="AM36" s="44" t="s">
        <v>48</v>
      </c>
      <c r="AN36" s="144">
        <v>9185.211063629906</v>
      </c>
    </row>
    <row r="37" ht="15.75" customHeight="1">
      <c r="B37" s="2"/>
      <c r="C37" s="2"/>
      <c r="D37" s="2"/>
      <c r="E37" s="2"/>
      <c r="J37" s="44">
        <v>28.0</v>
      </c>
      <c r="K37" s="44" t="s">
        <v>40</v>
      </c>
      <c r="L37" s="55">
        <v>7000.0</v>
      </c>
      <c r="M37" s="55">
        <f>4580.2+106.3</f>
        <v>4686.5</v>
      </c>
      <c r="N37" s="51">
        <f t="shared" si="1"/>
        <v>-2313.5</v>
      </c>
      <c r="P37" s="44">
        <v>28.0</v>
      </c>
      <c r="Q37" s="44" t="s">
        <v>40</v>
      </c>
      <c r="R37" s="59">
        <v>4800.0</v>
      </c>
      <c r="S37" s="55">
        <f>5097.63-337</f>
        <v>4760.63</v>
      </c>
      <c r="T37" s="51">
        <f t="shared" si="2"/>
        <v>-39.37</v>
      </c>
      <c r="AG37" s="1"/>
      <c r="AH37" s="44">
        <v>28.0</v>
      </c>
      <c r="AI37" s="44" t="s">
        <v>41</v>
      </c>
      <c r="AJ37" s="144">
        <v>17297.54730688389</v>
      </c>
      <c r="AL37" s="44">
        <v>28.0</v>
      </c>
      <c r="AM37" s="44" t="s">
        <v>41</v>
      </c>
      <c r="AN37" s="144">
        <v>20039.90498258957</v>
      </c>
    </row>
    <row r="38" ht="15.75" customHeight="1">
      <c r="B38" s="2"/>
      <c r="C38" s="2"/>
      <c r="D38" s="2"/>
      <c r="E38" s="2"/>
      <c r="J38" s="44">
        <v>29.0</v>
      </c>
      <c r="K38" s="44" t="s">
        <v>47</v>
      </c>
      <c r="L38" s="55">
        <v>6000.0</v>
      </c>
      <c r="M38" s="55">
        <f>10237.93</f>
        <v>10237.93</v>
      </c>
      <c r="N38" s="51">
        <f t="shared" si="1"/>
        <v>4237.93</v>
      </c>
      <c r="P38" s="44">
        <v>29.0</v>
      </c>
      <c r="Q38" s="44" t="s">
        <v>47</v>
      </c>
      <c r="R38" s="59">
        <v>6600.0</v>
      </c>
      <c r="S38" s="154">
        <f>6445.91-391</f>
        <v>6054.91</v>
      </c>
      <c r="T38" s="51">
        <f t="shared" si="2"/>
        <v>-545.09</v>
      </c>
      <c r="AG38" s="1"/>
      <c r="AH38" s="44">
        <v>29.0</v>
      </c>
      <c r="AI38" s="44" t="s">
        <v>44</v>
      </c>
      <c r="AJ38" s="144">
        <v>23924.279770303772</v>
      </c>
      <c r="AL38" s="44">
        <v>29.0</v>
      </c>
      <c r="AM38" s="44" t="s">
        <v>44</v>
      </c>
      <c r="AN38" s="144">
        <v>20316.074077416717</v>
      </c>
    </row>
    <row r="39" ht="15.75" customHeight="1">
      <c r="B39" s="2"/>
      <c r="C39" s="2"/>
      <c r="D39" s="2"/>
      <c r="E39" s="2"/>
      <c r="J39" s="44">
        <v>30.0</v>
      </c>
      <c r="K39" s="44" t="s">
        <v>48</v>
      </c>
      <c r="L39" s="55">
        <v>15000.0</v>
      </c>
      <c r="M39" s="55">
        <f>10101-85</f>
        <v>10016</v>
      </c>
      <c r="N39" s="51">
        <f t="shared" si="1"/>
        <v>-4984</v>
      </c>
      <c r="P39" s="44">
        <v>30.0</v>
      </c>
      <c r="Q39" s="44" t="s">
        <v>48</v>
      </c>
      <c r="R39" s="59">
        <v>11000.0</v>
      </c>
      <c r="S39" s="177">
        <f>12793.42-893</f>
        <v>11900.42</v>
      </c>
      <c r="T39" s="51">
        <f t="shared" si="2"/>
        <v>900.42</v>
      </c>
      <c r="AG39" s="1"/>
      <c r="AH39" s="44">
        <v>30.0</v>
      </c>
      <c r="AI39" s="44" t="s">
        <v>45</v>
      </c>
      <c r="AJ39" s="144">
        <v>5097.810527206023</v>
      </c>
      <c r="AL39" s="44">
        <v>30.0</v>
      </c>
      <c r="AM39" s="44" t="s">
        <v>45</v>
      </c>
      <c r="AN39" s="144">
        <v>4713.440012553152</v>
      </c>
    </row>
    <row r="40" ht="15.75" customHeight="1">
      <c r="B40" s="2"/>
      <c r="C40" s="2"/>
      <c r="D40" s="2"/>
      <c r="E40" s="2"/>
      <c r="J40" s="44">
        <v>31.0</v>
      </c>
      <c r="K40" s="44" t="s">
        <v>41</v>
      </c>
      <c r="L40" s="55">
        <v>18600.0</v>
      </c>
      <c r="M40" s="55">
        <f>16462.4</f>
        <v>16462.4</v>
      </c>
      <c r="N40" s="51">
        <f t="shared" si="1"/>
        <v>-2137.6</v>
      </c>
      <c r="P40" s="44">
        <v>31.0</v>
      </c>
      <c r="Q40" s="44" t="s">
        <v>41</v>
      </c>
      <c r="R40" s="59">
        <v>14600.0</v>
      </c>
      <c r="S40" s="69">
        <f>15684.04-1047</f>
        <v>14637.04</v>
      </c>
      <c r="T40" s="51">
        <f t="shared" si="2"/>
        <v>37.04</v>
      </c>
      <c r="AG40" s="1"/>
      <c r="AH40" s="44"/>
      <c r="AI40" s="44"/>
      <c r="AJ40" s="144"/>
      <c r="AL40" s="44"/>
      <c r="AM40" s="44"/>
      <c r="AN40" s="144"/>
    </row>
    <row r="41" ht="15.75" customHeight="1">
      <c r="B41" s="2"/>
      <c r="C41" s="2"/>
      <c r="D41" s="2"/>
      <c r="E41" s="2"/>
      <c r="J41" s="8"/>
      <c r="K41" s="8"/>
      <c r="L41" s="107">
        <f t="shared" ref="L41:N41" si="7">SUM(L10:L40)</f>
        <v>355000</v>
      </c>
      <c r="M41" s="107">
        <f t="shared" si="7"/>
        <v>330507.09</v>
      </c>
      <c r="N41" s="105">
        <f t="shared" si="7"/>
        <v>-24492.91</v>
      </c>
      <c r="P41" s="8"/>
      <c r="Q41" s="8"/>
      <c r="R41" s="107">
        <f t="shared" ref="R41:T41" si="8">SUM(R10:R40)</f>
        <v>300000</v>
      </c>
      <c r="S41" s="107">
        <f t="shared" si="8"/>
        <v>284385.74</v>
      </c>
      <c r="T41" s="105">
        <f t="shared" si="8"/>
        <v>-15614.26</v>
      </c>
      <c r="AG41" s="1"/>
      <c r="AH41" s="8"/>
      <c r="AI41" s="8"/>
      <c r="AJ41" s="107">
        <f>SUM(AJ10:AJ40)</f>
        <v>340307.595</v>
      </c>
      <c r="AK41" s="107"/>
      <c r="AL41" s="8"/>
      <c r="AM41" s="8"/>
      <c r="AN41" s="107">
        <f>SUM(AN10:AN40)</f>
        <v>304919.6416</v>
      </c>
    </row>
    <row r="42" ht="15.75" customHeight="1">
      <c r="B42" s="2"/>
      <c r="C42" s="2"/>
      <c r="D42" s="2"/>
      <c r="E42" s="2"/>
      <c r="M42" s="114">
        <f>M41/K45</f>
        <v>0.9310058873</v>
      </c>
      <c r="N42" s="1"/>
      <c r="P42" s="1"/>
      <c r="Q42" s="1"/>
      <c r="R42" s="1"/>
      <c r="S42" s="114">
        <f>S41/Q45</f>
        <v>0.9479524667</v>
      </c>
      <c r="T42" s="1"/>
      <c r="AG42" s="1"/>
      <c r="AH42" s="1"/>
      <c r="AI42" s="1"/>
      <c r="AJ42" s="1"/>
      <c r="AK42" s="1"/>
      <c r="AL42" s="1"/>
    </row>
    <row r="43" ht="15.75" customHeight="1">
      <c r="B43" s="2"/>
      <c r="C43" s="2"/>
      <c r="D43" s="2"/>
      <c r="E43" s="2"/>
      <c r="J43" s="2"/>
      <c r="K43" s="2"/>
      <c r="L43" s="2"/>
      <c r="M43" s="2"/>
      <c r="Q43" s="61"/>
      <c r="R43" s="2"/>
      <c r="S43" s="2"/>
      <c r="AG43" s="1"/>
      <c r="AH43" s="1"/>
      <c r="AJ43" s="173" t="s">
        <v>122</v>
      </c>
      <c r="AN43" s="173" t="s">
        <v>115</v>
      </c>
    </row>
    <row r="44" ht="15.75" customHeight="1">
      <c r="B44" s="2"/>
      <c r="C44" s="2"/>
      <c r="D44" s="2"/>
      <c r="E44" s="2"/>
      <c r="J44" s="2"/>
      <c r="K44" s="2"/>
      <c r="L44" s="115" t="s">
        <v>77</v>
      </c>
      <c r="M44" s="118">
        <f>L41+N41</f>
        <v>330507.09</v>
      </c>
      <c r="R44" s="115" t="s">
        <v>77</v>
      </c>
      <c r="S44" s="118">
        <f>R41+T41</f>
        <v>284385.74</v>
      </c>
      <c r="AG44" s="1"/>
      <c r="AH44" s="1"/>
      <c r="AK44" s="13"/>
    </row>
    <row r="45" ht="15.75" customHeight="1">
      <c r="B45" s="2"/>
      <c r="C45" s="2"/>
      <c r="D45" s="2"/>
      <c r="E45" s="2"/>
      <c r="J45" s="122" t="s">
        <v>29</v>
      </c>
      <c r="K45" s="124">
        <v>355000.0</v>
      </c>
      <c r="L45" s="2"/>
      <c r="M45" s="2"/>
      <c r="P45" s="126" t="s">
        <v>29</v>
      </c>
      <c r="Q45" s="124">
        <v>300000.0</v>
      </c>
      <c r="R45" s="182"/>
      <c r="S45" s="182"/>
      <c r="T45" s="4"/>
      <c r="V45" s="61"/>
      <c r="AG45" s="1"/>
      <c r="AH45" s="1"/>
    </row>
    <row r="46" ht="15.75" customHeight="1">
      <c r="B46" s="2"/>
      <c r="C46" s="2"/>
      <c r="D46" s="2"/>
      <c r="E46" s="2"/>
      <c r="L46" s="2"/>
      <c r="M46" s="2"/>
      <c r="R46" s="2"/>
      <c r="S46" s="2"/>
    </row>
    <row r="47" ht="15.75" customHeight="1">
      <c r="B47" s="2"/>
      <c r="C47" s="2"/>
      <c r="D47" s="2"/>
      <c r="E47" s="2"/>
      <c r="L47" s="2"/>
      <c r="M47" s="2"/>
      <c r="R47" s="2"/>
      <c r="S47" s="2"/>
    </row>
    <row r="48" ht="15.75" customHeight="1">
      <c r="B48" s="2"/>
      <c r="C48" s="2"/>
      <c r="D48" s="2"/>
      <c r="E48" s="2"/>
      <c r="L48" s="2"/>
      <c r="M48" s="2"/>
      <c r="R48" s="2"/>
      <c r="S48" s="2"/>
    </row>
    <row r="49" ht="15.75" customHeight="1">
      <c r="B49" s="2"/>
      <c r="C49" s="2"/>
      <c r="D49" s="2"/>
      <c r="E49" s="2"/>
      <c r="L49" s="2"/>
      <c r="M49" s="2"/>
    </row>
    <row r="50" ht="15.75" customHeight="1">
      <c r="B50" s="2"/>
      <c r="C50" s="2"/>
      <c r="D50" s="2"/>
      <c r="E50" s="2"/>
      <c r="L50" s="2"/>
      <c r="M50" s="2"/>
    </row>
    <row r="51" ht="15.75" customHeight="1">
      <c r="B51" s="2"/>
      <c r="C51" s="2"/>
      <c r="D51" s="2"/>
      <c r="E51" s="2"/>
      <c r="L51" s="2"/>
      <c r="M51" s="2"/>
    </row>
    <row r="52" ht="15.75" customHeight="1">
      <c r="B52" s="2"/>
      <c r="C52" s="2"/>
      <c r="D52" s="2"/>
      <c r="E52" s="2"/>
      <c r="L52" s="2"/>
      <c r="M52" s="2"/>
    </row>
    <row r="53" ht="15.75" customHeight="1">
      <c r="B53" s="2"/>
      <c r="C53" s="2"/>
      <c r="D53" s="2"/>
      <c r="E53" s="2"/>
      <c r="L53" s="2"/>
      <c r="M53" s="2"/>
    </row>
    <row r="54" ht="15.75" customHeight="1">
      <c r="B54" s="2"/>
      <c r="C54" s="2"/>
      <c r="D54" s="2"/>
      <c r="E54" s="2"/>
      <c r="L54" s="2"/>
      <c r="M54" s="2"/>
    </row>
    <row r="55" ht="15.75" customHeight="1">
      <c r="B55" s="2"/>
      <c r="C55" s="2"/>
      <c r="D55" s="2"/>
      <c r="E55" s="2"/>
      <c r="L55" s="2"/>
      <c r="M55" s="2"/>
    </row>
    <row r="56" ht="15.75" customHeight="1">
      <c r="B56" s="2"/>
      <c r="C56" s="2"/>
      <c r="D56" s="2"/>
      <c r="E56" s="2"/>
      <c r="L56" s="2"/>
      <c r="M56" s="2"/>
    </row>
    <row r="57" ht="15.75" customHeight="1">
      <c r="B57" s="2"/>
      <c r="C57" s="2"/>
      <c r="D57" s="2"/>
      <c r="E57" s="2"/>
      <c r="L57" s="2"/>
      <c r="M57" s="2"/>
    </row>
    <row r="58" ht="15.75" customHeight="1">
      <c r="B58" s="2"/>
      <c r="C58" s="2"/>
      <c r="D58" s="2"/>
      <c r="E58" s="2"/>
      <c r="L58" s="2"/>
      <c r="M58" s="2"/>
    </row>
    <row r="59" ht="15.75" customHeight="1">
      <c r="B59" s="2"/>
      <c r="C59" s="2"/>
      <c r="D59" s="2"/>
      <c r="E59" s="2"/>
      <c r="L59" s="2"/>
      <c r="M59" s="2"/>
    </row>
    <row r="60" ht="15.75" customHeight="1">
      <c r="B60" s="2"/>
      <c r="C60" s="2"/>
      <c r="D60" s="2"/>
      <c r="E60" s="2"/>
      <c r="L60" s="2"/>
      <c r="M60" s="2"/>
    </row>
    <row r="61" ht="15.75" customHeight="1">
      <c r="B61" s="2"/>
      <c r="C61" s="2"/>
      <c r="D61" s="2"/>
      <c r="E61" s="2"/>
      <c r="L61" s="2"/>
      <c r="M61" s="2"/>
    </row>
    <row r="62" ht="15.75" customHeight="1">
      <c r="B62" s="2"/>
      <c r="C62" s="2"/>
      <c r="D62" s="2"/>
      <c r="E62" s="2"/>
      <c r="L62" s="2"/>
      <c r="M62" s="2"/>
    </row>
    <row r="63" ht="15.75" customHeight="1">
      <c r="B63" s="2"/>
      <c r="C63" s="2"/>
      <c r="D63" s="2"/>
      <c r="E63" s="2"/>
      <c r="L63" s="2"/>
      <c r="M63" s="2"/>
    </row>
    <row r="64" ht="15.75" customHeight="1">
      <c r="B64" s="2"/>
      <c r="C64" s="2"/>
      <c r="D64" s="2"/>
      <c r="E64" s="2"/>
      <c r="L64" s="2"/>
      <c r="M64" s="2"/>
    </row>
    <row r="65" ht="15.75" customHeight="1">
      <c r="B65" s="2"/>
      <c r="C65" s="2"/>
      <c r="D65" s="2"/>
      <c r="E65" s="2"/>
      <c r="L65" s="2"/>
      <c r="M65" s="2"/>
    </row>
    <row r="66" ht="15.75" customHeight="1">
      <c r="B66" s="2"/>
      <c r="C66" s="2"/>
      <c r="D66" s="2"/>
      <c r="E66" s="2"/>
      <c r="L66" s="2"/>
      <c r="M66" s="2"/>
    </row>
    <row r="67" ht="15.75" customHeight="1">
      <c r="B67" s="2"/>
      <c r="C67" s="2"/>
      <c r="D67" s="2"/>
      <c r="E67" s="2"/>
      <c r="L67" s="2"/>
      <c r="M67" s="2"/>
    </row>
    <row r="68" ht="15.75" customHeight="1">
      <c r="B68" s="2"/>
      <c r="C68" s="2"/>
      <c r="D68" s="2"/>
      <c r="E68" s="2"/>
      <c r="L68" s="2"/>
      <c r="M68" s="2"/>
    </row>
    <row r="69" ht="15.75" customHeight="1">
      <c r="B69" s="2"/>
      <c r="C69" s="2"/>
      <c r="D69" s="2"/>
      <c r="E69" s="2"/>
      <c r="L69" s="2"/>
      <c r="M69" s="2"/>
    </row>
    <row r="70" ht="15.75" customHeight="1">
      <c r="B70" s="2"/>
      <c r="C70" s="2"/>
      <c r="D70" s="2"/>
      <c r="E70" s="2"/>
      <c r="L70" s="2"/>
      <c r="M70" s="2"/>
    </row>
    <row r="71" ht="15.75" customHeight="1">
      <c r="B71" s="2"/>
      <c r="C71" s="2"/>
      <c r="D71" s="2"/>
      <c r="E71" s="2"/>
      <c r="L71" s="2"/>
      <c r="M71" s="2"/>
    </row>
    <row r="72" ht="15.75" customHeight="1">
      <c r="B72" s="2"/>
      <c r="C72" s="2"/>
      <c r="D72" s="2"/>
      <c r="E72" s="2"/>
      <c r="L72" s="2"/>
      <c r="M72" s="2"/>
    </row>
    <row r="73" ht="15.75" customHeight="1">
      <c r="B73" s="2"/>
      <c r="C73" s="2"/>
      <c r="D73" s="2"/>
      <c r="E73" s="2"/>
      <c r="L73" s="2"/>
      <c r="M73" s="2"/>
    </row>
    <row r="74" ht="15.75" customHeight="1">
      <c r="B74" s="2"/>
      <c r="C74" s="2"/>
      <c r="D74" s="2"/>
      <c r="E74" s="2"/>
      <c r="L74" s="2"/>
      <c r="M74" s="2"/>
    </row>
    <row r="75" ht="15.75" customHeight="1">
      <c r="B75" s="2"/>
      <c r="C75" s="2"/>
      <c r="D75" s="2"/>
      <c r="E75" s="2"/>
      <c r="L75" s="2"/>
      <c r="M75" s="2"/>
    </row>
    <row r="76" ht="15.75" customHeight="1">
      <c r="B76" s="2"/>
      <c r="C76" s="2"/>
      <c r="D76" s="2"/>
      <c r="E76" s="2"/>
      <c r="L76" s="2"/>
      <c r="M76" s="2"/>
    </row>
    <row r="77" ht="15.75" customHeight="1">
      <c r="B77" s="2"/>
      <c r="C77" s="2"/>
      <c r="D77" s="2"/>
      <c r="E77" s="2"/>
      <c r="L77" s="2"/>
      <c r="M77" s="2"/>
    </row>
    <row r="78" ht="15.75" customHeight="1">
      <c r="B78" s="2"/>
      <c r="C78" s="2"/>
      <c r="D78" s="2"/>
      <c r="E78" s="2"/>
      <c r="L78" s="2"/>
      <c r="M78" s="2"/>
    </row>
    <row r="79" ht="15.75" customHeight="1">
      <c r="B79" s="2"/>
      <c r="C79" s="2"/>
      <c r="D79" s="2"/>
      <c r="E79" s="2"/>
      <c r="L79" s="2"/>
      <c r="M79" s="2"/>
    </row>
    <row r="80" ht="15.75" customHeight="1">
      <c r="B80" s="2"/>
      <c r="C80" s="2"/>
      <c r="D80" s="2"/>
      <c r="E80" s="2"/>
      <c r="L80" s="2"/>
      <c r="M80" s="2"/>
    </row>
    <row r="81" ht="15.75" customHeight="1">
      <c r="B81" s="2"/>
      <c r="C81" s="2"/>
      <c r="D81" s="2"/>
      <c r="E81" s="2"/>
      <c r="L81" s="2"/>
      <c r="M81" s="2"/>
    </row>
    <row r="82" ht="15.75" customHeight="1">
      <c r="B82" s="2"/>
      <c r="C82" s="2"/>
      <c r="D82" s="2"/>
      <c r="E82" s="2"/>
      <c r="L82" s="2"/>
      <c r="M82" s="2"/>
    </row>
    <row r="83" ht="15.75" customHeight="1">
      <c r="B83" s="2"/>
      <c r="C83" s="2"/>
      <c r="D83" s="2"/>
      <c r="E83" s="2"/>
      <c r="L83" s="2"/>
      <c r="M83" s="2"/>
    </row>
    <row r="84" ht="15.75" customHeight="1">
      <c r="B84" s="2"/>
      <c r="C84" s="2"/>
      <c r="D84" s="2"/>
      <c r="E84" s="2"/>
      <c r="L84" s="2"/>
      <c r="M84" s="2"/>
    </row>
    <row r="85" ht="15.75" customHeight="1">
      <c r="B85" s="2"/>
      <c r="C85" s="2"/>
      <c r="D85" s="2"/>
      <c r="E85" s="2"/>
      <c r="L85" s="2"/>
      <c r="M85" s="2"/>
    </row>
    <row r="86" ht="15.75" customHeight="1">
      <c r="B86" s="2"/>
      <c r="C86" s="2"/>
      <c r="D86" s="2"/>
      <c r="E86" s="2"/>
      <c r="L86" s="2"/>
      <c r="M86" s="2"/>
    </row>
    <row r="87" ht="15.75" customHeight="1">
      <c r="B87" s="2"/>
      <c r="C87" s="2"/>
      <c r="D87" s="2"/>
      <c r="E87" s="2"/>
      <c r="L87" s="2"/>
      <c r="M87" s="2"/>
    </row>
    <row r="88" ht="15.75" customHeight="1">
      <c r="B88" s="2"/>
      <c r="C88" s="2"/>
      <c r="D88" s="2"/>
      <c r="E88" s="2"/>
      <c r="L88" s="2"/>
      <c r="M88" s="2"/>
    </row>
    <row r="89" ht="15.75" customHeight="1">
      <c r="B89" s="2"/>
      <c r="C89" s="2"/>
      <c r="D89" s="2"/>
      <c r="E89" s="2"/>
      <c r="L89" s="2"/>
      <c r="M89" s="2"/>
    </row>
    <row r="90" ht="15.75" customHeight="1">
      <c r="B90" s="2"/>
      <c r="C90" s="2"/>
      <c r="D90" s="2"/>
      <c r="E90" s="2"/>
      <c r="L90" s="2"/>
      <c r="M90" s="2"/>
    </row>
    <row r="91" ht="15.75" customHeight="1">
      <c r="B91" s="2"/>
      <c r="C91" s="2"/>
      <c r="D91" s="2"/>
      <c r="E91" s="2"/>
      <c r="L91" s="2"/>
      <c r="M91" s="2"/>
    </row>
    <row r="92" ht="15.75" customHeight="1">
      <c r="B92" s="2"/>
      <c r="C92" s="2"/>
      <c r="D92" s="2"/>
      <c r="E92" s="2"/>
      <c r="L92" s="2"/>
      <c r="M92" s="2"/>
    </row>
    <row r="93" ht="15.75" customHeight="1">
      <c r="B93" s="2"/>
      <c r="C93" s="2"/>
      <c r="D93" s="2"/>
      <c r="E93" s="2"/>
      <c r="L93" s="2"/>
      <c r="M93" s="2"/>
    </row>
    <row r="94" ht="15.75" customHeight="1">
      <c r="B94" s="2"/>
      <c r="C94" s="2"/>
      <c r="D94" s="2"/>
      <c r="E94" s="2"/>
      <c r="L94" s="2"/>
      <c r="M94" s="2"/>
    </row>
    <row r="95" ht="15.75" customHeight="1">
      <c r="B95" s="2"/>
      <c r="C95" s="2"/>
      <c r="D95" s="2"/>
      <c r="E95" s="2"/>
      <c r="L95" s="2"/>
      <c r="M95" s="2"/>
    </row>
    <row r="96" ht="15.75" customHeight="1">
      <c r="B96" s="2"/>
      <c r="C96" s="2"/>
      <c r="D96" s="2"/>
      <c r="E96" s="2"/>
      <c r="L96" s="2"/>
      <c r="M96" s="2"/>
    </row>
    <row r="97" ht="15.75" customHeight="1">
      <c r="B97" s="2"/>
      <c r="C97" s="2"/>
      <c r="D97" s="2"/>
      <c r="E97" s="2"/>
      <c r="L97" s="2"/>
      <c r="M97" s="2"/>
    </row>
    <row r="98" ht="15.75" customHeight="1">
      <c r="B98" s="2"/>
      <c r="C98" s="2"/>
      <c r="D98" s="2"/>
      <c r="E98" s="2"/>
      <c r="L98" s="2"/>
      <c r="M98" s="2"/>
    </row>
    <row r="99" ht="15.75" customHeight="1">
      <c r="B99" s="2"/>
      <c r="C99" s="2"/>
      <c r="D99" s="2"/>
      <c r="E99" s="2"/>
      <c r="L99" s="2"/>
      <c r="M99" s="2"/>
    </row>
    <row r="100" ht="15.75" customHeight="1">
      <c r="B100" s="2"/>
      <c r="C100" s="2"/>
      <c r="D100" s="2"/>
      <c r="E100" s="2"/>
      <c r="L100" s="2"/>
      <c r="M100" s="2"/>
    </row>
    <row r="101" ht="15.75" customHeight="1">
      <c r="B101" s="2"/>
      <c r="C101" s="2"/>
      <c r="D101" s="2"/>
      <c r="E101" s="2"/>
      <c r="L101" s="2"/>
      <c r="M101" s="2"/>
    </row>
    <row r="102" ht="15.75" customHeight="1">
      <c r="B102" s="2"/>
      <c r="C102" s="2"/>
      <c r="D102" s="2"/>
      <c r="E102" s="2"/>
      <c r="L102" s="2"/>
      <c r="M102" s="2"/>
    </row>
    <row r="103" ht="15.75" customHeight="1">
      <c r="B103" s="2"/>
      <c r="C103" s="2"/>
      <c r="D103" s="2"/>
      <c r="E103" s="2"/>
      <c r="L103" s="2"/>
      <c r="M103" s="2"/>
    </row>
    <row r="104" ht="15.75" customHeight="1">
      <c r="B104" s="2"/>
      <c r="C104" s="2"/>
      <c r="D104" s="2"/>
      <c r="E104" s="2"/>
      <c r="L104" s="2"/>
      <c r="M104" s="2"/>
    </row>
    <row r="105" ht="15.75" customHeight="1">
      <c r="B105" s="2"/>
      <c r="C105" s="2"/>
      <c r="D105" s="2"/>
      <c r="E105" s="2"/>
      <c r="L105" s="2"/>
      <c r="M105" s="2"/>
    </row>
    <row r="106" ht="15.75" customHeight="1">
      <c r="B106" s="2"/>
      <c r="C106" s="2"/>
      <c r="D106" s="2"/>
      <c r="E106" s="2"/>
      <c r="L106" s="2"/>
      <c r="M106" s="2"/>
    </row>
    <row r="107" ht="15.75" customHeight="1">
      <c r="B107" s="2"/>
      <c r="C107" s="2"/>
      <c r="D107" s="2"/>
      <c r="E107" s="2"/>
      <c r="L107" s="2"/>
      <c r="M107" s="2"/>
    </row>
    <row r="108" ht="15.75" customHeight="1">
      <c r="B108" s="2"/>
      <c r="C108" s="2"/>
      <c r="D108" s="2"/>
      <c r="E108" s="2"/>
      <c r="L108" s="2"/>
      <c r="M108" s="2"/>
    </row>
    <row r="109" ht="15.75" customHeight="1">
      <c r="B109" s="2"/>
      <c r="C109" s="2"/>
      <c r="D109" s="2"/>
      <c r="E109" s="2"/>
      <c r="L109" s="2"/>
      <c r="M109" s="2"/>
    </row>
    <row r="110" ht="15.75" customHeight="1">
      <c r="B110" s="2"/>
      <c r="C110" s="2"/>
      <c r="D110" s="2"/>
      <c r="E110" s="2"/>
      <c r="L110" s="2"/>
      <c r="M110" s="2"/>
    </row>
    <row r="111" ht="15.75" customHeight="1">
      <c r="B111" s="2"/>
      <c r="C111" s="2"/>
      <c r="D111" s="2"/>
      <c r="E111" s="2"/>
      <c r="L111" s="2"/>
      <c r="M111" s="2"/>
    </row>
    <row r="112" ht="15.75" customHeight="1">
      <c r="B112" s="2"/>
      <c r="C112" s="2"/>
      <c r="D112" s="2"/>
      <c r="E112" s="2"/>
      <c r="L112" s="2"/>
      <c r="M112" s="2"/>
    </row>
    <row r="113" ht="15.75" customHeight="1">
      <c r="B113" s="2"/>
      <c r="C113" s="2"/>
      <c r="D113" s="2"/>
      <c r="E113" s="2"/>
      <c r="L113" s="2"/>
      <c r="M113" s="2"/>
    </row>
    <row r="114" ht="15.75" customHeight="1">
      <c r="B114" s="2"/>
      <c r="C114" s="2"/>
      <c r="D114" s="2"/>
      <c r="E114" s="2"/>
      <c r="L114" s="2"/>
      <c r="M114" s="2"/>
    </row>
    <row r="115" ht="15.75" customHeight="1">
      <c r="B115" s="2"/>
      <c r="C115" s="2"/>
      <c r="D115" s="2"/>
      <c r="E115" s="2"/>
      <c r="L115" s="2"/>
      <c r="M115" s="2"/>
    </row>
    <row r="116" ht="15.75" customHeight="1">
      <c r="B116" s="2"/>
      <c r="C116" s="2"/>
      <c r="D116" s="2"/>
      <c r="E116" s="2"/>
      <c r="L116" s="2"/>
      <c r="M116" s="2"/>
    </row>
    <row r="117" ht="15.75" customHeight="1">
      <c r="B117" s="2"/>
      <c r="C117" s="2"/>
      <c r="D117" s="2"/>
      <c r="E117" s="2"/>
      <c r="L117" s="2"/>
      <c r="M117" s="2"/>
    </row>
    <row r="118" ht="15.75" customHeight="1">
      <c r="B118" s="2"/>
      <c r="C118" s="2"/>
      <c r="D118" s="2"/>
      <c r="E118" s="2"/>
      <c r="L118" s="2"/>
      <c r="M118" s="2"/>
    </row>
    <row r="119" ht="15.75" customHeight="1">
      <c r="B119" s="2"/>
      <c r="C119" s="2"/>
      <c r="D119" s="2"/>
      <c r="E119" s="2"/>
      <c r="L119" s="2"/>
      <c r="M119" s="2"/>
    </row>
    <row r="120" ht="15.75" customHeight="1">
      <c r="B120" s="2"/>
      <c r="C120" s="2"/>
      <c r="D120" s="2"/>
      <c r="E120" s="2"/>
      <c r="L120" s="2"/>
      <c r="M120" s="2"/>
    </row>
    <row r="121" ht="15.75" customHeight="1">
      <c r="B121" s="2"/>
      <c r="C121" s="2"/>
      <c r="D121" s="2"/>
      <c r="E121" s="2"/>
      <c r="L121" s="2"/>
      <c r="M121" s="2"/>
    </row>
    <row r="122" ht="15.75" customHeight="1">
      <c r="B122" s="2"/>
      <c r="C122" s="2"/>
      <c r="D122" s="2"/>
      <c r="E122" s="2"/>
      <c r="L122" s="2"/>
      <c r="M122" s="2"/>
    </row>
    <row r="123" ht="15.75" customHeight="1">
      <c r="B123" s="2"/>
      <c r="C123" s="2"/>
      <c r="D123" s="2"/>
      <c r="E123" s="2"/>
      <c r="L123" s="2"/>
      <c r="M123" s="2"/>
    </row>
    <row r="124" ht="15.75" customHeight="1">
      <c r="B124" s="2"/>
      <c r="C124" s="2"/>
      <c r="D124" s="2"/>
      <c r="E124" s="2"/>
      <c r="L124" s="2"/>
      <c r="M124" s="2"/>
    </row>
    <row r="125" ht="15.75" customHeight="1">
      <c r="B125" s="2"/>
      <c r="C125" s="2"/>
      <c r="D125" s="2"/>
      <c r="E125" s="2"/>
      <c r="L125" s="2"/>
      <c r="M125" s="2"/>
    </row>
    <row r="126" ht="15.75" customHeight="1">
      <c r="B126" s="2"/>
      <c r="C126" s="2"/>
      <c r="D126" s="2"/>
      <c r="E126" s="2"/>
      <c r="L126" s="2"/>
      <c r="M126" s="2"/>
    </row>
    <row r="127" ht="15.75" customHeight="1">
      <c r="B127" s="2"/>
      <c r="C127" s="2"/>
      <c r="D127" s="2"/>
      <c r="E127" s="2"/>
      <c r="L127" s="2"/>
      <c r="M127" s="2"/>
    </row>
    <row r="128" ht="15.75" customHeight="1">
      <c r="B128" s="2"/>
      <c r="C128" s="2"/>
      <c r="D128" s="2"/>
      <c r="E128" s="2"/>
      <c r="L128" s="2"/>
      <c r="M128" s="2"/>
    </row>
    <row r="129" ht="15.75" customHeight="1">
      <c r="B129" s="2"/>
      <c r="C129" s="2"/>
      <c r="D129" s="2"/>
      <c r="E129" s="2"/>
      <c r="L129" s="2"/>
      <c r="M129" s="2"/>
    </row>
    <row r="130" ht="15.75" customHeight="1">
      <c r="B130" s="2"/>
      <c r="C130" s="2"/>
      <c r="D130" s="2"/>
      <c r="E130" s="2"/>
      <c r="L130" s="2"/>
      <c r="M130" s="2"/>
    </row>
    <row r="131" ht="15.75" customHeight="1">
      <c r="B131" s="2"/>
      <c r="C131" s="2"/>
      <c r="D131" s="2"/>
      <c r="E131" s="2"/>
      <c r="L131" s="2"/>
      <c r="M131" s="2"/>
    </row>
    <row r="132" ht="15.75" customHeight="1">
      <c r="B132" s="2"/>
      <c r="C132" s="2"/>
      <c r="D132" s="2"/>
      <c r="E132" s="2"/>
      <c r="L132" s="2"/>
      <c r="M132" s="2"/>
    </row>
    <row r="133" ht="15.75" customHeight="1">
      <c r="B133" s="2"/>
      <c r="C133" s="2"/>
      <c r="D133" s="2"/>
      <c r="E133" s="2"/>
      <c r="L133" s="2"/>
      <c r="M133" s="2"/>
    </row>
    <row r="134" ht="15.75" customHeight="1">
      <c r="B134" s="2"/>
      <c r="C134" s="2"/>
      <c r="D134" s="2"/>
      <c r="E134" s="2"/>
      <c r="L134" s="2"/>
      <c r="M134" s="2"/>
    </row>
    <row r="135" ht="15.75" customHeight="1">
      <c r="B135" s="2"/>
      <c r="C135" s="2"/>
      <c r="D135" s="2"/>
      <c r="E135" s="2"/>
      <c r="L135" s="2"/>
      <c r="M135" s="2"/>
    </row>
    <row r="136" ht="15.75" customHeight="1">
      <c r="B136" s="2"/>
      <c r="C136" s="2"/>
      <c r="D136" s="2"/>
      <c r="E136" s="2"/>
      <c r="L136" s="2"/>
      <c r="M136" s="2"/>
    </row>
    <row r="137" ht="15.75" customHeight="1">
      <c r="B137" s="2"/>
      <c r="C137" s="2"/>
      <c r="D137" s="2"/>
      <c r="E137" s="2"/>
      <c r="L137" s="2"/>
      <c r="M137" s="2"/>
    </row>
    <row r="138" ht="15.75" customHeight="1">
      <c r="B138" s="2"/>
      <c r="C138" s="2"/>
      <c r="D138" s="2"/>
      <c r="E138" s="2"/>
      <c r="L138" s="2"/>
      <c r="M138" s="2"/>
    </row>
    <row r="139" ht="15.75" customHeight="1">
      <c r="B139" s="2"/>
      <c r="C139" s="2"/>
      <c r="D139" s="2"/>
      <c r="E139" s="2"/>
      <c r="L139" s="2"/>
      <c r="M139" s="2"/>
    </row>
    <row r="140" ht="15.75" customHeight="1">
      <c r="B140" s="2"/>
      <c r="C140" s="2"/>
      <c r="D140" s="2"/>
      <c r="E140" s="2"/>
      <c r="L140" s="2"/>
      <c r="M140" s="2"/>
    </row>
    <row r="141" ht="15.75" customHeight="1">
      <c r="B141" s="2"/>
      <c r="C141" s="2"/>
      <c r="D141" s="2"/>
      <c r="E141" s="2"/>
      <c r="L141" s="2"/>
      <c r="M141" s="2"/>
    </row>
    <row r="142" ht="15.75" customHeight="1">
      <c r="B142" s="2"/>
      <c r="C142" s="2"/>
      <c r="D142" s="2"/>
      <c r="E142" s="2"/>
      <c r="L142" s="2"/>
      <c r="M142" s="2"/>
    </row>
    <row r="143" ht="15.75" customHeight="1">
      <c r="B143" s="2"/>
      <c r="C143" s="2"/>
      <c r="D143" s="2"/>
      <c r="E143" s="2"/>
      <c r="L143" s="2"/>
      <c r="M143" s="2"/>
    </row>
    <row r="144" ht="15.75" customHeight="1">
      <c r="B144" s="2"/>
      <c r="C144" s="2"/>
      <c r="D144" s="2"/>
      <c r="E144" s="2"/>
      <c r="L144" s="2"/>
      <c r="M144" s="2"/>
    </row>
    <row r="145" ht="15.75" customHeight="1">
      <c r="B145" s="2"/>
      <c r="C145" s="2"/>
      <c r="D145" s="2"/>
      <c r="E145" s="2"/>
      <c r="L145" s="2"/>
      <c r="M145" s="2"/>
    </row>
    <row r="146" ht="15.75" customHeight="1">
      <c r="B146" s="2"/>
      <c r="C146" s="2"/>
      <c r="D146" s="2"/>
      <c r="E146" s="2"/>
      <c r="L146" s="2"/>
      <c r="M146" s="2"/>
    </row>
    <row r="147" ht="15.75" customHeight="1">
      <c r="B147" s="2"/>
      <c r="C147" s="2"/>
      <c r="D147" s="2"/>
      <c r="E147" s="2"/>
      <c r="L147" s="2"/>
      <c r="M147" s="2"/>
    </row>
    <row r="148" ht="15.75" customHeight="1">
      <c r="B148" s="2"/>
      <c r="C148" s="2"/>
      <c r="D148" s="2"/>
      <c r="E148" s="2"/>
      <c r="L148" s="2"/>
      <c r="M148" s="2"/>
    </row>
    <row r="149" ht="15.75" customHeight="1">
      <c r="B149" s="2"/>
      <c r="C149" s="2"/>
      <c r="D149" s="2"/>
      <c r="E149" s="2"/>
      <c r="L149" s="2"/>
      <c r="M149" s="2"/>
    </row>
    <row r="150" ht="15.75" customHeight="1">
      <c r="B150" s="2"/>
      <c r="C150" s="2"/>
      <c r="D150" s="2"/>
      <c r="E150" s="2"/>
      <c r="L150" s="2"/>
      <c r="M150" s="2"/>
    </row>
    <row r="151" ht="15.75" customHeight="1">
      <c r="B151" s="2"/>
      <c r="C151" s="2"/>
      <c r="D151" s="2"/>
      <c r="E151" s="2"/>
      <c r="L151" s="2"/>
      <c r="M151" s="2"/>
    </row>
    <row r="152" ht="15.75" customHeight="1">
      <c r="B152" s="2"/>
      <c r="C152" s="2"/>
      <c r="D152" s="2"/>
      <c r="E152" s="2"/>
      <c r="L152" s="2"/>
      <c r="M152" s="2"/>
    </row>
    <row r="153" ht="15.75" customHeight="1">
      <c r="B153" s="2"/>
      <c r="C153" s="2"/>
      <c r="D153" s="2"/>
      <c r="E153" s="2"/>
      <c r="L153" s="2"/>
      <c r="M153" s="2"/>
    </row>
    <row r="154" ht="15.75" customHeight="1">
      <c r="B154" s="2"/>
      <c r="C154" s="2"/>
      <c r="D154" s="2"/>
      <c r="E154" s="2"/>
      <c r="L154" s="2"/>
      <c r="M154" s="2"/>
    </row>
    <row r="155" ht="15.75" customHeight="1">
      <c r="B155" s="2"/>
      <c r="C155" s="2"/>
      <c r="D155" s="2"/>
      <c r="E155" s="2"/>
      <c r="L155" s="2"/>
      <c r="M155" s="2"/>
    </row>
    <row r="156" ht="15.75" customHeight="1">
      <c r="B156" s="2"/>
      <c r="C156" s="2"/>
      <c r="D156" s="2"/>
      <c r="E156" s="2"/>
      <c r="L156" s="2"/>
      <c r="M156" s="2"/>
    </row>
    <row r="157" ht="15.75" customHeight="1">
      <c r="B157" s="2"/>
      <c r="C157" s="2"/>
      <c r="D157" s="2"/>
      <c r="E157" s="2"/>
      <c r="L157" s="2"/>
      <c r="M157" s="2"/>
    </row>
    <row r="158" ht="15.75" customHeight="1">
      <c r="B158" s="2"/>
      <c r="C158" s="2"/>
      <c r="D158" s="2"/>
      <c r="E158" s="2"/>
      <c r="L158" s="2"/>
      <c r="M158" s="2"/>
    </row>
    <row r="159" ht="15.75" customHeight="1">
      <c r="B159" s="2"/>
      <c r="C159" s="2"/>
      <c r="D159" s="2"/>
      <c r="E159" s="2"/>
      <c r="L159" s="2"/>
      <c r="M159" s="2"/>
    </row>
    <row r="160" ht="15.75" customHeight="1">
      <c r="B160" s="2"/>
      <c r="C160" s="2"/>
      <c r="D160" s="2"/>
      <c r="E160" s="2"/>
      <c r="L160" s="2"/>
      <c r="M160" s="2"/>
    </row>
    <row r="161" ht="15.75" customHeight="1">
      <c r="B161" s="2"/>
      <c r="C161" s="2"/>
      <c r="D161" s="2"/>
      <c r="E161" s="2"/>
      <c r="L161" s="2"/>
      <c r="M161" s="2"/>
    </row>
    <row r="162" ht="15.75" customHeight="1">
      <c r="B162" s="2"/>
      <c r="C162" s="2"/>
      <c r="D162" s="2"/>
      <c r="E162" s="2"/>
      <c r="L162" s="2"/>
      <c r="M162" s="2"/>
    </row>
    <row r="163" ht="15.75" customHeight="1">
      <c r="B163" s="2"/>
      <c r="C163" s="2"/>
      <c r="D163" s="2"/>
      <c r="E163" s="2"/>
      <c r="L163" s="2"/>
      <c r="M163" s="2"/>
    </row>
    <row r="164" ht="15.75" customHeight="1">
      <c r="B164" s="2"/>
      <c r="C164" s="2"/>
      <c r="D164" s="2"/>
      <c r="E164" s="2"/>
      <c r="L164" s="2"/>
      <c r="M164" s="2"/>
    </row>
    <row r="165" ht="15.75" customHeight="1">
      <c r="B165" s="2"/>
      <c r="C165" s="2"/>
      <c r="D165" s="2"/>
      <c r="E165" s="2"/>
      <c r="L165" s="2"/>
      <c r="M165" s="2"/>
    </row>
    <row r="166" ht="15.75" customHeight="1">
      <c r="B166" s="2"/>
      <c r="C166" s="2"/>
      <c r="D166" s="2"/>
      <c r="E166" s="2"/>
      <c r="L166" s="2"/>
      <c r="M166" s="2"/>
    </row>
    <row r="167" ht="15.75" customHeight="1">
      <c r="B167" s="2"/>
      <c r="C167" s="2"/>
      <c r="D167" s="2"/>
      <c r="E167" s="2"/>
      <c r="L167" s="2"/>
      <c r="M167" s="2"/>
    </row>
    <row r="168" ht="15.75" customHeight="1">
      <c r="B168" s="2"/>
      <c r="C168" s="2"/>
      <c r="D168" s="2"/>
      <c r="E168" s="2"/>
      <c r="L168" s="2"/>
      <c r="M168" s="2"/>
    </row>
    <row r="169" ht="15.75" customHeight="1">
      <c r="B169" s="2"/>
      <c r="C169" s="2"/>
      <c r="D169" s="2"/>
      <c r="E169" s="2"/>
      <c r="L169" s="2"/>
      <c r="M169" s="2"/>
    </row>
    <row r="170" ht="15.75" customHeight="1">
      <c r="B170" s="2"/>
      <c r="C170" s="2"/>
      <c r="D170" s="2"/>
      <c r="E170" s="2"/>
      <c r="L170" s="2"/>
      <c r="M170" s="2"/>
    </row>
    <row r="171" ht="15.75" customHeight="1">
      <c r="B171" s="2"/>
      <c r="C171" s="2"/>
      <c r="D171" s="2"/>
      <c r="E171" s="2"/>
      <c r="L171" s="2"/>
      <c r="M171" s="2"/>
    </row>
    <row r="172" ht="15.75" customHeight="1">
      <c r="B172" s="2"/>
      <c r="C172" s="2"/>
      <c r="D172" s="2"/>
      <c r="E172" s="2"/>
      <c r="L172" s="2"/>
      <c r="M172" s="2"/>
    </row>
    <row r="173" ht="15.75" customHeight="1">
      <c r="B173" s="2"/>
      <c r="C173" s="2"/>
      <c r="D173" s="2"/>
      <c r="E173" s="2"/>
      <c r="L173" s="2"/>
      <c r="M173" s="2"/>
    </row>
    <row r="174" ht="15.75" customHeight="1">
      <c r="B174" s="2"/>
      <c r="C174" s="2"/>
      <c r="D174" s="2"/>
      <c r="E174" s="2"/>
      <c r="L174" s="2"/>
      <c r="M174" s="2"/>
    </row>
    <row r="175" ht="15.75" customHeight="1">
      <c r="B175" s="2"/>
      <c r="C175" s="2"/>
      <c r="D175" s="2"/>
      <c r="E175" s="2"/>
      <c r="L175" s="2"/>
      <c r="M175" s="2"/>
    </row>
    <row r="176" ht="15.75" customHeight="1">
      <c r="B176" s="2"/>
      <c r="C176" s="2"/>
      <c r="D176" s="2"/>
      <c r="E176" s="2"/>
      <c r="L176" s="2"/>
      <c r="M176" s="2"/>
    </row>
    <row r="177" ht="15.75" customHeight="1">
      <c r="B177" s="2"/>
      <c r="C177" s="2"/>
      <c r="D177" s="2"/>
      <c r="E177" s="2"/>
      <c r="L177" s="2"/>
      <c r="M177" s="2"/>
    </row>
    <row r="178" ht="15.75" customHeight="1">
      <c r="B178" s="2"/>
      <c r="C178" s="2"/>
      <c r="D178" s="2"/>
      <c r="E178" s="2"/>
      <c r="L178" s="2"/>
      <c r="M178" s="2"/>
    </row>
    <row r="179" ht="15.75" customHeight="1">
      <c r="B179" s="2"/>
      <c r="C179" s="2"/>
      <c r="D179" s="2"/>
      <c r="E179" s="2"/>
      <c r="L179" s="2"/>
      <c r="M179" s="2"/>
    </row>
    <row r="180" ht="15.75" customHeight="1">
      <c r="B180" s="2"/>
      <c r="C180" s="2"/>
      <c r="D180" s="2"/>
      <c r="E180" s="2"/>
      <c r="L180" s="2"/>
      <c r="M180" s="2"/>
    </row>
    <row r="181" ht="15.75" customHeight="1">
      <c r="B181" s="2"/>
      <c r="C181" s="2"/>
      <c r="D181" s="2"/>
      <c r="E181" s="2"/>
      <c r="L181" s="2"/>
      <c r="M181" s="2"/>
    </row>
    <row r="182" ht="15.75" customHeight="1">
      <c r="B182" s="2"/>
      <c r="C182" s="2"/>
      <c r="D182" s="2"/>
      <c r="E182" s="2"/>
      <c r="L182" s="2"/>
      <c r="M182" s="2"/>
    </row>
    <row r="183" ht="15.75" customHeight="1">
      <c r="B183" s="2"/>
      <c r="C183" s="2"/>
      <c r="D183" s="2"/>
      <c r="E183" s="2"/>
      <c r="L183" s="2"/>
      <c r="M183" s="2"/>
    </row>
    <row r="184" ht="15.75" customHeight="1">
      <c r="B184" s="2"/>
      <c r="C184" s="2"/>
      <c r="D184" s="2"/>
      <c r="E184" s="2"/>
      <c r="L184" s="2"/>
      <c r="M184" s="2"/>
    </row>
    <row r="185" ht="15.75" customHeight="1">
      <c r="B185" s="2"/>
      <c r="C185" s="2"/>
      <c r="D185" s="2"/>
      <c r="E185" s="2"/>
      <c r="L185" s="2"/>
      <c r="M185" s="2"/>
    </row>
    <row r="186" ht="15.75" customHeight="1">
      <c r="B186" s="2"/>
      <c r="C186" s="2"/>
      <c r="D186" s="2"/>
      <c r="E186" s="2"/>
      <c r="L186" s="2"/>
      <c r="M186" s="2"/>
    </row>
    <row r="187" ht="15.75" customHeight="1">
      <c r="B187" s="2"/>
      <c r="C187" s="2"/>
      <c r="D187" s="2"/>
      <c r="E187" s="2"/>
      <c r="L187" s="2"/>
      <c r="M187" s="2"/>
    </row>
    <row r="188" ht="15.75" customHeight="1">
      <c r="B188" s="2"/>
      <c r="C188" s="2"/>
      <c r="D188" s="2"/>
      <c r="E188" s="2"/>
      <c r="L188" s="2"/>
      <c r="M188" s="2"/>
    </row>
    <row r="189" ht="15.75" customHeight="1">
      <c r="B189" s="2"/>
      <c r="C189" s="2"/>
      <c r="D189" s="2"/>
      <c r="E189" s="2"/>
      <c r="L189" s="2"/>
      <c r="M189" s="2"/>
    </row>
    <row r="190" ht="15.75" customHeight="1">
      <c r="B190" s="2"/>
      <c r="C190" s="2"/>
      <c r="D190" s="2"/>
      <c r="E190" s="2"/>
      <c r="L190" s="2"/>
      <c r="M190" s="2"/>
    </row>
    <row r="191" ht="15.75" customHeight="1">
      <c r="B191" s="2"/>
      <c r="C191" s="2"/>
      <c r="D191" s="2"/>
      <c r="E191" s="2"/>
      <c r="L191" s="2"/>
      <c r="M191" s="2"/>
    </row>
    <row r="192" ht="15.75" customHeight="1">
      <c r="B192" s="2"/>
      <c r="C192" s="2"/>
      <c r="D192" s="2"/>
      <c r="E192" s="2"/>
      <c r="L192" s="2"/>
      <c r="M192" s="2"/>
    </row>
    <row r="193" ht="15.75" customHeight="1">
      <c r="B193" s="2"/>
      <c r="C193" s="2"/>
      <c r="D193" s="2"/>
      <c r="E193" s="2"/>
      <c r="L193" s="2"/>
      <c r="M193" s="2"/>
    </row>
    <row r="194" ht="15.75" customHeight="1">
      <c r="B194" s="2"/>
      <c r="C194" s="2"/>
      <c r="D194" s="2"/>
      <c r="E194" s="2"/>
      <c r="L194" s="2"/>
      <c r="M194" s="2"/>
    </row>
    <row r="195" ht="15.75" customHeight="1">
      <c r="B195" s="2"/>
      <c r="C195" s="2"/>
      <c r="D195" s="2"/>
      <c r="E195" s="2"/>
      <c r="L195" s="2"/>
      <c r="M195" s="2"/>
    </row>
    <row r="196" ht="15.75" customHeight="1">
      <c r="B196" s="2"/>
      <c r="C196" s="2"/>
      <c r="D196" s="2"/>
      <c r="E196" s="2"/>
      <c r="L196" s="2"/>
      <c r="M196" s="2"/>
    </row>
    <row r="197" ht="15.75" customHeight="1">
      <c r="B197" s="2"/>
      <c r="C197" s="2"/>
      <c r="D197" s="2"/>
      <c r="E197" s="2"/>
      <c r="L197" s="2"/>
      <c r="M197" s="2"/>
    </row>
    <row r="198" ht="15.75" customHeight="1">
      <c r="B198" s="2"/>
      <c r="C198" s="2"/>
      <c r="D198" s="2"/>
      <c r="E198" s="2"/>
      <c r="L198" s="2"/>
      <c r="M198" s="2"/>
    </row>
    <row r="199" ht="15.75" customHeight="1">
      <c r="B199" s="2"/>
      <c r="C199" s="2"/>
      <c r="D199" s="2"/>
      <c r="E199" s="2"/>
      <c r="L199" s="2"/>
      <c r="M199" s="2"/>
    </row>
    <row r="200" ht="15.75" customHeight="1">
      <c r="B200" s="2"/>
      <c r="C200" s="2"/>
      <c r="D200" s="2"/>
      <c r="E200" s="2"/>
      <c r="L200" s="2"/>
      <c r="M200" s="2"/>
    </row>
    <row r="201" ht="15.75" customHeight="1">
      <c r="B201" s="2"/>
      <c r="C201" s="2"/>
      <c r="D201" s="2"/>
      <c r="E201" s="2"/>
      <c r="L201" s="2"/>
      <c r="M201" s="2"/>
    </row>
    <row r="202" ht="15.75" customHeight="1">
      <c r="B202" s="2"/>
      <c r="C202" s="2"/>
      <c r="D202" s="2"/>
      <c r="E202" s="2"/>
      <c r="L202" s="2"/>
      <c r="M202" s="2"/>
    </row>
    <row r="203" ht="15.75" customHeight="1">
      <c r="B203" s="2"/>
      <c r="C203" s="2"/>
      <c r="D203" s="2"/>
      <c r="E203" s="2"/>
      <c r="L203" s="2"/>
      <c r="M203" s="2"/>
    </row>
    <row r="204" ht="15.75" customHeight="1">
      <c r="B204" s="2"/>
      <c r="C204" s="2"/>
      <c r="D204" s="2"/>
      <c r="E204" s="2"/>
      <c r="L204" s="2"/>
      <c r="M204" s="2"/>
    </row>
    <row r="205" ht="15.75" customHeight="1">
      <c r="B205" s="2"/>
      <c r="C205" s="2"/>
      <c r="D205" s="2"/>
      <c r="E205" s="2"/>
      <c r="L205" s="2"/>
      <c r="M205" s="2"/>
    </row>
    <row r="206" ht="15.75" customHeight="1">
      <c r="B206" s="2"/>
      <c r="C206" s="2"/>
      <c r="D206" s="2"/>
      <c r="E206" s="2"/>
      <c r="L206" s="2"/>
      <c r="M206" s="2"/>
    </row>
    <row r="207" ht="15.75" customHeight="1">
      <c r="B207" s="2"/>
      <c r="C207" s="2"/>
      <c r="D207" s="2"/>
      <c r="E207" s="2"/>
      <c r="L207" s="2"/>
      <c r="M207" s="2"/>
    </row>
    <row r="208" ht="15.75" customHeight="1">
      <c r="B208" s="2"/>
      <c r="C208" s="2"/>
      <c r="D208" s="2"/>
      <c r="E208" s="2"/>
      <c r="L208" s="2"/>
      <c r="M208" s="2"/>
    </row>
    <row r="209" ht="15.75" customHeight="1">
      <c r="B209" s="2"/>
      <c r="C209" s="2"/>
      <c r="D209" s="2"/>
      <c r="E209" s="2"/>
      <c r="L209" s="2"/>
      <c r="M209" s="2"/>
    </row>
    <row r="210" ht="15.75" customHeight="1">
      <c r="B210" s="2"/>
      <c r="C210" s="2"/>
      <c r="D210" s="2"/>
      <c r="E210" s="2"/>
      <c r="L210" s="2"/>
      <c r="M210" s="2"/>
    </row>
    <row r="211" ht="15.75" customHeight="1">
      <c r="B211" s="2"/>
      <c r="C211" s="2"/>
      <c r="D211" s="2"/>
      <c r="E211" s="2"/>
      <c r="L211" s="2"/>
      <c r="M211" s="2"/>
    </row>
    <row r="212" ht="15.75" customHeight="1">
      <c r="B212" s="2"/>
      <c r="C212" s="2"/>
      <c r="D212" s="2"/>
      <c r="E212" s="2"/>
      <c r="L212" s="2"/>
      <c r="M212" s="2"/>
    </row>
    <row r="213" ht="15.75" customHeight="1">
      <c r="B213" s="2"/>
      <c r="C213" s="2"/>
      <c r="D213" s="2"/>
      <c r="E213" s="2"/>
      <c r="L213" s="2"/>
      <c r="M213" s="2"/>
    </row>
    <row r="214" ht="15.75" customHeight="1">
      <c r="B214" s="2"/>
      <c r="C214" s="2"/>
      <c r="D214" s="2"/>
      <c r="E214" s="2"/>
      <c r="L214" s="2"/>
      <c r="M214" s="2"/>
    </row>
    <row r="215" ht="15.75" customHeight="1">
      <c r="B215" s="2"/>
      <c r="C215" s="2"/>
      <c r="D215" s="2"/>
      <c r="E215" s="2"/>
      <c r="L215" s="2"/>
      <c r="M215" s="2"/>
    </row>
    <row r="216" ht="15.75" customHeight="1">
      <c r="B216" s="2"/>
      <c r="C216" s="2"/>
      <c r="D216" s="2"/>
      <c r="E216" s="2"/>
      <c r="L216" s="2"/>
      <c r="M216" s="2"/>
    </row>
    <row r="217" ht="15.75" customHeight="1">
      <c r="B217" s="2"/>
      <c r="C217" s="2"/>
      <c r="D217" s="2"/>
      <c r="E217" s="2"/>
      <c r="L217" s="2"/>
      <c r="M217" s="2"/>
    </row>
    <row r="218" ht="15.75" customHeight="1">
      <c r="B218" s="2"/>
      <c r="C218" s="2"/>
      <c r="D218" s="2"/>
      <c r="E218" s="2"/>
      <c r="L218" s="2"/>
      <c r="M218" s="2"/>
    </row>
    <row r="219" ht="15.75" customHeight="1">
      <c r="B219" s="2"/>
      <c r="C219" s="2"/>
      <c r="D219" s="2"/>
      <c r="E219" s="2"/>
      <c r="L219" s="2"/>
      <c r="M219" s="2"/>
    </row>
    <row r="220" ht="15.75" customHeight="1">
      <c r="B220" s="2"/>
      <c r="C220" s="2"/>
      <c r="D220" s="2"/>
      <c r="E220" s="2"/>
      <c r="L220" s="2"/>
      <c r="M220" s="2"/>
    </row>
    <row r="221" ht="15.75" customHeight="1">
      <c r="B221" s="2"/>
      <c r="C221" s="2"/>
      <c r="D221" s="2"/>
      <c r="E221" s="2"/>
      <c r="L221" s="2"/>
      <c r="M221" s="2"/>
    </row>
    <row r="222" ht="15.75" customHeight="1">
      <c r="B222" s="2"/>
      <c r="C222" s="2"/>
      <c r="D222" s="2"/>
      <c r="E222" s="2"/>
      <c r="L222" s="2"/>
      <c r="M222" s="2"/>
    </row>
    <row r="223" ht="15.75" customHeight="1">
      <c r="B223" s="2"/>
      <c r="C223" s="2"/>
      <c r="D223" s="2"/>
      <c r="E223" s="2"/>
      <c r="L223" s="2"/>
      <c r="M223" s="2"/>
    </row>
    <row r="224" ht="15.75" customHeight="1">
      <c r="B224" s="2"/>
      <c r="C224" s="2"/>
      <c r="D224" s="2"/>
      <c r="E224" s="2"/>
      <c r="L224" s="2"/>
      <c r="M224" s="2"/>
    </row>
    <row r="225" ht="15.75" customHeight="1">
      <c r="B225" s="2"/>
      <c r="C225" s="2"/>
      <c r="D225" s="2"/>
      <c r="E225" s="2"/>
      <c r="L225" s="2"/>
      <c r="M225" s="2"/>
    </row>
    <row r="226" ht="15.75" customHeight="1">
      <c r="B226" s="2"/>
      <c r="C226" s="2"/>
      <c r="D226" s="2"/>
      <c r="E226" s="2"/>
      <c r="L226" s="2"/>
      <c r="M226" s="2"/>
    </row>
    <row r="227" ht="15.75" customHeight="1">
      <c r="B227" s="2"/>
      <c r="C227" s="2"/>
      <c r="D227" s="2"/>
      <c r="E227" s="2"/>
      <c r="L227" s="2"/>
      <c r="M227" s="2"/>
    </row>
    <row r="228" ht="15.75" customHeight="1">
      <c r="B228" s="2"/>
      <c r="C228" s="2"/>
      <c r="D228" s="2"/>
      <c r="E228" s="2"/>
      <c r="L228" s="2"/>
      <c r="M228" s="2"/>
    </row>
    <row r="229" ht="15.75" customHeight="1">
      <c r="B229" s="2"/>
      <c r="C229" s="2"/>
      <c r="D229" s="2"/>
      <c r="E229" s="2"/>
      <c r="L229" s="2"/>
      <c r="M229" s="2"/>
    </row>
    <row r="230" ht="15.75" customHeight="1">
      <c r="B230" s="2"/>
      <c r="C230" s="2"/>
      <c r="D230" s="2"/>
      <c r="E230" s="2"/>
      <c r="L230" s="2"/>
      <c r="M230" s="2"/>
    </row>
    <row r="231" ht="15.75" customHeight="1">
      <c r="B231" s="2"/>
      <c r="C231" s="2"/>
      <c r="D231" s="2"/>
      <c r="E231" s="2"/>
      <c r="L231" s="2"/>
      <c r="M231" s="2"/>
    </row>
    <row r="232" ht="15.75" customHeight="1">
      <c r="B232" s="2"/>
      <c r="C232" s="2"/>
      <c r="D232" s="2"/>
      <c r="E232" s="2"/>
      <c r="L232" s="2"/>
      <c r="M232" s="2"/>
    </row>
    <row r="233" ht="15.75" customHeight="1">
      <c r="B233" s="2"/>
      <c r="C233" s="2"/>
      <c r="D233" s="2"/>
      <c r="E233" s="2"/>
      <c r="L233" s="2"/>
      <c r="M233" s="2"/>
    </row>
    <row r="234" ht="15.75" customHeight="1">
      <c r="B234" s="2"/>
      <c r="C234" s="2"/>
      <c r="D234" s="2"/>
      <c r="E234" s="2"/>
      <c r="L234" s="2"/>
      <c r="M234" s="2"/>
    </row>
    <row r="235" ht="15.75" customHeight="1">
      <c r="B235" s="2"/>
      <c r="C235" s="2"/>
      <c r="D235" s="2"/>
      <c r="E235" s="2"/>
      <c r="L235" s="2"/>
      <c r="M235" s="2"/>
    </row>
    <row r="236" ht="15.75" customHeight="1">
      <c r="B236" s="2"/>
      <c r="C236" s="2"/>
      <c r="D236" s="2"/>
      <c r="E236" s="2"/>
      <c r="L236" s="2"/>
      <c r="M236" s="2"/>
    </row>
    <row r="237" ht="15.75" customHeight="1">
      <c r="B237" s="2"/>
      <c r="C237" s="2"/>
      <c r="D237" s="2"/>
      <c r="E237" s="2"/>
      <c r="L237" s="2"/>
      <c r="M237" s="2"/>
    </row>
    <row r="238" ht="15.75" customHeight="1">
      <c r="B238" s="2"/>
      <c r="C238" s="2"/>
      <c r="D238" s="2"/>
      <c r="E238" s="2"/>
      <c r="L238" s="2"/>
      <c r="M238" s="2"/>
    </row>
    <row r="239" ht="15.75" customHeight="1">
      <c r="B239" s="2"/>
      <c r="C239" s="2"/>
      <c r="D239" s="2"/>
      <c r="E239" s="2"/>
      <c r="L239" s="2"/>
      <c r="M239" s="2"/>
    </row>
    <row r="240" ht="15.75" customHeight="1">
      <c r="B240" s="2"/>
      <c r="C240" s="2"/>
      <c r="D240" s="2"/>
      <c r="E240" s="2"/>
      <c r="L240" s="2"/>
      <c r="M240" s="2"/>
    </row>
    <row r="241" ht="15.75" customHeight="1">
      <c r="B241" s="2"/>
      <c r="C241" s="2"/>
      <c r="D241" s="2"/>
      <c r="E241" s="2"/>
      <c r="L241" s="2"/>
      <c r="M241" s="2"/>
    </row>
    <row r="242" ht="15.75" customHeight="1">
      <c r="B242" s="2"/>
      <c r="C242" s="2"/>
      <c r="D242" s="2"/>
      <c r="E242" s="2"/>
      <c r="L242" s="2"/>
      <c r="M242" s="2"/>
    </row>
    <row r="243" ht="15.75" customHeight="1">
      <c r="B243" s="2"/>
      <c r="C243" s="2"/>
      <c r="D243" s="2"/>
      <c r="E243" s="2"/>
      <c r="L243" s="2"/>
      <c r="M243" s="2"/>
    </row>
    <row r="244" ht="15.75" customHeight="1">
      <c r="B244" s="2"/>
      <c r="C244" s="2"/>
      <c r="D244" s="2"/>
      <c r="E244" s="2"/>
      <c r="L244" s="2"/>
      <c r="M244" s="2"/>
    </row>
    <row r="245" ht="15.75" customHeight="1">
      <c r="B245" s="2"/>
      <c r="C245" s="2"/>
      <c r="D245" s="2"/>
      <c r="E245" s="2"/>
      <c r="L245" s="2"/>
      <c r="M245" s="2"/>
    </row>
    <row r="246" ht="15.75" customHeight="1">
      <c r="B246" s="2"/>
      <c r="C246" s="2"/>
      <c r="D246" s="2"/>
      <c r="E246" s="2"/>
      <c r="L246" s="2"/>
      <c r="M246" s="2"/>
    </row>
    <row r="247" ht="15.75" customHeight="1">
      <c r="B247" s="2"/>
      <c r="C247" s="2"/>
      <c r="D247" s="2"/>
      <c r="E247" s="2"/>
      <c r="L247" s="2"/>
      <c r="M247" s="2"/>
    </row>
    <row r="248" ht="15.75" customHeight="1">
      <c r="B248" s="2"/>
      <c r="C248" s="2"/>
      <c r="D248" s="2"/>
      <c r="E248" s="2"/>
      <c r="L248" s="2"/>
      <c r="M248" s="2"/>
    </row>
    <row r="249" ht="15.75" customHeight="1">
      <c r="B249" s="2"/>
      <c r="C249" s="2"/>
      <c r="D249" s="2"/>
      <c r="E249" s="2"/>
      <c r="L249" s="2"/>
      <c r="M249" s="2"/>
    </row>
    <row r="250" ht="15.75" customHeight="1">
      <c r="B250" s="2"/>
      <c r="C250" s="2"/>
      <c r="D250" s="2"/>
      <c r="E250" s="2"/>
      <c r="L250" s="2"/>
      <c r="M250" s="2"/>
    </row>
    <row r="251" ht="15.75" customHeight="1">
      <c r="B251" s="2"/>
      <c r="C251" s="2"/>
      <c r="D251" s="2"/>
      <c r="E251" s="2"/>
      <c r="L251" s="2"/>
      <c r="M251" s="2"/>
    </row>
    <row r="252" ht="15.75" customHeight="1">
      <c r="B252" s="2"/>
      <c r="C252" s="2"/>
      <c r="D252" s="2"/>
      <c r="E252" s="2"/>
      <c r="L252" s="2"/>
      <c r="M252" s="2"/>
    </row>
    <row r="253" ht="15.75" customHeight="1">
      <c r="B253" s="2"/>
      <c r="C253" s="2"/>
      <c r="D253" s="2"/>
      <c r="E253" s="2"/>
      <c r="L253" s="2"/>
      <c r="M253" s="2"/>
    </row>
    <row r="254" ht="15.75" customHeight="1">
      <c r="B254" s="2"/>
      <c r="C254" s="2"/>
      <c r="D254" s="2"/>
      <c r="E254" s="2"/>
      <c r="L254" s="2"/>
      <c r="M254" s="2"/>
    </row>
    <row r="255" ht="15.75" customHeight="1">
      <c r="B255" s="2"/>
      <c r="C255" s="2"/>
      <c r="D255" s="2"/>
      <c r="E255" s="2"/>
      <c r="L255" s="2"/>
      <c r="M255" s="2"/>
    </row>
    <row r="256" ht="15.75" customHeight="1">
      <c r="B256" s="2"/>
      <c r="C256" s="2"/>
      <c r="D256" s="2"/>
      <c r="E256" s="2"/>
      <c r="L256" s="2"/>
      <c r="M256" s="2"/>
    </row>
    <row r="257" ht="15.75" customHeight="1">
      <c r="B257" s="2"/>
      <c r="C257" s="2"/>
      <c r="D257" s="2"/>
      <c r="E257" s="2"/>
      <c r="L257" s="2"/>
      <c r="M257" s="2"/>
    </row>
    <row r="258" ht="15.75" customHeight="1">
      <c r="B258" s="2"/>
      <c r="C258" s="2"/>
      <c r="D258" s="2"/>
      <c r="E258" s="2"/>
      <c r="L258" s="2"/>
      <c r="M258" s="2"/>
    </row>
    <row r="259" ht="15.75" customHeight="1">
      <c r="B259" s="2"/>
      <c r="C259" s="2"/>
      <c r="D259" s="2"/>
      <c r="E259" s="2"/>
      <c r="L259" s="2"/>
      <c r="M259" s="2"/>
    </row>
    <row r="260" ht="15.75" customHeight="1">
      <c r="B260" s="2"/>
      <c r="C260" s="2"/>
      <c r="D260" s="2"/>
      <c r="E260" s="2"/>
      <c r="L260" s="2"/>
      <c r="M260" s="2"/>
    </row>
    <row r="261" ht="15.75" customHeight="1">
      <c r="B261" s="2"/>
      <c r="C261" s="2"/>
      <c r="D261" s="2"/>
      <c r="E261" s="2"/>
      <c r="L261" s="2"/>
      <c r="M261" s="2"/>
    </row>
    <row r="262" ht="15.75" customHeight="1">
      <c r="B262" s="2"/>
      <c r="C262" s="2"/>
      <c r="D262" s="2"/>
      <c r="E262" s="2"/>
      <c r="L262" s="2"/>
      <c r="M262" s="2"/>
    </row>
    <row r="263" ht="15.75" customHeight="1">
      <c r="B263" s="2"/>
      <c r="C263" s="2"/>
      <c r="D263" s="2"/>
      <c r="E263" s="2"/>
      <c r="L263" s="2"/>
      <c r="M263" s="2"/>
    </row>
    <row r="264" ht="15.75" customHeight="1">
      <c r="B264" s="2"/>
      <c r="C264" s="2"/>
      <c r="D264" s="2"/>
      <c r="E264" s="2"/>
      <c r="L264" s="2"/>
      <c r="M264" s="2"/>
    </row>
    <row r="265" ht="15.75" customHeight="1">
      <c r="B265" s="2"/>
      <c r="C265" s="2"/>
      <c r="D265" s="2"/>
      <c r="E265" s="2"/>
      <c r="L265" s="2"/>
      <c r="M265" s="2"/>
    </row>
    <row r="266" ht="15.75" customHeight="1">
      <c r="B266" s="2"/>
      <c r="C266" s="2"/>
      <c r="D266" s="2"/>
      <c r="E266" s="2"/>
      <c r="L266" s="2"/>
      <c r="M266" s="2"/>
    </row>
    <row r="267" ht="15.75" customHeight="1">
      <c r="B267" s="2"/>
      <c r="C267" s="2"/>
      <c r="D267" s="2"/>
      <c r="E267" s="2"/>
      <c r="L267" s="2"/>
      <c r="M267" s="2"/>
    </row>
    <row r="268" ht="15.75" customHeight="1">
      <c r="B268" s="2"/>
      <c r="C268" s="2"/>
      <c r="D268" s="2"/>
      <c r="E268" s="2"/>
      <c r="L268" s="2"/>
      <c r="M268" s="2"/>
    </row>
    <row r="269" ht="15.75" customHeight="1">
      <c r="B269" s="2"/>
      <c r="C269" s="2"/>
      <c r="D269" s="2"/>
      <c r="E269" s="2"/>
      <c r="L269" s="2"/>
      <c r="M269" s="2"/>
    </row>
    <row r="270" ht="15.75" customHeight="1">
      <c r="B270" s="2"/>
      <c r="C270" s="2"/>
      <c r="D270" s="2"/>
      <c r="E270" s="2"/>
      <c r="L270" s="2"/>
      <c r="M270" s="2"/>
    </row>
    <row r="271" ht="15.75" customHeight="1">
      <c r="B271" s="2"/>
      <c r="C271" s="2"/>
      <c r="D271" s="2"/>
      <c r="E271" s="2"/>
      <c r="L271" s="2"/>
      <c r="M271" s="2"/>
    </row>
    <row r="272" ht="15.75" customHeight="1">
      <c r="B272" s="2"/>
      <c r="C272" s="2"/>
      <c r="D272" s="2"/>
      <c r="E272" s="2"/>
      <c r="L272" s="2"/>
      <c r="M272" s="2"/>
    </row>
    <row r="273" ht="15.75" customHeight="1">
      <c r="B273" s="2"/>
      <c r="C273" s="2"/>
      <c r="D273" s="2"/>
      <c r="E273" s="2"/>
      <c r="L273" s="2"/>
      <c r="M273" s="2"/>
    </row>
    <row r="274" ht="15.75" customHeight="1">
      <c r="B274" s="2"/>
      <c r="C274" s="2"/>
      <c r="D274" s="2"/>
      <c r="E274" s="2"/>
      <c r="L274" s="2"/>
      <c r="M274" s="2"/>
    </row>
    <row r="275" ht="15.75" customHeight="1">
      <c r="B275" s="2"/>
      <c r="C275" s="2"/>
      <c r="D275" s="2"/>
      <c r="E275" s="2"/>
      <c r="L275" s="2"/>
      <c r="M275" s="2"/>
    </row>
    <row r="276" ht="15.75" customHeight="1">
      <c r="B276" s="2"/>
      <c r="C276" s="2"/>
      <c r="D276" s="2"/>
      <c r="E276" s="2"/>
      <c r="L276" s="2"/>
      <c r="M276" s="2"/>
    </row>
    <row r="277" ht="15.75" customHeight="1">
      <c r="B277" s="2"/>
      <c r="C277" s="2"/>
      <c r="D277" s="2"/>
      <c r="E277" s="2"/>
      <c r="L277" s="2"/>
      <c r="M277" s="2"/>
    </row>
    <row r="278" ht="15.75" customHeight="1">
      <c r="B278" s="2"/>
      <c r="C278" s="2"/>
      <c r="D278" s="2"/>
      <c r="E278" s="2"/>
      <c r="L278" s="2"/>
      <c r="M278" s="2"/>
    </row>
    <row r="279" ht="15.75" customHeight="1">
      <c r="B279" s="2"/>
      <c r="C279" s="2"/>
      <c r="D279" s="2"/>
      <c r="E279" s="2"/>
      <c r="L279" s="2"/>
      <c r="M279" s="2"/>
    </row>
    <row r="280" ht="15.75" customHeight="1">
      <c r="B280" s="2"/>
      <c r="C280" s="2"/>
      <c r="D280" s="2"/>
      <c r="E280" s="2"/>
      <c r="L280" s="2"/>
      <c r="M280" s="2"/>
    </row>
    <row r="281" ht="15.75" customHeight="1">
      <c r="B281" s="2"/>
      <c r="C281" s="2"/>
      <c r="D281" s="2"/>
      <c r="E281" s="2"/>
      <c r="L281" s="2"/>
      <c r="M281" s="2"/>
    </row>
    <row r="282" ht="15.75" customHeight="1">
      <c r="B282" s="2"/>
      <c r="C282" s="2"/>
      <c r="D282" s="2"/>
      <c r="E282" s="2"/>
      <c r="L282" s="2"/>
      <c r="M282" s="2"/>
    </row>
    <row r="283" ht="15.75" customHeight="1">
      <c r="B283" s="2"/>
      <c r="C283" s="2"/>
      <c r="D283" s="2"/>
      <c r="E283" s="2"/>
      <c r="L283" s="2"/>
      <c r="M283" s="2"/>
    </row>
    <row r="284" ht="15.75" customHeight="1">
      <c r="B284" s="2"/>
      <c r="C284" s="2"/>
      <c r="D284" s="2"/>
      <c r="E284" s="2"/>
      <c r="L284" s="2"/>
      <c r="M284" s="2"/>
    </row>
    <row r="285" ht="15.75" customHeight="1">
      <c r="B285" s="2"/>
      <c r="C285" s="2"/>
      <c r="D285" s="2"/>
      <c r="E285" s="2"/>
      <c r="L285" s="2"/>
      <c r="M285" s="2"/>
    </row>
    <row r="286" ht="15.75" customHeight="1">
      <c r="B286" s="2"/>
      <c r="C286" s="2"/>
      <c r="D286" s="2"/>
      <c r="E286" s="2"/>
      <c r="L286" s="2"/>
      <c r="M286" s="2"/>
    </row>
    <row r="287" ht="15.75" customHeight="1">
      <c r="B287" s="2"/>
      <c r="C287" s="2"/>
      <c r="D287" s="2"/>
      <c r="E287" s="2"/>
      <c r="L287" s="2"/>
      <c r="M287" s="2"/>
    </row>
    <row r="288" ht="15.75" customHeight="1">
      <c r="B288" s="2"/>
      <c r="C288" s="2"/>
      <c r="D288" s="2"/>
      <c r="E288" s="2"/>
      <c r="L288" s="2"/>
      <c r="M288" s="2"/>
    </row>
    <row r="289" ht="15.75" customHeight="1">
      <c r="B289" s="2"/>
      <c r="C289" s="2"/>
      <c r="D289" s="2"/>
      <c r="E289" s="2"/>
      <c r="L289" s="2"/>
      <c r="M289" s="2"/>
    </row>
    <row r="290" ht="15.75" customHeight="1">
      <c r="B290" s="2"/>
      <c r="C290" s="2"/>
      <c r="D290" s="2"/>
      <c r="E290" s="2"/>
      <c r="L290" s="2"/>
      <c r="M290" s="2"/>
    </row>
    <row r="291" ht="15.75" customHeight="1">
      <c r="B291" s="2"/>
      <c r="C291" s="2"/>
      <c r="D291" s="2"/>
      <c r="E291" s="2"/>
      <c r="L291" s="2"/>
      <c r="M291" s="2"/>
    </row>
    <row r="292" ht="15.75" customHeight="1">
      <c r="B292" s="2"/>
      <c r="C292" s="2"/>
      <c r="D292" s="2"/>
      <c r="E292" s="2"/>
      <c r="L292" s="2"/>
      <c r="M292" s="2"/>
    </row>
    <row r="293" ht="15.75" customHeight="1">
      <c r="B293" s="2"/>
      <c r="C293" s="2"/>
      <c r="D293" s="2"/>
      <c r="E293" s="2"/>
      <c r="L293" s="2"/>
      <c r="M293" s="2"/>
    </row>
    <row r="294" ht="15.75" customHeight="1">
      <c r="B294" s="2"/>
      <c r="C294" s="2"/>
      <c r="D294" s="2"/>
      <c r="E294" s="2"/>
      <c r="L294" s="2"/>
      <c r="M294" s="2"/>
    </row>
    <row r="295" ht="15.75" customHeight="1">
      <c r="B295" s="2"/>
      <c r="C295" s="2"/>
      <c r="D295" s="2"/>
      <c r="E295" s="2"/>
      <c r="L295" s="2"/>
      <c r="M295" s="2"/>
    </row>
    <row r="296" ht="15.75" customHeight="1">
      <c r="B296" s="2"/>
      <c r="C296" s="2"/>
      <c r="D296" s="2"/>
      <c r="E296" s="2"/>
      <c r="L296" s="2"/>
      <c r="M296" s="2"/>
    </row>
    <row r="297" ht="15.75" customHeight="1">
      <c r="B297" s="2"/>
      <c r="C297" s="2"/>
      <c r="D297" s="2"/>
      <c r="E297" s="2"/>
      <c r="L297" s="2"/>
      <c r="M297" s="2"/>
    </row>
    <row r="298" ht="15.75" customHeight="1">
      <c r="B298" s="2"/>
      <c r="C298" s="2"/>
      <c r="D298" s="2"/>
      <c r="E298" s="2"/>
      <c r="L298" s="2"/>
      <c r="M298" s="2"/>
    </row>
    <row r="299" ht="15.75" customHeight="1">
      <c r="B299" s="2"/>
      <c r="C299" s="2"/>
      <c r="D299" s="2"/>
      <c r="E299" s="2"/>
      <c r="L299" s="2"/>
      <c r="M299" s="2"/>
    </row>
    <row r="300" ht="15.75" customHeight="1">
      <c r="B300" s="2"/>
      <c r="C300" s="2"/>
      <c r="D300" s="2"/>
      <c r="E300" s="2"/>
      <c r="L300" s="2"/>
      <c r="M300" s="2"/>
    </row>
    <row r="301" ht="15.75" customHeight="1">
      <c r="B301" s="2"/>
      <c r="C301" s="2"/>
      <c r="D301" s="2"/>
      <c r="E301" s="2"/>
      <c r="L301" s="2"/>
      <c r="M301" s="2"/>
    </row>
    <row r="302" ht="15.75" customHeight="1">
      <c r="B302" s="2"/>
      <c r="C302" s="2"/>
      <c r="D302" s="2"/>
      <c r="E302" s="2"/>
      <c r="L302" s="2"/>
      <c r="M302" s="2"/>
    </row>
    <row r="303" ht="15.75" customHeight="1">
      <c r="B303" s="2"/>
      <c r="C303" s="2"/>
      <c r="D303" s="2"/>
      <c r="E303" s="2"/>
      <c r="L303" s="2"/>
      <c r="M303" s="2"/>
    </row>
    <row r="304" ht="15.75" customHeight="1">
      <c r="B304" s="2"/>
      <c r="C304" s="2"/>
      <c r="D304" s="2"/>
      <c r="E304" s="2"/>
      <c r="L304" s="2"/>
      <c r="M304" s="2"/>
    </row>
    <row r="305" ht="15.75" customHeight="1">
      <c r="B305" s="2"/>
      <c r="C305" s="2"/>
      <c r="D305" s="2"/>
      <c r="E305" s="2"/>
      <c r="L305" s="2"/>
      <c r="M305" s="2"/>
    </row>
    <row r="306" ht="15.75" customHeight="1">
      <c r="B306" s="2"/>
      <c r="C306" s="2"/>
      <c r="D306" s="2"/>
      <c r="E306" s="2"/>
      <c r="L306" s="2"/>
      <c r="M306" s="2"/>
    </row>
    <row r="307" ht="15.75" customHeight="1">
      <c r="B307" s="2"/>
      <c r="C307" s="2"/>
      <c r="D307" s="2"/>
      <c r="E307" s="2"/>
      <c r="L307" s="2"/>
      <c r="M307" s="2"/>
    </row>
    <row r="308" ht="15.75" customHeight="1">
      <c r="B308" s="2"/>
      <c r="C308" s="2"/>
      <c r="D308" s="2"/>
      <c r="E308" s="2"/>
      <c r="L308" s="2"/>
      <c r="M308" s="2"/>
    </row>
    <row r="309" ht="15.75" customHeight="1">
      <c r="B309" s="2"/>
      <c r="C309" s="2"/>
      <c r="D309" s="2"/>
      <c r="E309" s="2"/>
      <c r="L309" s="2"/>
      <c r="M309" s="2"/>
    </row>
    <row r="310" ht="15.75" customHeight="1">
      <c r="B310" s="2"/>
      <c r="C310" s="2"/>
      <c r="D310" s="2"/>
      <c r="E310" s="2"/>
      <c r="L310" s="2"/>
      <c r="M310" s="2"/>
    </row>
    <row r="311" ht="15.75" customHeight="1">
      <c r="B311" s="2"/>
      <c r="C311" s="2"/>
      <c r="D311" s="2"/>
      <c r="E311" s="2"/>
      <c r="L311" s="2"/>
      <c r="M311" s="2"/>
    </row>
    <row r="312" ht="15.75" customHeight="1">
      <c r="B312" s="2"/>
      <c r="C312" s="2"/>
      <c r="D312" s="2"/>
      <c r="E312" s="2"/>
      <c r="L312" s="2"/>
      <c r="M312" s="2"/>
    </row>
    <row r="313" ht="15.75" customHeight="1">
      <c r="B313" s="2"/>
      <c r="C313" s="2"/>
      <c r="D313" s="2"/>
      <c r="E313" s="2"/>
      <c r="L313" s="2"/>
      <c r="M313" s="2"/>
    </row>
    <row r="314" ht="15.75" customHeight="1">
      <c r="B314" s="2"/>
      <c r="C314" s="2"/>
      <c r="D314" s="2"/>
      <c r="E314" s="2"/>
      <c r="L314" s="2"/>
      <c r="M314" s="2"/>
    </row>
    <row r="315" ht="15.75" customHeight="1">
      <c r="B315" s="2"/>
      <c r="C315" s="2"/>
      <c r="D315" s="2"/>
      <c r="E315" s="2"/>
      <c r="L315" s="2"/>
      <c r="M315" s="2"/>
    </row>
    <row r="316" ht="15.75" customHeight="1">
      <c r="B316" s="2"/>
      <c r="C316" s="2"/>
      <c r="D316" s="2"/>
      <c r="E316" s="2"/>
      <c r="L316" s="2"/>
      <c r="M316" s="2"/>
    </row>
    <row r="317" ht="15.75" customHeight="1">
      <c r="B317" s="2"/>
      <c r="C317" s="2"/>
      <c r="D317" s="2"/>
      <c r="E317" s="2"/>
      <c r="L317" s="2"/>
      <c r="M317" s="2"/>
    </row>
    <row r="318" ht="15.75" customHeight="1">
      <c r="B318" s="2"/>
      <c r="C318" s="2"/>
      <c r="D318" s="2"/>
      <c r="E318" s="2"/>
      <c r="L318" s="2"/>
      <c r="M318" s="2"/>
    </row>
    <row r="319" ht="15.75" customHeight="1">
      <c r="B319" s="2"/>
      <c r="C319" s="2"/>
      <c r="D319" s="2"/>
      <c r="E319" s="2"/>
      <c r="L319" s="2"/>
      <c r="M319" s="2"/>
    </row>
    <row r="320" ht="15.75" customHeight="1">
      <c r="B320" s="2"/>
      <c r="C320" s="2"/>
      <c r="D320" s="2"/>
      <c r="E320" s="2"/>
      <c r="L320" s="2"/>
      <c r="M320" s="2"/>
    </row>
    <row r="321" ht="15.75" customHeight="1">
      <c r="B321" s="2"/>
      <c r="C321" s="2"/>
      <c r="D321" s="2"/>
      <c r="E321" s="2"/>
      <c r="L321" s="2"/>
      <c r="M321" s="2"/>
    </row>
    <row r="322" ht="15.75" customHeight="1">
      <c r="B322" s="2"/>
      <c r="C322" s="2"/>
      <c r="D322" s="2"/>
      <c r="E322" s="2"/>
      <c r="L322" s="2"/>
      <c r="M322" s="2"/>
    </row>
    <row r="323" ht="15.75" customHeight="1">
      <c r="B323" s="2"/>
      <c r="C323" s="2"/>
      <c r="D323" s="2"/>
      <c r="E323" s="2"/>
      <c r="L323" s="2"/>
      <c r="M323" s="2"/>
    </row>
    <row r="324" ht="15.75" customHeight="1">
      <c r="B324" s="2"/>
      <c r="C324" s="2"/>
      <c r="D324" s="2"/>
      <c r="E324" s="2"/>
      <c r="L324" s="2"/>
      <c r="M324" s="2"/>
    </row>
    <row r="325" ht="15.75" customHeight="1">
      <c r="B325" s="2"/>
      <c r="C325" s="2"/>
      <c r="D325" s="2"/>
      <c r="E325" s="2"/>
      <c r="L325" s="2"/>
      <c r="M325" s="2"/>
    </row>
    <row r="326" ht="15.75" customHeight="1">
      <c r="B326" s="2"/>
      <c r="C326" s="2"/>
      <c r="D326" s="2"/>
      <c r="E326" s="2"/>
      <c r="L326" s="2"/>
      <c r="M326" s="2"/>
    </row>
    <row r="327" ht="15.75" customHeight="1">
      <c r="B327" s="2"/>
      <c r="C327" s="2"/>
      <c r="D327" s="2"/>
      <c r="E327" s="2"/>
      <c r="L327" s="2"/>
      <c r="M327" s="2"/>
    </row>
    <row r="328" ht="15.75" customHeight="1">
      <c r="B328" s="2"/>
      <c r="C328" s="2"/>
      <c r="D328" s="2"/>
      <c r="E328" s="2"/>
      <c r="L328" s="2"/>
      <c r="M328" s="2"/>
    </row>
    <row r="329" ht="15.75" customHeight="1">
      <c r="B329" s="2"/>
      <c r="C329" s="2"/>
      <c r="D329" s="2"/>
      <c r="E329" s="2"/>
      <c r="L329" s="2"/>
      <c r="M329" s="2"/>
    </row>
    <row r="330" ht="15.75" customHeight="1">
      <c r="B330" s="2"/>
      <c r="C330" s="2"/>
      <c r="D330" s="2"/>
      <c r="E330" s="2"/>
      <c r="L330" s="2"/>
      <c r="M330" s="2"/>
    </row>
    <row r="331" ht="15.75" customHeight="1">
      <c r="B331" s="2"/>
      <c r="C331" s="2"/>
      <c r="D331" s="2"/>
      <c r="E331" s="2"/>
      <c r="L331" s="2"/>
      <c r="M331" s="2"/>
    </row>
    <row r="332" ht="15.75" customHeight="1">
      <c r="B332" s="2"/>
      <c r="C332" s="2"/>
      <c r="D332" s="2"/>
      <c r="E332" s="2"/>
      <c r="L332" s="2"/>
      <c r="M332" s="2"/>
    </row>
    <row r="333" ht="15.75" customHeight="1">
      <c r="B333" s="2"/>
      <c r="C333" s="2"/>
      <c r="D333" s="2"/>
      <c r="E333" s="2"/>
      <c r="L333" s="2"/>
      <c r="M333" s="2"/>
    </row>
    <row r="334" ht="15.75" customHeight="1">
      <c r="B334" s="2"/>
      <c r="C334" s="2"/>
      <c r="D334" s="2"/>
      <c r="E334" s="2"/>
      <c r="L334" s="2"/>
      <c r="M334" s="2"/>
    </row>
    <row r="335" ht="15.75" customHeight="1">
      <c r="B335" s="2"/>
      <c r="C335" s="2"/>
      <c r="D335" s="2"/>
      <c r="E335" s="2"/>
      <c r="L335" s="2"/>
      <c r="M335" s="2"/>
    </row>
    <row r="336" ht="15.75" customHeight="1">
      <c r="B336" s="2"/>
      <c r="C336" s="2"/>
      <c r="D336" s="2"/>
      <c r="E336" s="2"/>
      <c r="L336" s="2"/>
      <c r="M336" s="2"/>
    </row>
    <row r="337" ht="15.75" customHeight="1">
      <c r="B337" s="2"/>
      <c r="C337" s="2"/>
      <c r="D337" s="2"/>
      <c r="E337" s="2"/>
      <c r="L337" s="2"/>
      <c r="M337" s="2"/>
    </row>
    <row r="338" ht="15.75" customHeight="1">
      <c r="B338" s="2"/>
      <c r="C338" s="2"/>
      <c r="D338" s="2"/>
      <c r="E338" s="2"/>
      <c r="L338" s="2"/>
      <c r="M338" s="2"/>
    </row>
    <row r="339" ht="15.75" customHeight="1">
      <c r="B339" s="2"/>
      <c r="C339" s="2"/>
      <c r="D339" s="2"/>
      <c r="E339" s="2"/>
      <c r="L339" s="2"/>
      <c r="M339" s="2"/>
    </row>
    <row r="340" ht="15.75" customHeight="1">
      <c r="B340" s="2"/>
      <c r="C340" s="2"/>
      <c r="D340" s="2"/>
      <c r="E340" s="2"/>
      <c r="L340" s="2"/>
      <c r="M340" s="2"/>
    </row>
    <row r="341" ht="15.75" customHeight="1">
      <c r="B341" s="2"/>
      <c r="C341" s="2"/>
      <c r="D341" s="2"/>
      <c r="E341" s="2"/>
      <c r="L341" s="2"/>
      <c r="M341" s="2"/>
    </row>
    <row r="342" ht="15.75" customHeight="1">
      <c r="B342" s="2"/>
      <c r="C342" s="2"/>
      <c r="D342" s="2"/>
      <c r="E342" s="2"/>
      <c r="L342" s="2"/>
      <c r="M342" s="2"/>
    </row>
    <row r="343" ht="15.75" customHeight="1">
      <c r="B343" s="2"/>
      <c r="C343" s="2"/>
      <c r="D343" s="2"/>
      <c r="E343" s="2"/>
      <c r="L343" s="2"/>
      <c r="M343" s="2"/>
    </row>
    <row r="344" ht="15.75" customHeight="1">
      <c r="B344" s="2"/>
      <c r="C344" s="2"/>
      <c r="D344" s="2"/>
      <c r="E344" s="2"/>
      <c r="L344" s="2"/>
      <c r="M344" s="2"/>
    </row>
    <row r="345" ht="15.75" customHeight="1">
      <c r="B345" s="2"/>
      <c r="C345" s="2"/>
      <c r="D345" s="2"/>
      <c r="E345" s="2"/>
      <c r="L345" s="2"/>
      <c r="M345" s="2"/>
    </row>
    <row r="346" ht="15.75" customHeight="1">
      <c r="B346" s="2"/>
      <c r="C346" s="2"/>
      <c r="D346" s="2"/>
      <c r="E346" s="2"/>
      <c r="L346" s="2"/>
      <c r="M346" s="2"/>
    </row>
    <row r="347" ht="15.75" customHeight="1">
      <c r="B347" s="2"/>
      <c r="C347" s="2"/>
      <c r="D347" s="2"/>
      <c r="E347" s="2"/>
      <c r="L347" s="2"/>
      <c r="M347" s="2"/>
    </row>
    <row r="348" ht="15.75" customHeight="1">
      <c r="B348" s="2"/>
      <c r="C348" s="2"/>
      <c r="D348" s="2"/>
      <c r="E348" s="2"/>
      <c r="L348" s="2"/>
      <c r="M348" s="2"/>
    </row>
    <row r="349" ht="15.75" customHeight="1">
      <c r="B349" s="2"/>
      <c r="C349" s="2"/>
      <c r="D349" s="2"/>
      <c r="E349" s="2"/>
      <c r="L349" s="2"/>
      <c r="M349" s="2"/>
    </row>
    <row r="350" ht="15.75" customHeight="1">
      <c r="B350" s="2"/>
      <c r="C350" s="2"/>
      <c r="D350" s="2"/>
      <c r="E350" s="2"/>
      <c r="L350" s="2"/>
      <c r="M350" s="2"/>
    </row>
    <row r="351" ht="15.75" customHeight="1">
      <c r="B351" s="2"/>
      <c r="C351" s="2"/>
      <c r="D351" s="2"/>
      <c r="E351" s="2"/>
      <c r="L351" s="2"/>
      <c r="M351" s="2"/>
    </row>
    <row r="352" ht="15.75" customHeight="1">
      <c r="B352" s="2"/>
      <c r="C352" s="2"/>
      <c r="D352" s="2"/>
      <c r="E352" s="2"/>
      <c r="L352" s="2"/>
      <c r="M352" s="2"/>
    </row>
    <row r="353" ht="15.75" customHeight="1">
      <c r="B353" s="2"/>
      <c r="C353" s="2"/>
      <c r="D353" s="2"/>
      <c r="E353" s="2"/>
      <c r="L353" s="2"/>
      <c r="M353" s="2"/>
    </row>
    <row r="354" ht="15.75" customHeight="1">
      <c r="B354" s="2"/>
      <c r="C354" s="2"/>
      <c r="D354" s="2"/>
      <c r="E354" s="2"/>
      <c r="L354" s="2"/>
      <c r="M354" s="2"/>
    </row>
    <row r="355" ht="15.75" customHeight="1">
      <c r="B355" s="2"/>
      <c r="C355" s="2"/>
      <c r="D355" s="2"/>
      <c r="E355" s="2"/>
      <c r="L355" s="2"/>
      <c r="M355" s="2"/>
    </row>
    <row r="356" ht="15.75" customHeight="1">
      <c r="B356" s="2"/>
      <c r="C356" s="2"/>
      <c r="D356" s="2"/>
      <c r="E356" s="2"/>
      <c r="L356" s="2"/>
      <c r="M356" s="2"/>
    </row>
    <row r="357" ht="15.75" customHeight="1">
      <c r="B357" s="2"/>
      <c r="C357" s="2"/>
      <c r="D357" s="2"/>
      <c r="E357" s="2"/>
      <c r="L357" s="2"/>
      <c r="M357" s="2"/>
    </row>
    <row r="358" ht="15.75" customHeight="1">
      <c r="B358" s="2"/>
      <c r="C358" s="2"/>
      <c r="D358" s="2"/>
      <c r="E358" s="2"/>
      <c r="L358" s="2"/>
      <c r="M358" s="2"/>
    </row>
    <row r="359" ht="15.75" customHeight="1">
      <c r="B359" s="2"/>
      <c r="C359" s="2"/>
      <c r="D359" s="2"/>
      <c r="E359" s="2"/>
      <c r="L359" s="2"/>
      <c r="M359" s="2"/>
    </row>
    <row r="360" ht="15.75" customHeight="1">
      <c r="B360" s="2"/>
      <c r="C360" s="2"/>
      <c r="D360" s="2"/>
      <c r="E360" s="2"/>
      <c r="L360" s="2"/>
      <c r="M360" s="2"/>
    </row>
    <row r="361" ht="15.75" customHeight="1">
      <c r="B361" s="2"/>
      <c r="C361" s="2"/>
      <c r="D361" s="2"/>
      <c r="E361" s="2"/>
      <c r="L361" s="2"/>
      <c r="M361" s="2"/>
    </row>
    <row r="362" ht="15.75" customHeight="1">
      <c r="B362" s="2"/>
      <c r="C362" s="2"/>
      <c r="D362" s="2"/>
      <c r="E362" s="2"/>
      <c r="L362" s="2"/>
      <c r="M362" s="2"/>
    </row>
    <row r="363" ht="15.75" customHeight="1">
      <c r="B363" s="2"/>
      <c r="C363" s="2"/>
      <c r="D363" s="2"/>
      <c r="E363" s="2"/>
      <c r="L363" s="2"/>
      <c r="M363" s="2"/>
    </row>
    <row r="364" ht="15.75" customHeight="1">
      <c r="B364" s="2"/>
      <c r="C364" s="2"/>
      <c r="D364" s="2"/>
      <c r="E364" s="2"/>
      <c r="L364" s="2"/>
      <c r="M364" s="2"/>
    </row>
    <row r="365" ht="15.75" customHeight="1">
      <c r="B365" s="2"/>
      <c r="C365" s="2"/>
      <c r="D365" s="2"/>
      <c r="E365" s="2"/>
      <c r="L365" s="2"/>
      <c r="M365" s="2"/>
    </row>
    <row r="366" ht="15.75" customHeight="1">
      <c r="B366" s="2"/>
      <c r="C366" s="2"/>
      <c r="D366" s="2"/>
      <c r="E366" s="2"/>
      <c r="L366" s="2"/>
      <c r="M366" s="2"/>
    </row>
    <row r="367" ht="15.75" customHeight="1">
      <c r="B367" s="2"/>
      <c r="C367" s="2"/>
      <c r="D367" s="2"/>
      <c r="E367" s="2"/>
      <c r="L367" s="2"/>
      <c r="M367" s="2"/>
    </row>
    <row r="368" ht="15.75" customHeight="1">
      <c r="B368" s="2"/>
      <c r="C368" s="2"/>
      <c r="D368" s="2"/>
      <c r="E368" s="2"/>
      <c r="L368" s="2"/>
      <c r="M368" s="2"/>
    </row>
    <row r="369" ht="15.75" customHeight="1">
      <c r="B369" s="2"/>
      <c r="C369" s="2"/>
      <c r="D369" s="2"/>
      <c r="E369" s="2"/>
      <c r="L369" s="2"/>
      <c r="M369" s="2"/>
    </row>
    <row r="370" ht="15.75" customHeight="1">
      <c r="B370" s="2"/>
      <c r="C370" s="2"/>
      <c r="D370" s="2"/>
      <c r="E370" s="2"/>
      <c r="L370" s="2"/>
      <c r="M370" s="2"/>
    </row>
    <row r="371" ht="15.75" customHeight="1">
      <c r="B371" s="2"/>
      <c r="C371" s="2"/>
      <c r="D371" s="2"/>
      <c r="E371" s="2"/>
      <c r="L371" s="2"/>
      <c r="M371" s="2"/>
    </row>
    <row r="372" ht="15.75" customHeight="1">
      <c r="B372" s="2"/>
      <c r="C372" s="2"/>
      <c r="D372" s="2"/>
      <c r="E372" s="2"/>
      <c r="L372" s="2"/>
      <c r="M372" s="2"/>
    </row>
    <row r="373" ht="15.75" customHeight="1">
      <c r="B373" s="2"/>
      <c r="C373" s="2"/>
      <c r="D373" s="2"/>
      <c r="E373" s="2"/>
      <c r="L373" s="2"/>
      <c r="M373" s="2"/>
    </row>
    <row r="374" ht="15.75" customHeight="1">
      <c r="B374" s="2"/>
      <c r="C374" s="2"/>
      <c r="D374" s="2"/>
      <c r="E374" s="2"/>
      <c r="L374" s="2"/>
      <c r="M374" s="2"/>
    </row>
    <row r="375" ht="15.75" customHeight="1">
      <c r="B375" s="2"/>
      <c r="C375" s="2"/>
      <c r="D375" s="2"/>
      <c r="E375" s="2"/>
      <c r="L375" s="2"/>
      <c r="M375" s="2"/>
    </row>
    <row r="376" ht="15.75" customHeight="1">
      <c r="B376" s="2"/>
      <c r="C376" s="2"/>
      <c r="D376" s="2"/>
      <c r="E376" s="2"/>
      <c r="L376" s="2"/>
      <c r="M376" s="2"/>
    </row>
    <row r="377" ht="15.75" customHeight="1">
      <c r="B377" s="2"/>
      <c r="C377" s="2"/>
      <c r="D377" s="2"/>
      <c r="E377" s="2"/>
      <c r="L377" s="2"/>
      <c r="M377" s="2"/>
    </row>
    <row r="378" ht="15.75" customHeight="1">
      <c r="B378" s="2"/>
      <c r="C378" s="2"/>
      <c r="D378" s="2"/>
      <c r="E378" s="2"/>
      <c r="L378" s="2"/>
      <c r="M378" s="2"/>
    </row>
    <row r="379" ht="15.75" customHeight="1">
      <c r="B379" s="2"/>
      <c r="C379" s="2"/>
      <c r="D379" s="2"/>
      <c r="E379" s="2"/>
      <c r="L379" s="2"/>
      <c r="M379" s="2"/>
    </row>
    <row r="380" ht="15.75" customHeight="1">
      <c r="B380" s="2"/>
      <c r="C380" s="2"/>
      <c r="D380" s="2"/>
      <c r="E380" s="2"/>
      <c r="L380" s="2"/>
      <c r="M380" s="2"/>
    </row>
    <row r="381" ht="15.75" customHeight="1">
      <c r="B381" s="2"/>
      <c r="C381" s="2"/>
      <c r="D381" s="2"/>
      <c r="E381" s="2"/>
      <c r="L381" s="2"/>
      <c r="M381" s="2"/>
    </row>
    <row r="382" ht="15.75" customHeight="1">
      <c r="B382" s="2"/>
      <c r="C382" s="2"/>
      <c r="D382" s="2"/>
      <c r="E382" s="2"/>
      <c r="L382" s="2"/>
      <c r="M382" s="2"/>
    </row>
    <row r="383" ht="15.75" customHeight="1">
      <c r="B383" s="2"/>
      <c r="C383" s="2"/>
      <c r="D383" s="2"/>
      <c r="E383" s="2"/>
      <c r="L383" s="2"/>
      <c r="M383" s="2"/>
    </row>
    <row r="384" ht="15.75" customHeight="1">
      <c r="B384" s="2"/>
      <c r="C384" s="2"/>
      <c r="D384" s="2"/>
      <c r="E384" s="2"/>
      <c r="L384" s="2"/>
      <c r="M384" s="2"/>
    </row>
    <row r="385" ht="15.75" customHeight="1">
      <c r="B385" s="2"/>
      <c r="C385" s="2"/>
      <c r="D385" s="2"/>
      <c r="E385" s="2"/>
      <c r="L385" s="2"/>
      <c r="M385" s="2"/>
    </row>
    <row r="386" ht="15.75" customHeight="1">
      <c r="B386" s="2"/>
      <c r="C386" s="2"/>
      <c r="D386" s="2"/>
      <c r="E386" s="2"/>
      <c r="L386" s="2"/>
      <c r="M386" s="2"/>
    </row>
    <row r="387" ht="15.75" customHeight="1">
      <c r="B387" s="2"/>
      <c r="C387" s="2"/>
      <c r="D387" s="2"/>
      <c r="E387" s="2"/>
      <c r="L387" s="2"/>
      <c r="M387" s="2"/>
    </row>
    <row r="388" ht="15.75" customHeight="1">
      <c r="B388" s="2"/>
      <c r="C388" s="2"/>
      <c r="D388" s="2"/>
      <c r="E388" s="2"/>
      <c r="L388" s="2"/>
      <c r="M388" s="2"/>
    </row>
    <row r="389" ht="15.75" customHeight="1">
      <c r="B389" s="2"/>
      <c r="C389" s="2"/>
      <c r="D389" s="2"/>
      <c r="E389" s="2"/>
      <c r="L389" s="2"/>
      <c r="M389" s="2"/>
    </row>
    <row r="390" ht="15.75" customHeight="1">
      <c r="B390" s="2"/>
      <c r="C390" s="2"/>
      <c r="D390" s="2"/>
      <c r="E390" s="2"/>
      <c r="L390" s="2"/>
      <c r="M390" s="2"/>
    </row>
    <row r="391" ht="15.75" customHeight="1">
      <c r="B391" s="2"/>
      <c r="C391" s="2"/>
      <c r="D391" s="2"/>
      <c r="E391" s="2"/>
      <c r="L391" s="2"/>
      <c r="M391" s="2"/>
    </row>
    <row r="392" ht="15.75" customHeight="1">
      <c r="B392" s="2"/>
      <c r="C392" s="2"/>
      <c r="D392" s="2"/>
      <c r="E392" s="2"/>
      <c r="L392" s="2"/>
      <c r="M392" s="2"/>
    </row>
    <row r="393" ht="15.75" customHeight="1">
      <c r="B393" s="2"/>
      <c r="C393" s="2"/>
      <c r="D393" s="2"/>
      <c r="E393" s="2"/>
      <c r="L393" s="2"/>
      <c r="M393" s="2"/>
    </row>
    <row r="394" ht="15.75" customHeight="1">
      <c r="B394" s="2"/>
      <c r="C394" s="2"/>
      <c r="D394" s="2"/>
      <c r="E394" s="2"/>
      <c r="L394" s="2"/>
      <c r="M394" s="2"/>
    </row>
    <row r="395" ht="15.75" customHeight="1">
      <c r="B395" s="2"/>
      <c r="C395" s="2"/>
      <c r="D395" s="2"/>
      <c r="E395" s="2"/>
      <c r="L395" s="2"/>
      <c r="M395" s="2"/>
    </row>
    <row r="396" ht="15.75" customHeight="1">
      <c r="B396" s="2"/>
      <c r="C396" s="2"/>
      <c r="D396" s="2"/>
      <c r="E396" s="2"/>
      <c r="L396" s="2"/>
      <c r="M396" s="2"/>
    </row>
    <row r="397" ht="15.75" customHeight="1">
      <c r="B397" s="2"/>
      <c r="C397" s="2"/>
      <c r="D397" s="2"/>
      <c r="E397" s="2"/>
      <c r="L397" s="2"/>
      <c r="M397" s="2"/>
    </row>
    <row r="398" ht="15.75" customHeight="1">
      <c r="B398" s="2"/>
      <c r="C398" s="2"/>
      <c r="D398" s="2"/>
      <c r="E398" s="2"/>
      <c r="L398" s="2"/>
      <c r="M398" s="2"/>
    </row>
    <row r="399" ht="15.75" customHeight="1">
      <c r="B399" s="2"/>
      <c r="C399" s="2"/>
      <c r="D399" s="2"/>
      <c r="E399" s="2"/>
      <c r="L399" s="2"/>
      <c r="M399" s="2"/>
    </row>
    <row r="400" ht="15.75" customHeight="1">
      <c r="B400" s="2"/>
      <c r="C400" s="2"/>
      <c r="D400" s="2"/>
      <c r="E400" s="2"/>
      <c r="L400" s="2"/>
      <c r="M400" s="2"/>
    </row>
    <row r="401" ht="15.75" customHeight="1">
      <c r="B401" s="2"/>
      <c r="C401" s="2"/>
      <c r="D401" s="2"/>
      <c r="E401" s="2"/>
      <c r="L401" s="2"/>
      <c r="M401" s="2"/>
    </row>
    <row r="402" ht="15.75" customHeight="1">
      <c r="B402" s="2"/>
      <c r="C402" s="2"/>
      <c r="D402" s="2"/>
      <c r="E402" s="2"/>
      <c r="L402" s="2"/>
      <c r="M402" s="2"/>
    </row>
    <row r="403" ht="15.75" customHeight="1">
      <c r="B403" s="2"/>
      <c r="C403" s="2"/>
      <c r="D403" s="2"/>
      <c r="E403" s="2"/>
      <c r="L403" s="2"/>
      <c r="M403" s="2"/>
    </row>
    <row r="404" ht="15.75" customHeight="1">
      <c r="B404" s="2"/>
      <c r="C404" s="2"/>
      <c r="D404" s="2"/>
      <c r="E404" s="2"/>
      <c r="L404" s="2"/>
      <c r="M404" s="2"/>
    </row>
    <row r="405" ht="15.75" customHeight="1">
      <c r="B405" s="2"/>
      <c r="C405" s="2"/>
      <c r="D405" s="2"/>
      <c r="E405" s="2"/>
      <c r="L405" s="2"/>
      <c r="M405" s="2"/>
    </row>
    <row r="406" ht="15.75" customHeight="1">
      <c r="B406" s="2"/>
      <c r="C406" s="2"/>
      <c r="D406" s="2"/>
      <c r="E406" s="2"/>
      <c r="L406" s="2"/>
      <c r="M406" s="2"/>
    </row>
    <row r="407" ht="15.75" customHeight="1">
      <c r="B407" s="2"/>
      <c r="C407" s="2"/>
      <c r="D407" s="2"/>
      <c r="E407" s="2"/>
      <c r="L407" s="2"/>
      <c r="M407" s="2"/>
    </row>
    <row r="408" ht="15.75" customHeight="1">
      <c r="B408" s="2"/>
      <c r="C408" s="2"/>
      <c r="D408" s="2"/>
      <c r="E408" s="2"/>
      <c r="L408" s="2"/>
      <c r="M408" s="2"/>
    </row>
    <row r="409" ht="15.75" customHeight="1">
      <c r="B409" s="2"/>
      <c r="C409" s="2"/>
      <c r="D409" s="2"/>
      <c r="E409" s="2"/>
      <c r="L409" s="2"/>
      <c r="M409" s="2"/>
    </row>
    <row r="410" ht="15.75" customHeight="1">
      <c r="B410" s="2"/>
      <c r="C410" s="2"/>
      <c r="D410" s="2"/>
      <c r="E410" s="2"/>
      <c r="L410" s="2"/>
      <c r="M410" s="2"/>
    </row>
    <row r="411" ht="15.75" customHeight="1">
      <c r="B411" s="2"/>
      <c r="C411" s="2"/>
      <c r="D411" s="2"/>
      <c r="E411" s="2"/>
      <c r="L411" s="2"/>
      <c r="M411" s="2"/>
    </row>
    <row r="412" ht="15.75" customHeight="1">
      <c r="B412" s="2"/>
      <c r="C412" s="2"/>
      <c r="D412" s="2"/>
      <c r="E412" s="2"/>
      <c r="L412" s="2"/>
      <c r="M412" s="2"/>
    </row>
    <row r="413" ht="15.75" customHeight="1">
      <c r="B413" s="2"/>
      <c r="C413" s="2"/>
      <c r="D413" s="2"/>
      <c r="E413" s="2"/>
      <c r="L413" s="2"/>
      <c r="M413" s="2"/>
    </row>
    <row r="414" ht="15.75" customHeight="1">
      <c r="B414" s="2"/>
      <c r="C414" s="2"/>
      <c r="D414" s="2"/>
      <c r="E414" s="2"/>
      <c r="L414" s="2"/>
      <c r="M414" s="2"/>
    </row>
    <row r="415" ht="15.75" customHeight="1">
      <c r="B415" s="2"/>
      <c r="C415" s="2"/>
      <c r="D415" s="2"/>
      <c r="E415" s="2"/>
      <c r="L415" s="2"/>
      <c r="M415" s="2"/>
    </row>
    <row r="416" ht="15.75" customHeight="1">
      <c r="B416" s="2"/>
      <c r="C416" s="2"/>
      <c r="D416" s="2"/>
      <c r="E416" s="2"/>
      <c r="L416" s="2"/>
      <c r="M416" s="2"/>
    </row>
    <row r="417" ht="15.75" customHeight="1">
      <c r="B417" s="2"/>
      <c r="C417" s="2"/>
      <c r="D417" s="2"/>
      <c r="E417" s="2"/>
      <c r="L417" s="2"/>
      <c r="M417" s="2"/>
    </row>
    <row r="418" ht="15.75" customHeight="1">
      <c r="B418" s="2"/>
      <c r="C418" s="2"/>
      <c r="D418" s="2"/>
      <c r="E418" s="2"/>
      <c r="L418" s="2"/>
      <c r="M418" s="2"/>
    </row>
    <row r="419" ht="15.75" customHeight="1">
      <c r="B419" s="2"/>
      <c r="C419" s="2"/>
      <c r="D419" s="2"/>
      <c r="E419" s="2"/>
      <c r="L419" s="2"/>
      <c r="M419" s="2"/>
    </row>
    <row r="420" ht="15.75" customHeight="1">
      <c r="B420" s="2"/>
      <c r="C420" s="2"/>
      <c r="D420" s="2"/>
      <c r="E420" s="2"/>
      <c r="L420" s="2"/>
      <c r="M420" s="2"/>
    </row>
    <row r="421" ht="15.75" customHeight="1">
      <c r="B421" s="2"/>
      <c r="C421" s="2"/>
      <c r="D421" s="2"/>
      <c r="E421" s="2"/>
      <c r="L421" s="2"/>
      <c r="M421" s="2"/>
    </row>
    <row r="422" ht="15.75" customHeight="1">
      <c r="B422" s="2"/>
      <c r="C422" s="2"/>
      <c r="D422" s="2"/>
      <c r="E422" s="2"/>
      <c r="L422" s="2"/>
      <c r="M422" s="2"/>
    </row>
    <row r="423" ht="15.75" customHeight="1">
      <c r="B423" s="2"/>
      <c r="C423" s="2"/>
      <c r="D423" s="2"/>
      <c r="E423" s="2"/>
      <c r="L423" s="2"/>
      <c r="M423" s="2"/>
    </row>
    <row r="424" ht="15.75" customHeight="1">
      <c r="B424" s="2"/>
      <c r="C424" s="2"/>
      <c r="D424" s="2"/>
      <c r="E424" s="2"/>
      <c r="L424" s="2"/>
      <c r="M424" s="2"/>
    </row>
    <row r="425" ht="15.75" customHeight="1">
      <c r="B425" s="2"/>
      <c r="C425" s="2"/>
      <c r="D425" s="2"/>
      <c r="E425" s="2"/>
      <c r="L425" s="2"/>
      <c r="M425" s="2"/>
    </row>
    <row r="426" ht="15.75" customHeight="1">
      <c r="B426" s="2"/>
      <c r="C426" s="2"/>
      <c r="D426" s="2"/>
      <c r="E426" s="2"/>
      <c r="L426" s="2"/>
      <c r="M426" s="2"/>
    </row>
    <row r="427" ht="15.75" customHeight="1">
      <c r="B427" s="2"/>
      <c r="C427" s="2"/>
      <c r="D427" s="2"/>
      <c r="E427" s="2"/>
      <c r="L427" s="2"/>
      <c r="M427" s="2"/>
    </row>
    <row r="428" ht="15.75" customHeight="1">
      <c r="B428" s="2"/>
      <c r="C428" s="2"/>
      <c r="D428" s="2"/>
      <c r="E428" s="2"/>
      <c r="L428" s="2"/>
      <c r="M428" s="2"/>
    </row>
    <row r="429" ht="15.75" customHeight="1">
      <c r="B429" s="2"/>
      <c r="C429" s="2"/>
      <c r="D429" s="2"/>
      <c r="E429" s="2"/>
      <c r="L429" s="2"/>
      <c r="M429" s="2"/>
    </row>
    <row r="430" ht="15.75" customHeight="1">
      <c r="B430" s="2"/>
      <c r="C430" s="2"/>
      <c r="D430" s="2"/>
      <c r="E430" s="2"/>
      <c r="L430" s="2"/>
      <c r="M430" s="2"/>
    </row>
    <row r="431" ht="15.75" customHeight="1">
      <c r="B431" s="2"/>
      <c r="C431" s="2"/>
      <c r="D431" s="2"/>
      <c r="E431" s="2"/>
      <c r="L431" s="2"/>
      <c r="M431" s="2"/>
    </row>
    <row r="432" ht="15.75" customHeight="1">
      <c r="B432" s="2"/>
      <c r="C432" s="2"/>
      <c r="D432" s="2"/>
      <c r="E432" s="2"/>
      <c r="L432" s="2"/>
      <c r="M432" s="2"/>
    </row>
    <row r="433" ht="15.75" customHeight="1">
      <c r="B433" s="2"/>
      <c r="C433" s="2"/>
      <c r="D433" s="2"/>
      <c r="E433" s="2"/>
      <c r="L433" s="2"/>
      <c r="M433" s="2"/>
    </row>
    <row r="434" ht="15.75" customHeight="1">
      <c r="B434" s="2"/>
      <c r="C434" s="2"/>
      <c r="D434" s="2"/>
      <c r="E434" s="2"/>
      <c r="L434" s="2"/>
      <c r="M434" s="2"/>
    </row>
    <row r="435" ht="15.75" customHeight="1">
      <c r="B435" s="2"/>
      <c r="C435" s="2"/>
      <c r="D435" s="2"/>
      <c r="E435" s="2"/>
      <c r="L435" s="2"/>
      <c r="M435" s="2"/>
    </row>
    <row r="436" ht="15.75" customHeight="1">
      <c r="B436" s="2"/>
      <c r="C436" s="2"/>
      <c r="D436" s="2"/>
      <c r="E436" s="2"/>
      <c r="L436" s="2"/>
      <c r="M436" s="2"/>
    </row>
    <row r="437" ht="15.75" customHeight="1">
      <c r="B437" s="2"/>
      <c r="C437" s="2"/>
      <c r="D437" s="2"/>
      <c r="E437" s="2"/>
      <c r="L437" s="2"/>
      <c r="M437" s="2"/>
    </row>
    <row r="438" ht="15.75" customHeight="1">
      <c r="B438" s="2"/>
      <c r="C438" s="2"/>
      <c r="D438" s="2"/>
      <c r="E438" s="2"/>
      <c r="L438" s="2"/>
      <c r="M438" s="2"/>
    </row>
    <row r="439" ht="15.75" customHeight="1">
      <c r="B439" s="2"/>
      <c r="C439" s="2"/>
      <c r="D439" s="2"/>
      <c r="E439" s="2"/>
      <c r="L439" s="2"/>
      <c r="M439" s="2"/>
    </row>
    <row r="440" ht="15.75" customHeight="1">
      <c r="B440" s="2"/>
      <c r="C440" s="2"/>
      <c r="D440" s="2"/>
      <c r="E440" s="2"/>
      <c r="L440" s="2"/>
      <c r="M440" s="2"/>
    </row>
    <row r="441" ht="15.75" customHeight="1">
      <c r="B441" s="2"/>
      <c r="C441" s="2"/>
      <c r="D441" s="2"/>
      <c r="E441" s="2"/>
      <c r="L441" s="2"/>
      <c r="M441" s="2"/>
    </row>
    <row r="442" ht="15.75" customHeight="1">
      <c r="B442" s="2"/>
      <c r="C442" s="2"/>
      <c r="D442" s="2"/>
      <c r="E442" s="2"/>
      <c r="L442" s="2"/>
      <c r="M442" s="2"/>
    </row>
    <row r="443" ht="15.75" customHeight="1">
      <c r="B443" s="2"/>
      <c r="C443" s="2"/>
      <c r="D443" s="2"/>
      <c r="E443" s="2"/>
      <c r="L443" s="2"/>
      <c r="M443" s="2"/>
    </row>
    <row r="444" ht="15.75" customHeight="1">
      <c r="B444" s="2"/>
      <c r="C444" s="2"/>
      <c r="D444" s="2"/>
      <c r="E444" s="2"/>
      <c r="L444" s="2"/>
      <c r="M444" s="2"/>
    </row>
    <row r="445" ht="15.75" customHeight="1">
      <c r="B445" s="2"/>
      <c r="C445" s="2"/>
      <c r="D445" s="2"/>
      <c r="E445" s="2"/>
      <c r="L445" s="2"/>
      <c r="M445" s="2"/>
    </row>
    <row r="446" ht="15.75" customHeight="1">
      <c r="B446" s="2"/>
      <c r="C446" s="2"/>
      <c r="D446" s="2"/>
      <c r="E446" s="2"/>
      <c r="L446" s="2"/>
      <c r="M446" s="2"/>
    </row>
    <row r="447" ht="15.75" customHeight="1">
      <c r="B447" s="2"/>
      <c r="C447" s="2"/>
      <c r="D447" s="2"/>
      <c r="E447" s="2"/>
      <c r="L447" s="2"/>
      <c r="M447" s="2"/>
    </row>
    <row r="448" ht="15.75" customHeight="1">
      <c r="B448" s="2"/>
      <c r="C448" s="2"/>
      <c r="D448" s="2"/>
      <c r="E448" s="2"/>
      <c r="L448" s="2"/>
      <c r="M448" s="2"/>
    </row>
    <row r="449" ht="15.75" customHeight="1">
      <c r="B449" s="2"/>
      <c r="C449" s="2"/>
      <c r="D449" s="2"/>
      <c r="E449" s="2"/>
      <c r="L449" s="2"/>
      <c r="M449" s="2"/>
    </row>
    <row r="450" ht="15.75" customHeight="1">
      <c r="B450" s="2"/>
      <c r="C450" s="2"/>
      <c r="D450" s="2"/>
      <c r="E450" s="2"/>
      <c r="L450" s="2"/>
      <c r="M450" s="2"/>
    </row>
    <row r="451" ht="15.75" customHeight="1">
      <c r="B451" s="2"/>
      <c r="C451" s="2"/>
      <c r="D451" s="2"/>
      <c r="E451" s="2"/>
      <c r="L451" s="2"/>
      <c r="M451" s="2"/>
    </row>
    <row r="452" ht="15.75" customHeight="1">
      <c r="B452" s="2"/>
      <c r="C452" s="2"/>
      <c r="D452" s="2"/>
      <c r="E452" s="2"/>
      <c r="L452" s="2"/>
      <c r="M452" s="2"/>
    </row>
    <row r="453" ht="15.75" customHeight="1">
      <c r="B453" s="2"/>
      <c r="C453" s="2"/>
      <c r="D453" s="2"/>
      <c r="E453" s="2"/>
      <c r="L453" s="2"/>
      <c r="M453" s="2"/>
    </row>
    <row r="454" ht="15.75" customHeight="1">
      <c r="B454" s="2"/>
      <c r="C454" s="2"/>
      <c r="D454" s="2"/>
      <c r="E454" s="2"/>
      <c r="L454" s="2"/>
      <c r="M454" s="2"/>
    </row>
    <row r="455" ht="15.75" customHeight="1">
      <c r="B455" s="2"/>
      <c r="C455" s="2"/>
      <c r="D455" s="2"/>
      <c r="E455" s="2"/>
      <c r="L455" s="2"/>
      <c r="M455" s="2"/>
    </row>
    <row r="456" ht="15.75" customHeight="1">
      <c r="B456" s="2"/>
      <c r="C456" s="2"/>
      <c r="D456" s="2"/>
      <c r="E456" s="2"/>
      <c r="L456" s="2"/>
      <c r="M456" s="2"/>
    </row>
    <row r="457" ht="15.75" customHeight="1">
      <c r="B457" s="2"/>
      <c r="C457" s="2"/>
      <c r="D457" s="2"/>
      <c r="E457" s="2"/>
      <c r="L457" s="2"/>
      <c r="M457" s="2"/>
    </row>
    <row r="458" ht="15.75" customHeight="1">
      <c r="B458" s="2"/>
      <c r="C458" s="2"/>
      <c r="D458" s="2"/>
      <c r="E458" s="2"/>
      <c r="L458" s="2"/>
      <c r="M458" s="2"/>
    </row>
    <row r="459" ht="15.75" customHeight="1">
      <c r="B459" s="2"/>
      <c r="C459" s="2"/>
      <c r="D459" s="2"/>
      <c r="E459" s="2"/>
      <c r="L459" s="2"/>
      <c r="M459" s="2"/>
    </row>
    <row r="460" ht="15.75" customHeight="1">
      <c r="B460" s="2"/>
      <c r="C460" s="2"/>
      <c r="D460" s="2"/>
      <c r="E460" s="2"/>
      <c r="L460" s="2"/>
      <c r="M460" s="2"/>
    </row>
    <row r="461" ht="15.75" customHeight="1">
      <c r="B461" s="2"/>
      <c r="C461" s="2"/>
      <c r="D461" s="2"/>
      <c r="E461" s="2"/>
      <c r="L461" s="2"/>
      <c r="M461" s="2"/>
    </row>
    <row r="462" ht="15.75" customHeight="1">
      <c r="B462" s="2"/>
      <c r="C462" s="2"/>
      <c r="D462" s="2"/>
      <c r="E462" s="2"/>
      <c r="L462" s="2"/>
      <c r="M462" s="2"/>
    </row>
    <row r="463" ht="15.75" customHeight="1">
      <c r="B463" s="2"/>
      <c r="C463" s="2"/>
      <c r="D463" s="2"/>
      <c r="E463" s="2"/>
      <c r="L463" s="2"/>
      <c r="M463" s="2"/>
    </row>
    <row r="464" ht="15.75" customHeight="1">
      <c r="B464" s="2"/>
      <c r="C464" s="2"/>
      <c r="D464" s="2"/>
      <c r="E464" s="2"/>
      <c r="L464" s="2"/>
      <c r="M464" s="2"/>
    </row>
    <row r="465" ht="15.75" customHeight="1">
      <c r="B465" s="2"/>
      <c r="C465" s="2"/>
      <c r="D465" s="2"/>
      <c r="E465" s="2"/>
      <c r="L465" s="2"/>
      <c r="M465" s="2"/>
    </row>
    <row r="466" ht="15.75" customHeight="1">
      <c r="B466" s="2"/>
      <c r="C466" s="2"/>
      <c r="D466" s="2"/>
      <c r="E466" s="2"/>
      <c r="L466" s="2"/>
      <c r="M466" s="2"/>
    </row>
    <row r="467" ht="15.75" customHeight="1">
      <c r="B467" s="2"/>
      <c r="C467" s="2"/>
      <c r="D467" s="2"/>
      <c r="E467" s="2"/>
      <c r="L467" s="2"/>
      <c r="M467" s="2"/>
    </row>
    <row r="468" ht="15.75" customHeight="1">
      <c r="B468" s="2"/>
      <c r="C468" s="2"/>
      <c r="D468" s="2"/>
      <c r="E468" s="2"/>
      <c r="L468" s="2"/>
      <c r="M468" s="2"/>
    </row>
    <row r="469" ht="15.75" customHeight="1">
      <c r="B469" s="2"/>
      <c r="C469" s="2"/>
      <c r="D469" s="2"/>
      <c r="E469" s="2"/>
      <c r="L469" s="2"/>
      <c r="M469" s="2"/>
    </row>
    <row r="470" ht="15.75" customHeight="1">
      <c r="B470" s="2"/>
      <c r="C470" s="2"/>
      <c r="D470" s="2"/>
      <c r="E470" s="2"/>
      <c r="L470" s="2"/>
      <c r="M470" s="2"/>
    </row>
    <row r="471" ht="15.75" customHeight="1">
      <c r="B471" s="2"/>
      <c r="C471" s="2"/>
      <c r="D471" s="2"/>
      <c r="E471" s="2"/>
      <c r="L471" s="2"/>
      <c r="M471" s="2"/>
    </row>
    <row r="472" ht="15.75" customHeight="1">
      <c r="B472" s="2"/>
      <c r="C472" s="2"/>
      <c r="D472" s="2"/>
      <c r="E472" s="2"/>
      <c r="L472" s="2"/>
      <c r="M472" s="2"/>
    </row>
    <row r="473" ht="15.75" customHeight="1">
      <c r="B473" s="2"/>
      <c r="C473" s="2"/>
      <c r="D473" s="2"/>
      <c r="E473" s="2"/>
      <c r="L473" s="2"/>
      <c r="M473" s="2"/>
    </row>
    <row r="474" ht="15.75" customHeight="1">
      <c r="B474" s="2"/>
      <c r="C474" s="2"/>
      <c r="D474" s="2"/>
      <c r="E474" s="2"/>
      <c r="L474" s="2"/>
      <c r="M474" s="2"/>
    </row>
    <row r="475" ht="15.75" customHeight="1">
      <c r="B475" s="2"/>
      <c r="C475" s="2"/>
      <c r="D475" s="2"/>
      <c r="E475" s="2"/>
      <c r="L475" s="2"/>
      <c r="M475" s="2"/>
    </row>
    <row r="476" ht="15.75" customHeight="1">
      <c r="B476" s="2"/>
      <c r="C476" s="2"/>
      <c r="D476" s="2"/>
      <c r="E476" s="2"/>
      <c r="L476" s="2"/>
      <c r="M476" s="2"/>
    </row>
    <row r="477" ht="15.75" customHeight="1">
      <c r="B477" s="2"/>
      <c r="C477" s="2"/>
      <c r="D477" s="2"/>
      <c r="E477" s="2"/>
      <c r="L477" s="2"/>
      <c r="M477" s="2"/>
    </row>
    <row r="478" ht="15.75" customHeight="1">
      <c r="B478" s="2"/>
      <c r="C478" s="2"/>
      <c r="D478" s="2"/>
      <c r="E478" s="2"/>
      <c r="L478" s="2"/>
      <c r="M478" s="2"/>
    </row>
    <row r="479" ht="15.75" customHeight="1">
      <c r="B479" s="2"/>
      <c r="C479" s="2"/>
      <c r="D479" s="2"/>
      <c r="E479" s="2"/>
      <c r="L479" s="2"/>
      <c r="M479" s="2"/>
    </row>
    <row r="480" ht="15.75" customHeight="1">
      <c r="B480" s="2"/>
      <c r="C480" s="2"/>
      <c r="D480" s="2"/>
      <c r="E480" s="2"/>
      <c r="L480" s="2"/>
      <c r="M480" s="2"/>
    </row>
    <row r="481" ht="15.75" customHeight="1">
      <c r="B481" s="2"/>
      <c r="C481" s="2"/>
      <c r="D481" s="2"/>
      <c r="E481" s="2"/>
      <c r="L481" s="2"/>
      <c r="M481" s="2"/>
    </row>
    <row r="482" ht="15.75" customHeight="1">
      <c r="B482" s="2"/>
      <c r="C482" s="2"/>
      <c r="D482" s="2"/>
      <c r="E482" s="2"/>
      <c r="L482" s="2"/>
      <c r="M482" s="2"/>
    </row>
    <row r="483" ht="15.75" customHeight="1">
      <c r="B483" s="2"/>
      <c r="C483" s="2"/>
      <c r="D483" s="2"/>
      <c r="E483" s="2"/>
      <c r="L483" s="2"/>
      <c r="M483" s="2"/>
    </row>
    <row r="484" ht="15.75" customHeight="1">
      <c r="B484" s="2"/>
      <c r="C484" s="2"/>
      <c r="D484" s="2"/>
      <c r="E484" s="2"/>
      <c r="L484" s="2"/>
      <c r="M484" s="2"/>
    </row>
    <row r="485" ht="15.75" customHeight="1">
      <c r="B485" s="2"/>
      <c r="C485" s="2"/>
      <c r="D485" s="2"/>
      <c r="E485" s="2"/>
      <c r="L485" s="2"/>
      <c r="M485" s="2"/>
    </row>
    <row r="486" ht="15.75" customHeight="1">
      <c r="B486" s="2"/>
      <c r="C486" s="2"/>
      <c r="D486" s="2"/>
      <c r="E486" s="2"/>
      <c r="L486" s="2"/>
      <c r="M486" s="2"/>
    </row>
    <row r="487" ht="15.75" customHeight="1">
      <c r="B487" s="2"/>
      <c r="C487" s="2"/>
      <c r="D487" s="2"/>
      <c r="E487" s="2"/>
      <c r="L487" s="2"/>
      <c r="M487" s="2"/>
    </row>
    <row r="488" ht="15.75" customHeight="1">
      <c r="B488" s="2"/>
      <c r="C488" s="2"/>
      <c r="D488" s="2"/>
      <c r="E488" s="2"/>
      <c r="L488" s="2"/>
      <c r="M488" s="2"/>
    </row>
    <row r="489" ht="15.75" customHeight="1">
      <c r="B489" s="2"/>
      <c r="C489" s="2"/>
      <c r="D489" s="2"/>
      <c r="E489" s="2"/>
      <c r="L489" s="2"/>
      <c r="M489" s="2"/>
    </row>
    <row r="490" ht="15.75" customHeight="1">
      <c r="B490" s="2"/>
      <c r="C490" s="2"/>
      <c r="D490" s="2"/>
      <c r="E490" s="2"/>
      <c r="L490" s="2"/>
      <c r="M490" s="2"/>
    </row>
    <row r="491" ht="15.75" customHeight="1">
      <c r="B491" s="2"/>
      <c r="C491" s="2"/>
      <c r="D491" s="2"/>
      <c r="E491" s="2"/>
      <c r="L491" s="2"/>
      <c r="M491" s="2"/>
    </row>
    <row r="492" ht="15.75" customHeight="1">
      <c r="B492" s="2"/>
      <c r="C492" s="2"/>
      <c r="D492" s="2"/>
      <c r="E492" s="2"/>
      <c r="L492" s="2"/>
      <c r="M492" s="2"/>
    </row>
    <row r="493" ht="15.75" customHeight="1">
      <c r="B493" s="2"/>
      <c r="C493" s="2"/>
      <c r="D493" s="2"/>
      <c r="E493" s="2"/>
      <c r="L493" s="2"/>
      <c r="M493" s="2"/>
    </row>
    <row r="494" ht="15.75" customHeight="1">
      <c r="B494" s="2"/>
      <c r="C494" s="2"/>
      <c r="D494" s="2"/>
      <c r="E494" s="2"/>
      <c r="L494" s="2"/>
      <c r="M494" s="2"/>
    </row>
    <row r="495" ht="15.75" customHeight="1">
      <c r="B495" s="2"/>
      <c r="C495" s="2"/>
      <c r="D495" s="2"/>
      <c r="E495" s="2"/>
      <c r="L495" s="2"/>
      <c r="M495" s="2"/>
    </row>
    <row r="496" ht="15.75" customHeight="1">
      <c r="B496" s="2"/>
      <c r="C496" s="2"/>
      <c r="D496" s="2"/>
      <c r="E496" s="2"/>
      <c r="L496" s="2"/>
      <c r="M496" s="2"/>
    </row>
    <row r="497" ht="15.75" customHeight="1">
      <c r="B497" s="2"/>
      <c r="C497" s="2"/>
      <c r="D497" s="2"/>
      <c r="E497" s="2"/>
      <c r="L497" s="2"/>
      <c r="M497" s="2"/>
    </row>
    <row r="498" ht="15.75" customHeight="1">
      <c r="B498" s="2"/>
      <c r="C498" s="2"/>
      <c r="D498" s="2"/>
      <c r="E498" s="2"/>
      <c r="L498" s="2"/>
      <c r="M498" s="2"/>
    </row>
    <row r="499" ht="15.75" customHeight="1">
      <c r="B499" s="2"/>
      <c r="C499" s="2"/>
      <c r="D499" s="2"/>
      <c r="E499" s="2"/>
      <c r="L499" s="2"/>
      <c r="M499" s="2"/>
    </row>
    <row r="500" ht="15.75" customHeight="1">
      <c r="B500" s="2"/>
      <c r="C500" s="2"/>
      <c r="D500" s="2"/>
      <c r="E500" s="2"/>
      <c r="L500" s="2"/>
      <c r="M500" s="2"/>
    </row>
    <row r="501" ht="15.75" customHeight="1">
      <c r="B501" s="2"/>
      <c r="C501" s="2"/>
      <c r="D501" s="2"/>
      <c r="E501" s="2"/>
      <c r="L501" s="2"/>
      <c r="M501" s="2"/>
    </row>
    <row r="502" ht="15.75" customHeight="1">
      <c r="B502" s="2"/>
      <c r="C502" s="2"/>
      <c r="D502" s="2"/>
      <c r="E502" s="2"/>
      <c r="L502" s="2"/>
      <c r="M502" s="2"/>
    </row>
    <row r="503" ht="15.75" customHeight="1">
      <c r="B503" s="2"/>
      <c r="C503" s="2"/>
      <c r="D503" s="2"/>
      <c r="E503" s="2"/>
      <c r="L503" s="2"/>
      <c r="M503" s="2"/>
    </row>
    <row r="504" ht="15.75" customHeight="1">
      <c r="B504" s="2"/>
      <c r="C504" s="2"/>
      <c r="D504" s="2"/>
      <c r="E504" s="2"/>
      <c r="L504" s="2"/>
      <c r="M504" s="2"/>
    </row>
    <row r="505" ht="15.75" customHeight="1">
      <c r="B505" s="2"/>
      <c r="C505" s="2"/>
      <c r="D505" s="2"/>
      <c r="E505" s="2"/>
      <c r="L505" s="2"/>
      <c r="M505" s="2"/>
    </row>
    <row r="506" ht="15.75" customHeight="1">
      <c r="B506" s="2"/>
      <c r="C506" s="2"/>
      <c r="D506" s="2"/>
      <c r="E506" s="2"/>
      <c r="L506" s="2"/>
      <c r="M506" s="2"/>
    </row>
    <row r="507" ht="15.75" customHeight="1">
      <c r="B507" s="2"/>
      <c r="C507" s="2"/>
      <c r="D507" s="2"/>
      <c r="E507" s="2"/>
      <c r="L507" s="2"/>
      <c r="M507" s="2"/>
    </row>
    <row r="508" ht="15.75" customHeight="1">
      <c r="B508" s="2"/>
      <c r="C508" s="2"/>
      <c r="D508" s="2"/>
      <c r="E508" s="2"/>
      <c r="L508" s="2"/>
      <c r="M508" s="2"/>
    </row>
    <row r="509" ht="15.75" customHeight="1">
      <c r="B509" s="2"/>
      <c r="C509" s="2"/>
      <c r="D509" s="2"/>
      <c r="E509" s="2"/>
      <c r="L509" s="2"/>
      <c r="M509" s="2"/>
    </row>
    <row r="510" ht="15.75" customHeight="1">
      <c r="B510" s="2"/>
      <c r="C510" s="2"/>
      <c r="D510" s="2"/>
      <c r="E510" s="2"/>
      <c r="L510" s="2"/>
      <c r="M510" s="2"/>
    </row>
    <row r="511" ht="15.75" customHeight="1">
      <c r="B511" s="2"/>
      <c r="C511" s="2"/>
      <c r="D511" s="2"/>
      <c r="E511" s="2"/>
      <c r="L511" s="2"/>
      <c r="M511" s="2"/>
    </row>
    <row r="512" ht="15.75" customHeight="1">
      <c r="B512" s="2"/>
      <c r="C512" s="2"/>
      <c r="D512" s="2"/>
      <c r="E512" s="2"/>
      <c r="L512" s="2"/>
      <c r="M512" s="2"/>
    </row>
    <row r="513" ht="15.75" customHeight="1">
      <c r="B513" s="2"/>
      <c r="C513" s="2"/>
      <c r="D513" s="2"/>
      <c r="E513" s="2"/>
      <c r="L513" s="2"/>
      <c r="M513" s="2"/>
    </row>
    <row r="514" ht="15.75" customHeight="1">
      <c r="B514" s="2"/>
      <c r="C514" s="2"/>
      <c r="D514" s="2"/>
      <c r="E514" s="2"/>
      <c r="L514" s="2"/>
      <c r="M514" s="2"/>
    </row>
    <row r="515" ht="15.75" customHeight="1">
      <c r="B515" s="2"/>
      <c r="C515" s="2"/>
      <c r="D515" s="2"/>
      <c r="E515" s="2"/>
      <c r="L515" s="2"/>
      <c r="M515" s="2"/>
    </row>
    <row r="516" ht="15.75" customHeight="1">
      <c r="B516" s="2"/>
      <c r="C516" s="2"/>
      <c r="D516" s="2"/>
      <c r="E516" s="2"/>
      <c r="L516" s="2"/>
      <c r="M516" s="2"/>
    </row>
    <row r="517" ht="15.75" customHeight="1">
      <c r="B517" s="2"/>
      <c r="C517" s="2"/>
      <c r="D517" s="2"/>
      <c r="E517" s="2"/>
      <c r="L517" s="2"/>
      <c r="M517" s="2"/>
    </row>
    <row r="518" ht="15.75" customHeight="1">
      <c r="B518" s="2"/>
      <c r="C518" s="2"/>
      <c r="D518" s="2"/>
      <c r="E518" s="2"/>
      <c r="L518" s="2"/>
      <c r="M518" s="2"/>
    </row>
    <row r="519" ht="15.75" customHeight="1">
      <c r="B519" s="2"/>
      <c r="C519" s="2"/>
      <c r="D519" s="2"/>
      <c r="E519" s="2"/>
      <c r="L519" s="2"/>
      <c r="M519" s="2"/>
    </row>
    <row r="520" ht="15.75" customHeight="1">
      <c r="B520" s="2"/>
      <c r="C520" s="2"/>
      <c r="D520" s="2"/>
      <c r="E520" s="2"/>
      <c r="L520" s="2"/>
      <c r="M520" s="2"/>
    </row>
    <row r="521" ht="15.75" customHeight="1">
      <c r="B521" s="2"/>
      <c r="C521" s="2"/>
      <c r="D521" s="2"/>
      <c r="E521" s="2"/>
      <c r="L521" s="2"/>
      <c r="M521" s="2"/>
    </row>
    <row r="522" ht="15.75" customHeight="1">
      <c r="B522" s="2"/>
      <c r="C522" s="2"/>
      <c r="D522" s="2"/>
      <c r="E522" s="2"/>
      <c r="L522" s="2"/>
      <c r="M522" s="2"/>
    </row>
    <row r="523" ht="15.75" customHeight="1">
      <c r="B523" s="2"/>
      <c r="C523" s="2"/>
      <c r="D523" s="2"/>
      <c r="E523" s="2"/>
      <c r="L523" s="2"/>
      <c r="M523" s="2"/>
    </row>
    <row r="524" ht="15.75" customHeight="1">
      <c r="B524" s="2"/>
      <c r="C524" s="2"/>
      <c r="D524" s="2"/>
      <c r="E524" s="2"/>
      <c r="L524" s="2"/>
      <c r="M524" s="2"/>
    </row>
    <row r="525" ht="15.75" customHeight="1">
      <c r="B525" s="2"/>
      <c r="C525" s="2"/>
      <c r="D525" s="2"/>
      <c r="E525" s="2"/>
      <c r="L525" s="2"/>
      <c r="M525" s="2"/>
    </row>
    <row r="526" ht="15.75" customHeight="1">
      <c r="B526" s="2"/>
      <c r="C526" s="2"/>
      <c r="D526" s="2"/>
      <c r="E526" s="2"/>
      <c r="L526" s="2"/>
      <c r="M526" s="2"/>
    </row>
    <row r="527" ht="15.75" customHeight="1">
      <c r="B527" s="2"/>
      <c r="C527" s="2"/>
      <c r="D527" s="2"/>
      <c r="E527" s="2"/>
      <c r="L527" s="2"/>
      <c r="M527" s="2"/>
    </row>
    <row r="528" ht="15.75" customHeight="1">
      <c r="B528" s="2"/>
      <c r="C528" s="2"/>
      <c r="D528" s="2"/>
      <c r="E528" s="2"/>
      <c r="L528" s="2"/>
      <c r="M528" s="2"/>
    </row>
    <row r="529" ht="15.75" customHeight="1">
      <c r="B529" s="2"/>
      <c r="C529" s="2"/>
      <c r="D529" s="2"/>
      <c r="E529" s="2"/>
      <c r="L529" s="2"/>
      <c r="M529" s="2"/>
    </row>
    <row r="530" ht="15.75" customHeight="1">
      <c r="B530" s="2"/>
      <c r="C530" s="2"/>
      <c r="D530" s="2"/>
      <c r="E530" s="2"/>
      <c r="L530" s="2"/>
      <c r="M530" s="2"/>
    </row>
    <row r="531" ht="15.75" customHeight="1">
      <c r="B531" s="2"/>
      <c r="C531" s="2"/>
      <c r="D531" s="2"/>
      <c r="E531" s="2"/>
      <c r="L531" s="2"/>
      <c r="M531" s="2"/>
    </row>
    <row r="532" ht="15.75" customHeight="1">
      <c r="B532" s="2"/>
      <c r="C532" s="2"/>
      <c r="D532" s="2"/>
      <c r="E532" s="2"/>
      <c r="L532" s="2"/>
      <c r="M532" s="2"/>
    </row>
    <row r="533" ht="15.75" customHeight="1">
      <c r="B533" s="2"/>
      <c r="C533" s="2"/>
      <c r="D533" s="2"/>
      <c r="E533" s="2"/>
      <c r="L533" s="2"/>
      <c r="M533" s="2"/>
    </row>
    <row r="534" ht="15.75" customHeight="1">
      <c r="B534" s="2"/>
      <c r="C534" s="2"/>
      <c r="D534" s="2"/>
      <c r="E534" s="2"/>
      <c r="L534" s="2"/>
      <c r="M534" s="2"/>
    </row>
    <row r="535" ht="15.75" customHeight="1">
      <c r="B535" s="2"/>
      <c r="C535" s="2"/>
      <c r="D535" s="2"/>
      <c r="E535" s="2"/>
      <c r="L535" s="2"/>
      <c r="M535" s="2"/>
    </row>
    <row r="536" ht="15.75" customHeight="1">
      <c r="B536" s="2"/>
      <c r="C536" s="2"/>
      <c r="D536" s="2"/>
      <c r="E536" s="2"/>
      <c r="L536" s="2"/>
      <c r="M536" s="2"/>
    </row>
    <row r="537" ht="15.75" customHeight="1">
      <c r="B537" s="2"/>
      <c r="C537" s="2"/>
      <c r="D537" s="2"/>
      <c r="E537" s="2"/>
      <c r="L537" s="2"/>
      <c r="M537" s="2"/>
    </row>
    <row r="538" ht="15.75" customHeight="1">
      <c r="B538" s="2"/>
      <c r="C538" s="2"/>
      <c r="D538" s="2"/>
      <c r="E538" s="2"/>
      <c r="L538" s="2"/>
      <c r="M538" s="2"/>
    </row>
    <row r="539" ht="15.75" customHeight="1">
      <c r="B539" s="2"/>
      <c r="C539" s="2"/>
      <c r="D539" s="2"/>
      <c r="E539" s="2"/>
      <c r="L539" s="2"/>
      <c r="M539" s="2"/>
    </row>
    <row r="540" ht="15.75" customHeight="1">
      <c r="B540" s="2"/>
      <c r="C540" s="2"/>
      <c r="D540" s="2"/>
      <c r="E540" s="2"/>
      <c r="L540" s="2"/>
      <c r="M540" s="2"/>
    </row>
    <row r="541" ht="15.75" customHeight="1">
      <c r="B541" s="2"/>
      <c r="C541" s="2"/>
      <c r="D541" s="2"/>
      <c r="E541" s="2"/>
      <c r="L541" s="2"/>
      <c r="M541" s="2"/>
    </row>
    <row r="542" ht="15.75" customHeight="1">
      <c r="B542" s="2"/>
      <c r="C542" s="2"/>
      <c r="D542" s="2"/>
      <c r="E542" s="2"/>
      <c r="L542" s="2"/>
      <c r="M542" s="2"/>
    </row>
    <row r="543" ht="15.75" customHeight="1">
      <c r="B543" s="2"/>
      <c r="C543" s="2"/>
      <c r="D543" s="2"/>
      <c r="E543" s="2"/>
      <c r="L543" s="2"/>
      <c r="M543" s="2"/>
    </row>
    <row r="544" ht="15.75" customHeight="1">
      <c r="B544" s="2"/>
      <c r="C544" s="2"/>
      <c r="D544" s="2"/>
      <c r="E544" s="2"/>
      <c r="L544" s="2"/>
      <c r="M544" s="2"/>
    </row>
    <row r="545" ht="15.75" customHeight="1">
      <c r="B545" s="2"/>
      <c r="C545" s="2"/>
      <c r="D545" s="2"/>
      <c r="E545" s="2"/>
      <c r="L545" s="2"/>
      <c r="M545" s="2"/>
    </row>
    <row r="546" ht="15.75" customHeight="1">
      <c r="B546" s="2"/>
      <c r="C546" s="2"/>
      <c r="D546" s="2"/>
      <c r="E546" s="2"/>
      <c r="L546" s="2"/>
      <c r="M546" s="2"/>
    </row>
    <row r="547" ht="15.75" customHeight="1">
      <c r="B547" s="2"/>
      <c r="C547" s="2"/>
      <c r="D547" s="2"/>
      <c r="E547" s="2"/>
      <c r="L547" s="2"/>
      <c r="M547" s="2"/>
    </row>
    <row r="548" ht="15.75" customHeight="1">
      <c r="B548" s="2"/>
      <c r="C548" s="2"/>
      <c r="D548" s="2"/>
      <c r="E548" s="2"/>
      <c r="L548" s="2"/>
      <c r="M548" s="2"/>
    </row>
    <row r="549" ht="15.75" customHeight="1">
      <c r="B549" s="2"/>
      <c r="C549" s="2"/>
      <c r="D549" s="2"/>
      <c r="E549" s="2"/>
      <c r="L549" s="2"/>
      <c r="M549" s="2"/>
    </row>
    <row r="550" ht="15.75" customHeight="1">
      <c r="B550" s="2"/>
      <c r="C550" s="2"/>
      <c r="D550" s="2"/>
      <c r="E550" s="2"/>
      <c r="L550" s="2"/>
      <c r="M550" s="2"/>
    </row>
    <row r="551" ht="15.75" customHeight="1">
      <c r="B551" s="2"/>
      <c r="C551" s="2"/>
      <c r="D551" s="2"/>
      <c r="E551" s="2"/>
      <c r="L551" s="2"/>
      <c r="M551" s="2"/>
    </row>
    <row r="552" ht="15.75" customHeight="1">
      <c r="B552" s="2"/>
      <c r="C552" s="2"/>
      <c r="D552" s="2"/>
      <c r="E552" s="2"/>
      <c r="L552" s="2"/>
      <c r="M552" s="2"/>
    </row>
    <row r="553" ht="15.75" customHeight="1">
      <c r="B553" s="2"/>
      <c r="C553" s="2"/>
      <c r="D553" s="2"/>
      <c r="E553" s="2"/>
      <c r="L553" s="2"/>
      <c r="M553" s="2"/>
    </row>
    <row r="554" ht="15.75" customHeight="1">
      <c r="B554" s="2"/>
      <c r="C554" s="2"/>
      <c r="D554" s="2"/>
      <c r="E554" s="2"/>
      <c r="L554" s="2"/>
      <c r="M554" s="2"/>
    </row>
    <row r="555" ht="15.75" customHeight="1">
      <c r="B555" s="2"/>
      <c r="C555" s="2"/>
      <c r="D555" s="2"/>
      <c r="E555" s="2"/>
      <c r="L555" s="2"/>
      <c r="M555" s="2"/>
    </row>
    <row r="556" ht="15.75" customHeight="1">
      <c r="B556" s="2"/>
      <c r="C556" s="2"/>
      <c r="D556" s="2"/>
      <c r="E556" s="2"/>
      <c r="L556" s="2"/>
      <c r="M556" s="2"/>
    </row>
    <row r="557" ht="15.75" customHeight="1">
      <c r="B557" s="2"/>
      <c r="C557" s="2"/>
      <c r="D557" s="2"/>
      <c r="E557" s="2"/>
      <c r="L557" s="2"/>
      <c r="M557" s="2"/>
    </row>
    <row r="558" ht="15.75" customHeight="1">
      <c r="B558" s="2"/>
      <c r="C558" s="2"/>
      <c r="D558" s="2"/>
      <c r="E558" s="2"/>
      <c r="L558" s="2"/>
      <c r="M558" s="2"/>
    </row>
    <row r="559" ht="15.75" customHeight="1">
      <c r="B559" s="2"/>
      <c r="C559" s="2"/>
      <c r="D559" s="2"/>
      <c r="E559" s="2"/>
      <c r="L559" s="2"/>
      <c r="M559" s="2"/>
    </row>
    <row r="560" ht="15.75" customHeight="1">
      <c r="B560" s="2"/>
      <c r="C560" s="2"/>
      <c r="D560" s="2"/>
      <c r="E560" s="2"/>
      <c r="L560" s="2"/>
      <c r="M560" s="2"/>
    </row>
    <row r="561" ht="15.75" customHeight="1">
      <c r="B561" s="2"/>
      <c r="C561" s="2"/>
      <c r="D561" s="2"/>
      <c r="E561" s="2"/>
      <c r="L561" s="2"/>
      <c r="M561" s="2"/>
    </row>
    <row r="562" ht="15.75" customHeight="1">
      <c r="B562" s="2"/>
      <c r="C562" s="2"/>
      <c r="D562" s="2"/>
      <c r="E562" s="2"/>
      <c r="L562" s="2"/>
      <c r="M562" s="2"/>
    </row>
    <row r="563" ht="15.75" customHeight="1">
      <c r="B563" s="2"/>
      <c r="C563" s="2"/>
      <c r="D563" s="2"/>
      <c r="E563" s="2"/>
      <c r="L563" s="2"/>
      <c r="M563" s="2"/>
    </row>
    <row r="564" ht="15.75" customHeight="1">
      <c r="B564" s="2"/>
      <c r="C564" s="2"/>
      <c r="D564" s="2"/>
      <c r="E564" s="2"/>
      <c r="L564" s="2"/>
      <c r="M564" s="2"/>
    </row>
    <row r="565" ht="15.75" customHeight="1">
      <c r="B565" s="2"/>
      <c r="C565" s="2"/>
      <c r="D565" s="2"/>
      <c r="E565" s="2"/>
      <c r="L565" s="2"/>
      <c r="M565" s="2"/>
    </row>
    <row r="566" ht="15.75" customHeight="1">
      <c r="B566" s="2"/>
      <c r="C566" s="2"/>
      <c r="D566" s="2"/>
      <c r="E566" s="2"/>
      <c r="L566" s="2"/>
      <c r="M566" s="2"/>
    </row>
    <row r="567" ht="15.75" customHeight="1">
      <c r="B567" s="2"/>
      <c r="C567" s="2"/>
      <c r="D567" s="2"/>
      <c r="E567" s="2"/>
      <c r="L567" s="2"/>
      <c r="M567" s="2"/>
    </row>
    <row r="568" ht="15.75" customHeight="1">
      <c r="B568" s="2"/>
      <c r="C568" s="2"/>
      <c r="D568" s="2"/>
      <c r="E568" s="2"/>
      <c r="L568" s="2"/>
      <c r="M568" s="2"/>
    </row>
    <row r="569" ht="15.75" customHeight="1">
      <c r="B569" s="2"/>
      <c r="C569" s="2"/>
      <c r="D569" s="2"/>
      <c r="E569" s="2"/>
      <c r="L569" s="2"/>
      <c r="M569" s="2"/>
    </row>
    <row r="570" ht="15.75" customHeight="1">
      <c r="B570" s="2"/>
      <c r="C570" s="2"/>
      <c r="D570" s="2"/>
      <c r="E570" s="2"/>
      <c r="L570" s="2"/>
      <c r="M570" s="2"/>
    </row>
    <row r="571" ht="15.75" customHeight="1">
      <c r="B571" s="2"/>
      <c r="C571" s="2"/>
      <c r="D571" s="2"/>
      <c r="E571" s="2"/>
      <c r="L571" s="2"/>
      <c r="M571" s="2"/>
    </row>
    <row r="572" ht="15.75" customHeight="1">
      <c r="B572" s="2"/>
      <c r="C572" s="2"/>
      <c r="D572" s="2"/>
      <c r="E572" s="2"/>
      <c r="L572" s="2"/>
      <c r="M572" s="2"/>
    </row>
    <row r="573" ht="15.75" customHeight="1">
      <c r="B573" s="2"/>
      <c r="C573" s="2"/>
      <c r="D573" s="2"/>
      <c r="E573" s="2"/>
      <c r="L573" s="2"/>
      <c r="M573" s="2"/>
    </row>
    <row r="574" ht="15.75" customHeight="1">
      <c r="B574" s="2"/>
      <c r="C574" s="2"/>
      <c r="D574" s="2"/>
      <c r="E574" s="2"/>
      <c r="L574" s="2"/>
      <c r="M574" s="2"/>
    </row>
    <row r="575" ht="15.75" customHeight="1">
      <c r="B575" s="2"/>
      <c r="C575" s="2"/>
      <c r="D575" s="2"/>
      <c r="E575" s="2"/>
      <c r="L575" s="2"/>
      <c r="M575" s="2"/>
    </row>
    <row r="576" ht="15.75" customHeight="1">
      <c r="B576" s="2"/>
      <c r="C576" s="2"/>
      <c r="D576" s="2"/>
      <c r="E576" s="2"/>
      <c r="L576" s="2"/>
      <c r="M576" s="2"/>
    </row>
    <row r="577" ht="15.75" customHeight="1">
      <c r="B577" s="2"/>
      <c r="C577" s="2"/>
      <c r="D577" s="2"/>
      <c r="E577" s="2"/>
      <c r="L577" s="2"/>
      <c r="M577" s="2"/>
    </row>
    <row r="578" ht="15.75" customHeight="1">
      <c r="B578" s="2"/>
      <c r="C578" s="2"/>
      <c r="D578" s="2"/>
      <c r="E578" s="2"/>
      <c r="L578" s="2"/>
      <c r="M578" s="2"/>
    </row>
    <row r="579" ht="15.75" customHeight="1">
      <c r="B579" s="2"/>
      <c r="C579" s="2"/>
      <c r="D579" s="2"/>
      <c r="E579" s="2"/>
      <c r="L579" s="2"/>
      <c r="M579" s="2"/>
    </row>
    <row r="580" ht="15.75" customHeight="1">
      <c r="B580" s="2"/>
      <c r="C580" s="2"/>
      <c r="D580" s="2"/>
      <c r="E580" s="2"/>
      <c r="L580" s="2"/>
      <c r="M580" s="2"/>
    </row>
    <row r="581" ht="15.75" customHeight="1">
      <c r="B581" s="2"/>
      <c r="C581" s="2"/>
      <c r="D581" s="2"/>
      <c r="E581" s="2"/>
      <c r="L581" s="2"/>
      <c r="M581" s="2"/>
    </row>
    <row r="582" ht="15.75" customHeight="1">
      <c r="B582" s="2"/>
      <c r="C582" s="2"/>
      <c r="D582" s="2"/>
      <c r="E582" s="2"/>
      <c r="L582" s="2"/>
      <c r="M582" s="2"/>
    </row>
    <row r="583" ht="15.75" customHeight="1">
      <c r="B583" s="2"/>
      <c r="C583" s="2"/>
      <c r="D583" s="2"/>
      <c r="E583" s="2"/>
      <c r="L583" s="2"/>
      <c r="M583" s="2"/>
    </row>
    <row r="584" ht="15.75" customHeight="1">
      <c r="B584" s="2"/>
      <c r="C584" s="2"/>
      <c r="D584" s="2"/>
      <c r="E584" s="2"/>
      <c r="L584" s="2"/>
      <c r="M584" s="2"/>
    </row>
    <row r="585" ht="15.75" customHeight="1">
      <c r="B585" s="2"/>
      <c r="C585" s="2"/>
      <c r="D585" s="2"/>
      <c r="E585" s="2"/>
      <c r="L585" s="2"/>
      <c r="M585" s="2"/>
    </row>
    <row r="586" ht="15.75" customHeight="1">
      <c r="B586" s="2"/>
      <c r="C586" s="2"/>
      <c r="D586" s="2"/>
      <c r="E586" s="2"/>
      <c r="L586" s="2"/>
      <c r="M586" s="2"/>
    </row>
    <row r="587" ht="15.75" customHeight="1">
      <c r="B587" s="2"/>
      <c r="C587" s="2"/>
      <c r="D587" s="2"/>
      <c r="E587" s="2"/>
      <c r="L587" s="2"/>
      <c r="M587" s="2"/>
    </row>
    <row r="588" ht="15.75" customHeight="1">
      <c r="B588" s="2"/>
      <c r="C588" s="2"/>
      <c r="D588" s="2"/>
      <c r="E588" s="2"/>
      <c r="L588" s="2"/>
      <c r="M588" s="2"/>
    </row>
    <row r="589" ht="15.75" customHeight="1">
      <c r="B589" s="2"/>
      <c r="C589" s="2"/>
      <c r="D589" s="2"/>
      <c r="E589" s="2"/>
      <c r="L589" s="2"/>
      <c r="M589" s="2"/>
    </row>
    <row r="590" ht="15.75" customHeight="1">
      <c r="B590" s="2"/>
      <c r="C590" s="2"/>
      <c r="D590" s="2"/>
      <c r="E590" s="2"/>
      <c r="L590" s="2"/>
      <c r="M590" s="2"/>
    </row>
    <row r="591" ht="15.75" customHeight="1">
      <c r="B591" s="2"/>
      <c r="C591" s="2"/>
      <c r="D591" s="2"/>
      <c r="E591" s="2"/>
      <c r="L591" s="2"/>
      <c r="M591" s="2"/>
    </row>
    <row r="592" ht="15.75" customHeight="1">
      <c r="B592" s="2"/>
      <c r="C592" s="2"/>
      <c r="D592" s="2"/>
      <c r="E592" s="2"/>
      <c r="L592" s="2"/>
      <c r="M592" s="2"/>
    </row>
    <row r="593" ht="15.75" customHeight="1">
      <c r="B593" s="2"/>
      <c r="C593" s="2"/>
      <c r="D593" s="2"/>
      <c r="E593" s="2"/>
      <c r="L593" s="2"/>
      <c r="M593" s="2"/>
    </row>
    <row r="594" ht="15.75" customHeight="1">
      <c r="B594" s="2"/>
      <c r="C594" s="2"/>
      <c r="D594" s="2"/>
      <c r="E594" s="2"/>
      <c r="L594" s="2"/>
      <c r="M594" s="2"/>
    </row>
    <row r="595" ht="15.75" customHeight="1">
      <c r="B595" s="2"/>
      <c r="C595" s="2"/>
      <c r="D595" s="2"/>
      <c r="E595" s="2"/>
      <c r="L595" s="2"/>
      <c r="M595" s="2"/>
    </row>
    <row r="596" ht="15.75" customHeight="1">
      <c r="B596" s="2"/>
      <c r="C596" s="2"/>
      <c r="D596" s="2"/>
      <c r="E596" s="2"/>
      <c r="L596" s="2"/>
      <c r="M596" s="2"/>
    </row>
    <row r="597" ht="15.75" customHeight="1">
      <c r="B597" s="2"/>
      <c r="C597" s="2"/>
      <c r="D597" s="2"/>
      <c r="E597" s="2"/>
      <c r="L597" s="2"/>
      <c r="M597" s="2"/>
    </row>
    <row r="598" ht="15.75" customHeight="1">
      <c r="B598" s="2"/>
      <c r="C598" s="2"/>
      <c r="D598" s="2"/>
      <c r="E598" s="2"/>
      <c r="L598" s="2"/>
      <c r="M598" s="2"/>
    </row>
    <row r="599" ht="15.75" customHeight="1">
      <c r="B599" s="2"/>
      <c r="C599" s="2"/>
      <c r="D599" s="2"/>
      <c r="E599" s="2"/>
      <c r="L599" s="2"/>
      <c r="M599" s="2"/>
    </row>
    <row r="600" ht="15.75" customHeight="1">
      <c r="B600" s="2"/>
      <c r="C600" s="2"/>
      <c r="D600" s="2"/>
      <c r="E600" s="2"/>
      <c r="L600" s="2"/>
      <c r="M600" s="2"/>
    </row>
    <row r="601" ht="15.75" customHeight="1">
      <c r="B601" s="2"/>
      <c r="C601" s="2"/>
      <c r="D601" s="2"/>
      <c r="E601" s="2"/>
      <c r="L601" s="2"/>
      <c r="M601" s="2"/>
    </row>
    <row r="602" ht="15.75" customHeight="1">
      <c r="B602" s="2"/>
      <c r="C602" s="2"/>
      <c r="D602" s="2"/>
      <c r="E602" s="2"/>
      <c r="L602" s="2"/>
      <c r="M602" s="2"/>
    </row>
    <row r="603" ht="15.75" customHeight="1">
      <c r="B603" s="2"/>
      <c r="C603" s="2"/>
      <c r="D603" s="2"/>
      <c r="E603" s="2"/>
      <c r="L603" s="2"/>
      <c r="M603" s="2"/>
    </row>
    <row r="604" ht="15.75" customHeight="1">
      <c r="B604" s="2"/>
      <c r="C604" s="2"/>
      <c r="D604" s="2"/>
      <c r="E604" s="2"/>
      <c r="L604" s="2"/>
      <c r="M604" s="2"/>
    </row>
    <row r="605" ht="15.75" customHeight="1">
      <c r="B605" s="2"/>
      <c r="C605" s="2"/>
      <c r="D605" s="2"/>
      <c r="E605" s="2"/>
      <c r="L605" s="2"/>
      <c r="M605" s="2"/>
    </row>
    <row r="606" ht="15.75" customHeight="1">
      <c r="B606" s="2"/>
      <c r="C606" s="2"/>
      <c r="D606" s="2"/>
      <c r="E606" s="2"/>
      <c r="L606" s="2"/>
      <c r="M606" s="2"/>
    </row>
    <row r="607" ht="15.75" customHeight="1">
      <c r="B607" s="2"/>
      <c r="C607" s="2"/>
      <c r="D607" s="2"/>
      <c r="E607" s="2"/>
      <c r="L607" s="2"/>
      <c r="M607" s="2"/>
    </row>
    <row r="608" ht="15.75" customHeight="1">
      <c r="B608" s="2"/>
      <c r="C608" s="2"/>
      <c r="D608" s="2"/>
      <c r="E608" s="2"/>
      <c r="L608" s="2"/>
      <c r="M608" s="2"/>
    </row>
    <row r="609" ht="15.75" customHeight="1">
      <c r="B609" s="2"/>
      <c r="C609" s="2"/>
      <c r="D609" s="2"/>
      <c r="E609" s="2"/>
      <c r="L609" s="2"/>
      <c r="M609" s="2"/>
    </row>
    <row r="610" ht="15.75" customHeight="1">
      <c r="B610" s="2"/>
      <c r="C610" s="2"/>
      <c r="D610" s="2"/>
      <c r="E610" s="2"/>
      <c r="L610" s="2"/>
      <c r="M610" s="2"/>
    </row>
    <row r="611" ht="15.75" customHeight="1">
      <c r="B611" s="2"/>
      <c r="C611" s="2"/>
      <c r="D611" s="2"/>
      <c r="E611" s="2"/>
      <c r="L611" s="2"/>
      <c r="M611" s="2"/>
    </row>
    <row r="612" ht="15.75" customHeight="1">
      <c r="B612" s="2"/>
      <c r="C612" s="2"/>
      <c r="D612" s="2"/>
      <c r="E612" s="2"/>
      <c r="L612" s="2"/>
      <c r="M612" s="2"/>
    </row>
    <row r="613" ht="15.75" customHeight="1">
      <c r="B613" s="2"/>
      <c r="C613" s="2"/>
      <c r="D613" s="2"/>
      <c r="E613" s="2"/>
      <c r="L613" s="2"/>
      <c r="M613" s="2"/>
    </row>
    <row r="614" ht="15.75" customHeight="1">
      <c r="B614" s="2"/>
      <c r="C614" s="2"/>
      <c r="D614" s="2"/>
      <c r="E614" s="2"/>
      <c r="L614" s="2"/>
      <c r="M614" s="2"/>
    </row>
    <row r="615" ht="15.75" customHeight="1">
      <c r="B615" s="2"/>
      <c r="C615" s="2"/>
      <c r="D615" s="2"/>
      <c r="E615" s="2"/>
      <c r="L615" s="2"/>
      <c r="M615" s="2"/>
    </row>
    <row r="616" ht="15.75" customHeight="1">
      <c r="B616" s="2"/>
      <c r="C616" s="2"/>
      <c r="D616" s="2"/>
      <c r="E616" s="2"/>
      <c r="L616" s="2"/>
      <c r="M616" s="2"/>
    </row>
    <row r="617" ht="15.75" customHeight="1">
      <c r="B617" s="2"/>
      <c r="C617" s="2"/>
      <c r="D617" s="2"/>
      <c r="E617" s="2"/>
      <c r="L617" s="2"/>
      <c r="M617" s="2"/>
    </row>
    <row r="618" ht="15.75" customHeight="1">
      <c r="B618" s="2"/>
      <c r="C618" s="2"/>
      <c r="D618" s="2"/>
      <c r="E618" s="2"/>
      <c r="L618" s="2"/>
      <c r="M618" s="2"/>
    </row>
    <row r="619" ht="15.75" customHeight="1">
      <c r="B619" s="2"/>
      <c r="C619" s="2"/>
      <c r="D619" s="2"/>
      <c r="E619" s="2"/>
      <c r="L619" s="2"/>
      <c r="M619" s="2"/>
    </row>
    <row r="620" ht="15.75" customHeight="1">
      <c r="B620" s="2"/>
      <c r="C620" s="2"/>
      <c r="D620" s="2"/>
      <c r="E620" s="2"/>
      <c r="L620" s="2"/>
      <c r="M620" s="2"/>
    </row>
    <row r="621" ht="15.75" customHeight="1">
      <c r="B621" s="2"/>
      <c r="C621" s="2"/>
      <c r="D621" s="2"/>
      <c r="E621" s="2"/>
      <c r="L621" s="2"/>
      <c r="M621" s="2"/>
    </row>
    <row r="622" ht="15.75" customHeight="1">
      <c r="B622" s="2"/>
      <c r="C622" s="2"/>
      <c r="D622" s="2"/>
      <c r="E622" s="2"/>
      <c r="L622" s="2"/>
      <c r="M622" s="2"/>
    </row>
    <row r="623" ht="15.75" customHeight="1">
      <c r="B623" s="2"/>
      <c r="C623" s="2"/>
      <c r="D623" s="2"/>
      <c r="E623" s="2"/>
      <c r="L623" s="2"/>
      <c r="M623" s="2"/>
    </row>
    <row r="624" ht="15.75" customHeight="1">
      <c r="B624" s="2"/>
      <c r="C624" s="2"/>
      <c r="D624" s="2"/>
      <c r="E624" s="2"/>
      <c r="L624" s="2"/>
      <c r="M624" s="2"/>
    </row>
    <row r="625" ht="15.75" customHeight="1">
      <c r="B625" s="2"/>
      <c r="C625" s="2"/>
      <c r="D625" s="2"/>
      <c r="E625" s="2"/>
      <c r="L625" s="2"/>
      <c r="M625" s="2"/>
    </row>
    <row r="626" ht="15.75" customHeight="1">
      <c r="B626" s="2"/>
      <c r="C626" s="2"/>
      <c r="D626" s="2"/>
      <c r="E626" s="2"/>
      <c r="L626" s="2"/>
      <c r="M626" s="2"/>
    </row>
    <row r="627" ht="15.75" customHeight="1">
      <c r="B627" s="2"/>
      <c r="C627" s="2"/>
      <c r="D627" s="2"/>
      <c r="E627" s="2"/>
      <c r="L627" s="2"/>
      <c r="M627" s="2"/>
    </row>
    <row r="628" ht="15.75" customHeight="1">
      <c r="B628" s="2"/>
      <c r="C628" s="2"/>
      <c r="D628" s="2"/>
      <c r="E628" s="2"/>
      <c r="L628" s="2"/>
      <c r="M628" s="2"/>
    </row>
    <row r="629" ht="15.75" customHeight="1">
      <c r="B629" s="2"/>
      <c r="C629" s="2"/>
      <c r="D629" s="2"/>
      <c r="E629" s="2"/>
      <c r="L629" s="2"/>
      <c r="M629" s="2"/>
    </row>
    <row r="630" ht="15.75" customHeight="1">
      <c r="B630" s="2"/>
      <c r="C630" s="2"/>
      <c r="D630" s="2"/>
      <c r="E630" s="2"/>
      <c r="L630" s="2"/>
      <c r="M630" s="2"/>
    </row>
    <row r="631" ht="15.75" customHeight="1">
      <c r="B631" s="2"/>
      <c r="C631" s="2"/>
      <c r="D631" s="2"/>
      <c r="E631" s="2"/>
      <c r="L631" s="2"/>
      <c r="M631" s="2"/>
    </row>
    <row r="632" ht="15.75" customHeight="1">
      <c r="B632" s="2"/>
      <c r="C632" s="2"/>
      <c r="D632" s="2"/>
      <c r="E632" s="2"/>
      <c r="L632" s="2"/>
      <c r="M632" s="2"/>
    </row>
    <row r="633" ht="15.75" customHeight="1">
      <c r="B633" s="2"/>
      <c r="C633" s="2"/>
      <c r="D633" s="2"/>
      <c r="E633" s="2"/>
      <c r="L633" s="2"/>
      <c r="M633" s="2"/>
    </row>
    <row r="634" ht="15.75" customHeight="1">
      <c r="B634" s="2"/>
      <c r="C634" s="2"/>
      <c r="D634" s="2"/>
      <c r="E634" s="2"/>
      <c r="L634" s="2"/>
      <c r="M634" s="2"/>
    </row>
    <row r="635" ht="15.75" customHeight="1">
      <c r="B635" s="2"/>
      <c r="C635" s="2"/>
      <c r="D635" s="2"/>
      <c r="E635" s="2"/>
      <c r="L635" s="2"/>
      <c r="M635" s="2"/>
    </row>
    <row r="636" ht="15.75" customHeight="1">
      <c r="B636" s="2"/>
      <c r="C636" s="2"/>
      <c r="D636" s="2"/>
      <c r="E636" s="2"/>
      <c r="L636" s="2"/>
      <c r="M636" s="2"/>
    </row>
    <row r="637" ht="15.75" customHeight="1">
      <c r="B637" s="2"/>
      <c r="C637" s="2"/>
      <c r="D637" s="2"/>
      <c r="E637" s="2"/>
      <c r="L637" s="2"/>
      <c r="M637" s="2"/>
    </row>
    <row r="638" ht="15.75" customHeight="1">
      <c r="B638" s="2"/>
      <c r="C638" s="2"/>
      <c r="D638" s="2"/>
      <c r="E638" s="2"/>
      <c r="L638" s="2"/>
      <c r="M638" s="2"/>
    </row>
    <row r="639" ht="15.75" customHeight="1">
      <c r="B639" s="2"/>
      <c r="C639" s="2"/>
      <c r="D639" s="2"/>
      <c r="E639" s="2"/>
      <c r="L639" s="2"/>
      <c r="M639" s="2"/>
    </row>
    <row r="640" ht="15.75" customHeight="1">
      <c r="B640" s="2"/>
      <c r="C640" s="2"/>
      <c r="D640" s="2"/>
      <c r="E640" s="2"/>
      <c r="L640" s="2"/>
      <c r="M640" s="2"/>
    </row>
    <row r="641" ht="15.75" customHeight="1">
      <c r="B641" s="2"/>
      <c r="C641" s="2"/>
      <c r="D641" s="2"/>
      <c r="E641" s="2"/>
      <c r="L641" s="2"/>
      <c r="M641" s="2"/>
    </row>
    <row r="642" ht="15.75" customHeight="1">
      <c r="B642" s="2"/>
      <c r="C642" s="2"/>
      <c r="D642" s="2"/>
      <c r="E642" s="2"/>
      <c r="L642" s="2"/>
      <c r="M642" s="2"/>
    </row>
    <row r="643" ht="15.75" customHeight="1">
      <c r="B643" s="2"/>
      <c r="C643" s="2"/>
      <c r="D643" s="2"/>
      <c r="E643" s="2"/>
      <c r="L643" s="2"/>
      <c r="M643" s="2"/>
    </row>
    <row r="644" ht="15.75" customHeight="1">
      <c r="B644" s="2"/>
      <c r="C644" s="2"/>
      <c r="D644" s="2"/>
      <c r="E644" s="2"/>
      <c r="L644" s="2"/>
      <c r="M644" s="2"/>
    </row>
    <row r="645" ht="15.75" customHeight="1">
      <c r="B645" s="2"/>
      <c r="C645" s="2"/>
      <c r="D645" s="2"/>
      <c r="E645" s="2"/>
      <c r="L645" s="2"/>
      <c r="M645" s="2"/>
    </row>
    <row r="646" ht="15.75" customHeight="1">
      <c r="B646" s="2"/>
      <c r="C646" s="2"/>
      <c r="D646" s="2"/>
      <c r="E646" s="2"/>
      <c r="L646" s="2"/>
      <c r="M646" s="2"/>
    </row>
    <row r="647" ht="15.75" customHeight="1">
      <c r="B647" s="2"/>
      <c r="C647" s="2"/>
      <c r="D647" s="2"/>
      <c r="E647" s="2"/>
      <c r="L647" s="2"/>
      <c r="M647" s="2"/>
    </row>
    <row r="648" ht="15.75" customHeight="1">
      <c r="B648" s="2"/>
      <c r="C648" s="2"/>
      <c r="D648" s="2"/>
      <c r="E648" s="2"/>
      <c r="L648" s="2"/>
      <c r="M648" s="2"/>
    </row>
    <row r="649" ht="15.75" customHeight="1">
      <c r="B649" s="2"/>
      <c r="C649" s="2"/>
      <c r="D649" s="2"/>
      <c r="E649" s="2"/>
      <c r="L649" s="2"/>
      <c r="M649" s="2"/>
    </row>
    <row r="650" ht="15.75" customHeight="1">
      <c r="B650" s="2"/>
      <c r="C650" s="2"/>
      <c r="D650" s="2"/>
      <c r="E650" s="2"/>
      <c r="L650" s="2"/>
      <c r="M650" s="2"/>
    </row>
    <row r="651" ht="15.75" customHeight="1">
      <c r="B651" s="2"/>
      <c r="C651" s="2"/>
      <c r="D651" s="2"/>
      <c r="E651" s="2"/>
      <c r="L651" s="2"/>
      <c r="M651" s="2"/>
    </row>
    <row r="652" ht="15.75" customHeight="1">
      <c r="B652" s="2"/>
      <c r="C652" s="2"/>
      <c r="D652" s="2"/>
      <c r="E652" s="2"/>
      <c r="L652" s="2"/>
      <c r="M652" s="2"/>
    </row>
    <row r="653" ht="15.75" customHeight="1">
      <c r="B653" s="2"/>
      <c r="C653" s="2"/>
      <c r="D653" s="2"/>
      <c r="E653" s="2"/>
      <c r="L653" s="2"/>
      <c r="M653" s="2"/>
    </row>
    <row r="654" ht="15.75" customHeight="1">
      <c r="B654" s="2"/>
      <c r="C654" s="2"/>
      <c r="D654" s="2"/>
      <c r="E654" s="2"/>
      <c r="L654" s="2"/>
      <c r="M654" s="2"/>
    </row>
    <row r="655" ht="15.75" customHeight="1">
      <c r="B655" s="2"/>
      <c r="C655" s="2"/>
      <c r="D655" s="2"/>
      <c r="E655" s="2"/>
      <c r="L655" s="2"/>
      <c r="M655" s="2"/>
    </row>
    <row r="656" ht="15.75" customHeight="1">
      <c r="B656" s="2"/>
      <c r="C656" s="2"/>
      <c r="D656" s="2"/>
      <c r="E656" s="2"/>
      <c r="L656" s="2"/>
      <c r="M656" s="2"/>
    </row>
    <row r="657" ht="15.75" customHeight="1">
      <c r="B657" s="2"/>
      <c r="C657" s="2"/>
      <c r="D657" s="2"/>
      <c r="E657" s="2"/>
      <c r="L657" s="2"/>
      <c r="M657" s="2"/>
    </row>
    <row r="658" ht="15.75" customHeight="1">
      <c r="B658" s="2"/>
      <c r="C658" s="2"/>
      <c r="D658" s="2"/>
      <c r="E658" s="2"/>
      <c r="L658" s="2"/>
      <c r="M658" s="2"/>
    </row>
    <row r="659" ht="15.75" customHeight="1">
      <c r="B659" s="2"/>
      <c r="C659" s="2"/>
      <c r="D659" s="2"/>
      <c r="E659" s="2"/>
      <c r="L659" s="2"/>
      <c r="M659" s="2"/>
    </row>
    <row r="660" ht="15.75" customHeight="1">
      <c r="B660" s="2"/>
      <c r="C660" s="2"/>
      <c r="D660" s="2"/>
      <c r="E660" s="2"/>
      <c r="L660" s="2"/>
      <c r="M660" s="2"/>
    </row>
    <row r="661" ht="15.75" customHeight="1">
      <c r="B661" s="2"/>
      <c r="C661" s="2"/>
      <c r="D661" s="2"/>
      <c r="E661" s="2"/>
      <c r="L661" s="2"/>
      <c r="M661" s="2"/>
    </row>
    <row r="662" ht="15.75" customHeight="1">
      <c r="B662" s="2"/>
      <c r="C662" s="2"/>
      <c r="D662" s="2"/>
      <c r="E662" s="2"/>
      <c r="L662" s="2"/>
      <c r="M662" s="2"/>
    </row>
    <row r="663" ht="15.75" customHeight="1">
      <c r="B663" s="2"/>
      <c r="C663" s="2"/>
      <c r="D663" s="2"/>
      <c r="E663" s="2"/>
      <c r="L663" s="2"/>
      <c r="M663" s="2"/>
    </row>
    <row r="664" ht="15.75" customHeight="1">
      <c r="B664" s="2"/>
      <c r="C664" s="2"/>
      <c r="D664" s="2"/>
      <c r="E664" s="2"/>
      <c r="L664" s="2"/>
      <c r="M664" s="2"/>
    </row>
    <row r="665" ht="15.75" customHeight="1">
      <c r="B665" s="2"/>
      <c r="C665" s="2"/>
      <c r="D665" s="2"/>
      <c r="E665" s="2"/>
      <c r="L665" s="2"/>
      <c r="M665" s="2"/>
    </row>
    <row r="666" ht="15.75" customHeight="1">
      <c r="B666" s="2"/>
      <c r="C666" s="2"/>
      <c r="D666" s="2"/>
      <c r="E666" s="2"/>
      <c r="L666" s="2"/>
      <c r="M666" s="2"/>
    </row>
    <row r="667" ht="15.75" customHeight="1">
      <c r="B667" s="2"/>
      <c r="C667" s="2"/>
      <c r="D667" s="2"/>
      <c r="E667" s="2"/>
      <c r="L667" s="2"/>
      <c r="M667" s="2"/>
    </row>
    <row r="668" ht="15.75" customHeight="1">
      <c r="B668" s="2"/>
      <c r="C668" s="2"/>
      <c r="D668" s="2"/>
      <c r="E668" s="2"/>
      <c r="L668" s="2"/>
      <c r="M668" s="2"/>
    </row>
    <row r="669" ht="15.75" customHeight="1">
      <c r="B669" s="2"/>
      <c r="C669" s="2"/>
      <c r="D669" s="2"/>
      <c r="E669" s="2"/>
      <c r="L669" s="2"/>
      <c r="M669" s="2"/>
    </row>
    <row r="670" ht="15.75" customHeight="1">
      <c r="B670" s="2"/>
      <c r="C670" s="2"/>
      <c r="D670" s="2"/>
      <c r="E670" s="2"/>
      <c r="L670" s="2"/>
      <c r="M670" s="2"/>
    </row>
    <row r="671" ht="15.75" customHeight="1">
      <c r="B671" s="2"/>
      <c r="C671" s="2"/>
      <c r="D671" s="2"/>
      <c r="E671" s="2"/>
      <c r="L671" s="2"/>
      <c r="M671" s="2"/>
    </row>
    <row r="672" ht="15.75" customHeight="1">
      <c r="B672" s="2"/>
      <c r="C672" s="2"/>
      <c r="D672" s="2"/>
      <c r="E672" s="2"/>
      <c r="L672" s="2"/>
      <c r="M672" s="2"/>
    </row>
    <row r="673" ht="15.75" customHeight="1">
      <c r="B673" s="2"/>
      <c r="C673" s="2"/>
      <c r="D673" s="2"/>
      <c r="E673" s="2"/>
      <c r="L673" s="2"/>
      <c r="M673" s="2"/>
    </row>
    <row r="674" ht="15.75" customHeight="1">
      <c r="B674" s="2"/>
      <c r="C674" s="2"/>
      <c r="D674" s="2"/>
      <c r="E674" s="2"/>
      <c r="L674" s="2"/>
      <c r="M674" s="2"/>
    </row>
    <row r="675" ht="15.75" customHeight="1">
      <c r="B675" s="2"/>
      <c r="C675" s="2"/>
      <c r="D675" s="2"/>
      <c r="E675" s="2"/>
      <c r="L675" s="2"/>
      <c r="M675" s="2"/>
    </row>
    <row r="676" ht="15.75" customHeight="1">
      <c r="B676" s="2"/>
      <c r="C676" s="2"/>
      <c r="D676" s="2"/>
      <c r="E676" s="2"/>
      <c r="L676" s="2"/>
      <c r="M676" s="2"/>
    </row>
    <row r="677" ht="15.75" customHeight="1">
      <c r="B677" s="2"/>
      <c r="C677" s="2"/>
      <c r="D677" s="2"/>
      <c r="E677" s="2"/>
      <c r="L677" s="2"/>
      <c r="M677" s="2"/>
    </row>
    <row r="678" ht="15.75" customHeight="1">
      <c r="B678" s="2"/>
      <c r="C678" s="2"/>
      <c r="D678" s="2"/>
      <c r="E678" s="2"/>
      <c r="L678" s="2"/>
      <c r="M678" s="2"/>
    </row>
    <row r="679" ht="15.75" customHeight="1">
      <c r="B679" s="2"/>
      <c r="C679" s="2"/>
      <c r="D679" s="2"/>
      <c r="E679" s="2"/>
      <c r="L679" s="2"/>
      <c r="M679" s="2"/>
    </row>
    <row r="680" ht="15.75" customHeight="1">
      <c r="B680" s="2"/>
      <c r="C680" s="2"/>
      <c r="D680" s="2"/>
      <c r="E680" s="2"/>
      <c r="L680" s="2"/>
      <c r="M680" s="2"/>
    </row>
    <row r="681" ht="15.75" customHeight="1">
      <c r="B681" s="2"/>
      <c r="C681" s="2"/>
      <c r="D681" s="2"/>
      <c r="E681" s="2"/>
      <c r="L681" s="2"/>
      <c r="M681" s="2"/>
    </row>
    <row r="682" ht="15.75" customHeight="1">
      <c r="B682" s="2"/>
      <c r="C682" s="2"/>
      <c r="D682" s="2"/>
      <c r="E682" s="2"/>
      <c r="L682" s="2"/>
      <c r="M682" s="2"/>
    </row>
    <row r="683" ht="15.75" customHeight="1">
      <c r="B683" s="2"/>
      <c r="C683" s="2"/>
      <c r="D683" s="2"/>
      <c r="E683" s="2"/>
      <c r="L683" s="2"/>
      <c r="M683" s="2"/>
    </row>
    <row r="684" ht="15.75" customHeight="1">
      <c r="B684" s="2"/>
      <c r="C684" s="2"/>
      <c r="D684" s="2"/>
      <c r="E684" s="2"/>
      <c r="L684" s="2"/>
      <c r="M684" s="2"/>
    </row>
    <row r="685" ht="15.75" customHeight="1">
      <c r="B685" s="2"/>
      <c r="C685" s="2"/>
      <c r="D685" s="2"/>
      <c r="E685" s="2"/>
      <c r="L685" s="2"/>
      <c r="M685" s="2"/>
    </row>
    <row r="686" ht="15.75" customHeight="1">
      <c r="B686" s="2"/>
      <c r="C686" s="2"/>
      <c r="D686" s="2"/>
      <c r="E686" s="2"/>
      <c r="L686" s="2"/>
      <c r="M686" s="2"/>
    </row>
    <row r="687" ht="15.75" customHeight="1">
      <c r="B687" s="2"/>
      <c r="C687" s="2"/>
      <c r="D687" s="2"/>
      <c r="E687" s="2"/>
      <c r="L687" s="2"/>
      <c r="M687" s="2"/>
    </row>
    <row r="688" ht="15.75" customHeight="1">
      <c r="B688" s="2"/>
      <c r="C688" s="2"/>
      <c r="D688" s="2"/>
      <c r="E688" s="2"/>
      <c r="L688" s="2"/>
      <c r="M688" s="2"/>
    </row>
    <row r="689" ht="15.75" customHeight="1">
      <c r="B689" s="2"/>
      <c r="C689" s="2"/>
      <c r="D689" s="2"/>
      <c r="E689" s="2"/>
      <c r="L689" s="2"/>
      <c r="M689" s="2"/>
    </row>
    <row r="690" ht="15.75" customHeight="1">
      <c r="B690" s="2"/>
      <c r="C690" s="2"/>
      <c r="D690" s="2"/>
      <c r="E690" s="2"/>
      <c r="L690" s="2"/>
      <c r="M690" s="2"/>
    </row>
    <row r="691" ht="15.75" customHeight="1">
      <c r="B691" s="2"/>
      <c r="C691" s="2"/>
      <c r="D691" s="2"/>
      <c r="E691" s="2"/>
      <c r="L691" s="2"/>
      <c r="M691" s="2"/>
    </row>
    <row r="692" ht="15.75" customHeight="1">
      <c r="B692" s="2"/>
      <c r="C692" s="2"/>
      <c r="D692" s="2"/>
      <c r="E692" s="2"/>
      <c r="L692" s="2"/>
      <c r="M692" s="2"/>
    </row>
    <row r="693" ht="15.75" customHeight="1">
      <c r="B693" s="2"/>
      <c r="C693" s="2"/>
      <c r="D693" s="2"/>
      <c r="E693" s="2"/>
      <c r="L693" s="2"/>
      <c r="M693" s="2"/>
    </row>
    <row r="694" ht="15.75" customHeight="1">
      <c r="B694" s="2"/>
      <c r="C694" s="2"/>
      <c r="D694" s="2"/>
      <c r="E694" s="2"/>
      <c r="L694" s="2"/>
      <c r="M694" s="2"/>
    </row>
    <row r="695" ht="15.75" customHeight="1">
      <c r="B695" s="2"/>
      <c r="C695" s="2"/>
      <c r="D695" s="2"/>
      <c r="E695" s="2"/>
      <c r="L695" s="2"/>
      <c r="M695" s="2"/>
    </row>
    <row r="696" ht="15.75" customHeight="1">
      <c r="B696" s="2"/>
      <c r="C696" s="2"/>
      <c r="D696" s="2"/>
      <c r="E696" s="2"/>
      <c r="L696" s="2"/>
      <c r="M696" s="2"/>
    </row>
    <row r="697" ht="15.75" customHeight="1">
      <c r="B697" s="2"/>
      <c r="C697" s="2"/>
      <c r="D697" s="2"/>
      <c r="E697" s="2"/>
      <c r="L697" s="2"/>
      <c r="M697" s="2"/>
    </row>
    <row r="698" ht="15.75" customHeight="1">
      <c r="B698" s="2"/>
      <c r="C698" s="2"/>
      <c r="D698" s="2"/>
      <c r="E698" s="2"/>
      <c r="L698" s="2"/>
      <c r="M698" s="2"/>
    </row>
    <row r="699" ht="15.75" customHeight="1">
      <c r="B699" s="2"/>
      <c r="C699" s="2"/>
      <c r="D699" s="2"/>
      <c r="E699" s="2"/>
      <c r="L699" s="2"/>
      <c r="M699" s="2"/>
    </row>
    <row r="700" ht="15.75" customHeight="1">
      <c r="B700" s="2"/>
      <c r="C700" s="2"/>
      <c r="D700" s="2"/>
      <c r="E700" s="2"/>
      <c r="L700" s="2"/>
      <c r="M700" s="2"/>
    </row>
    <row r="701" ht="15.75" customHeight="1">
      <c r="B701" s="2"/>
      <c r="C701" s="2"/>
      <c r="D701" s="2"/>
      <c r="E701" s="2"/>
      <c r="L701" s="2"/>
      <c r="M701" s="2"/>
    </row>
    <row r="702" ht="15.75" customHeight="1">
      <c r="B702" s="2"/>
      <c r="C702" s="2"/>
      <c r="D702" s="2"/>
      <c r="E702" s="2"/>
      <c r="L702" s="2"/>
      <c r="M702" s="2"/>
    </row>
    <row r="703" ht="15.75" customHeight="1">
      <c r="B703" s="2"/>
      <c r="C703" s="2"/>
      <c r="D703" s="2"/>
      <c r="E703" s="2"/>
      <c r="L703" s="2"/>
      <c r="M703" s="2"/>
    </row>
    <row r="704" ht="15.75" customHeight="1">
      <c r="B704" s="2"/>
      <c r="C704" s="2"/>
      <c r="D704" s="2"/>
      <c r="E704" s="2"/>
      <c r="L704" s="2"/>
      <c r="M704" s="2"/>
    </row>
    <row r="705" ht="15.75" customHeight="1">
      <c r="B705" s="2"/>
      <c r="C705" s="2"/>
      <c r="D705" s="2"/>
      <c r="E705" s="2"/>
      <c r="L705" s="2"/>
      <c r="M705" s="2"/>
    </row>
    <row r="706" ht="15.75" customHeight="1">
      <c r="B706" s="2"/>
      <c r="C706" s="2"/>
      <c r="D706" s="2"/>
      <c r="E706" s="2"/>
      <c r="L706" s="2"/>
      <c r="M706" s="2"/>
    </row>
    <row r="707" ht="15.75" customHeight="1">
      <c r="B707" s="2"/>
      <c r="C707" s="2"/>
      <c r="D707" s="2"/>
      <c r="E707" s="2"/>
      <c r="L707" s="2"/>
      <c r="M707" s="2"/>
    </row>
    <row r="708" ht="15.75" customHeight="1">
      <c r="B708" s="2"/>
      <c r="C708" s="2"/>
      <c r="D708" s="2"/>
      <c r="E708" s="2"/>
      <c r="L708" s="2"/>
      <c r="M708" s="2"/>
    </row>
    <row r="709" ht="15.75" customHeight="1">
      <c r="B709" s="2"/>
      <c r="C709" s="2"/>
      <c r="D709" s="2"/>
      <c r="E709" s="2"/>
      <c r="L709" s="2"/>
      <c r="M709" s="2"/>
    </row>
    <row r="710" ht="15.75" customHeight="1">
      <c r="B710" s="2"/>
      <c r="C710" s="2"/>
      <c r="D710" s="2"/>
      <c r="E710" s="2"/>
      <c r="L710" s="2"/>
      <c r="M710" s="2"/>
    </row>
    <row r="711" ht="15.75" customHeight="1">
      <c r="B711" s="2"/>
      <c r="C711" s="2"/>
      <c r="D711" s="2"/>
      <c r="E711" s="2"/>
      <c r="L711" s="2"/>
      <c r="M711" s="2"/>
    </row>
    <row r="712" ht="15.75" customHeight="1">
      <c r="B712" s="2"/>
      <c r="C712" s="2"/>
      <c r="D712" s="2"/>
      <c r="E712" s="2"/>
      <c r="L712" s="2"/>
      <c r="M712" s="2"/>
    </row>
    <row r="713" ht="15.75" customHeight="1">
      <c r="B713" s="2"/>
      <c r="C713" s="2"/>
      <c r="D713" s="2"/>
      <c r="E713" s="2"/>
      <c r="L713" s="2"/>
      <c r="M713" s="2"/>
    </row>
    <row r="714" ht="15.75" customHeight="1">
      <c r="B714" s="2"/>
      <c r="C714" s="2"/>
      <c r="D714" s="2"/>
      <c r="E714" s="2"/>
      <c r="L714" s="2"/>
      <c r="M714" s="2"/>
    </row>
    <row r="715" ht="15.75" customHeight="1">
      <c r="B715" s="2"/>
      <c r="C715" s="2"/>
      <c r="D715" s="2"/>
      <c r="E715" s="2"/>
      <c r="L715" s="2"/>
      <c r="M715" s="2"/>
    </row>
    <row r="716" ht="15.75" customHeight="1">
      <c r="B716" s="2"/>
      <c r="C716" s="2"/>
      <c r="D716" s="2"/>
      <c r="E716" s="2"/>
      <c r="L716" s="2"/>
      <c r="M716" s="2"/>
    </row>
    <row r="717" ht="15.75" customHeight="1">
      <c r="B717" s="2"/>
      <c r="C717" s="2"/>
      <c r="D717" s="2"/>
      <c r="E717" s="2"/>
      <c r="L717" s="2"/>
      <c r="M717" s="2"/>
    </row>
    <row r="718" ht="15.75" customHeight="1">
      <c r="B718" s="2"/>
      <c r="C718" s="2"/>
      <c r="D718" s="2"/>
      <c r="E718" s="2"/>
      <c r="L718" s="2"/>
      <c r="M718" s="2"/>
    </row>
    <row r="719" ht="15.75" customHeight="1">
      <c r="B719" s="2"/>
      <c r="C719" s="2"/>
      <c r="D719" s="2"/>
      <c r="E719" s="2"/>
      <c r="L719" s="2"/>
      <c r="M719" s="2"/>
    </row>
    <row r="720" ht="15.75" customHeight="1">
      <c r="B720" s="2"/>
      <c r="C720" s="2"/>
      <c r="D720" s="2"/>
      <c r="E720" s="2"/>
      <c r="L720" s="2"/>
      <c r="M720" s="2"/>
    </row>
    <row r="721" ht="15.75" customHeight="1">
      <c r="B721" s="2"/>
      <c r="C721" s="2"/>
      <c r="D721" s="2"/>
      <c r="E721" s="2"/>
      <c r="L721" s="2"/>
      <c r="M721" s="2"/>
    </row>
    <row r="722" ht="15.75" customHeight="1">
      <c r="B722" s="2"/>
      <c r="C722" s="2"/>
      <c r="D722" s="2"/>
      <c r="E722" s="2"/>
      <c r="L722" s="2"/>
      <c r="M722" s="2"/>
    </row>
    <row r="723" ht="15.75" customHeight="1">
      <c r="B723" s="2"/>
      <c r="C723" s="2"/>
      <c r="D723" s="2"/>
      <c r="E723" s="2"/>
      <c r="L723" s="2"/>
      <c r="M723" s="2"/>
    </row>
    <row r="724" ht="15.75" customHeight="1">
      <c r="B724" s="2"/>
      <c r="C724" s="2"/>
      <c r="D724" s="2"/>
      <c r="E724" s="2"/>
      <c r="L724" s="2"/>
      <c r="M724" s="2"/>
    </row>
    <row r="725" ht="15.75" customHeight="1">
      <c r="B725" s="2"/>
      <c r="C725" s="2"/>
      <c r="D725" s="2"/>
      <c r="E725" s="2"/>
      <c r="L725" s="2"/>
      <c r="M725" s="2"/>
    </row>
    <row r="726" ht="15.75" customHeight="1">
      <c r="B726" s="2"/>
      <c r="C726" s="2"/>
      <c r="D726" s="2"/>
      <c r="E726" s="2"/>
      <c r="L726" s="2"/>
      <c r="M726" s="2"/>
    </row>
    <row r="727" ht="15.75" customHeight="1">
      <c r="B727" s="2"/>
      <c r="C727" s="2"/>
      <c r="D727" s="2"/>
      <c r="E727" s="2"/>
      <c r="L727" s="2"/>
      <c r="M727" s="2"/>
    </row>
    <row r="728" ht="15.75" customHeight="1">
      <c r="B728" s="2"/>
      <c r="C728" s="2"/>
      <c r="D728" s="2"/>
      <c r="E728" s="2"/>
      <c r="L728" s="2"/>
      <c r="M728" s="2"/>
    </row>
    <row r="729" ht="15.75" customHeight="1">
      <c r="B729" s="2"/>
      <c r="C729" s="2"/>
      <c r="D729" s="2"/>
      <c r="E729" s="2"/>
      <c r="L729" s="2"/>
      <c r="M729" s="2"/>
    </row>
    <row r="730" ht="15.75" customHeight="1">
      <c r="B730" s="2"/>
      <c r="C730" s="2"/>
      <c r="D730" s="2"/>
      <c r="E730" s="2"/>
      <c r="L730" s="2"/>
      <c r="M730" s="2"/>
    </row>
    <row r="731" ht="15.75" customHeight="1">
      <c r="B731" s="2"/>
      <c r="C731" s="2"/>
      <c r="D731" s="2"/>
      <c r="E731" s="2"/>
      <c r="L731" s="2"/>
      <c r="M731" s="2"/>
    </row>
    <row r="732" ht="15.75" customHeight="1">
      <c r="B732" s="2"/>
      <c r="C732" s="2"/>
      <c r="D732" s="2"/>
      <c r="E732" s="2"/>
      <c r="L732" s="2"/>
      <c r="M732" s="2"/>
    </row>
    <row r="733" ht="15.75" customHeight="1">
      <c r="B733" s="2"/>
      <c r="C733" s="2"/>
      <c r="D733" s="2"/>
      <c r="E733" s="2"/>
      <c r="L733" s="2"/>
      <c r="M733" s="2"/>
    </row>
    <row r="734" ht="15.75" customHeight="1">
      <c r="B734" s="2"/>
      <c r="C734" s="2"/>
      <c r="D734" s="2"/>
      <c r="E734" s="2"/>
      <c r="L734" s="2"/>
      <c r="M734" s="2"/>
    </row>
    <row r="735" ht="15.75" customHeight="1">
      <c r="B735" s="2"/>
      <c r="C735" s="2"/>
      <c r="D735" s="2"/>
      <c r="E735" s="2"/>
      <c r="L735" s="2"/>
      <c r="M735" s="2"/>
    </row>
    <row r="736" ht="15.75" customHeight="1">
      <c r="B736" s="2"/>
      <c r="C736" s="2"/>
      <c r="D736" s="2"/>
      <c r="E736" s="2"/>
      <c r="L736" s="2"/>
      <c r="M736" s="2"/>
    </row>
    <row r="737" ht="15.75" customHeight="1">
      <c r="B737" s="2"/>
      <c r="C737" s="2"/>
      <c r="D737" s="2"/>
      <c r="E737" s="2"/>
      <c r="L737" s="2"/>
      <c r="M737" s="2"/>
    </row>
    <row r="738" ht="15.75" customHeight="1">
      <c r="B738" s="2"/>
      <c r="C738" s="2"/>
      <c r="D738" s="2"/>
      <c r="E738" s="2"/>
      <c r="L738" s="2"/>
      <c r="M738" s="2"/>
    </row>
    <row r="739" ht="15.75" customHeight="1">
      <c r="B739" s="2"/>
      <c r="C739" s="2"/>
      <c r="D739" s="2"/>
      <c r="E739" s="2"/>
      <c r="L739" s="2"/>
      <c r="M739" s="2"/>
    </row>
    <row r="740" ht="15.75" customHeight="1">
      <c r="B740" s="2"/>
      <c r="C740" s="2"/>
      <c r="D740" s="2"/>
      <c r="E740" s="2"/>
      <c r="L740" s="2"/>
      <c r="M740" s="2"/>
    </row>
    <row r="741" ht="15.75" customHeight="1">
      <c r="B741" s="2"/>
      <c r="C741" s="2"/>
      <c r="D741" s="2"/>
      <c r="E741" s="2"/>
      <c r="L741" s="2"/>
      <c r="M741" s="2"/>
    </row>
    <row r="742" ht="15.75" customHeight="1">
      <c r="B742" s="2"/>
      <c r="C742" s="2"/>
      <c r="D742" s="2"/>
      <c r="E742" s="2"/>
      <c r="L742" s="2"/>
      <c r="M742" s="2"/>
    </row>
    <row r="743" ht="15.75" customHeight="1">
      <c r="B743" s="2"/>
      <c r="C743" s="2"/>
      <c r="D743" s="2"/>
      <c r="E743" s="2"/>
      <c r="L743" s="2"/>
      <c r="M743" s="2"/>
    </row>
    <row r="744" ht="15.75" customHeight="1">
      <c r="B744" s="2"/>
      <c r="C744" s="2"/>
      <c r="D744" s="2"/>
      <c r="E744" s="2"/>
      <c r="L744" s="2"/>
      <c r="M744" s="2"/>
    </row>
    <row r="745" ht="15.75" customHeight="1">
      <c r="B745" s="2"/>
      <c r="C745" s="2"/>
      <c r="D745" s="2"/>
      <c r="E745" s="2"/>
      <c r="L745" s="2"/>
      <c r="M745" s="2"/>
    </row>
    <row r="746" ht="15.75" customHeight="1">
      <c r="B746" s="2"/>
      <c r="C746" s="2"/>
      <c r="D746" s="2"/>
      <c r="E746" s="2"/>
      <c r="L746" s="2"/>
      <c r="M746" s="2"/>
    </row>
    <row r="747" ht="15.75" customHeight="1">
      <c r="B747" s="2"/>
      <c r="C747" s="2"/>
      <c r="D747" s="2"/>
      <c r="E747" s="2"/>
      <c r="L747" s="2"/>
      <c r="M747" s="2"/>
    </row>
    <row r="748" ht="15.75" customHeight="1">
      <c r="B748" s="2"/>
      <c r="C748" s="2"/>
      <c r="D748" s="2"/>
      <c r="E748" s="2"/>
      <c r="L748" s="2"/>
      <c r="M748" s="2"/>
    </row>
    <row r="749" ht="15.75" customHeight="1">
      <c r="B749" s="2"/>
      <c r="C749" s="2"/>
      <c r="D749" s="2"/>
      <c r="E749" s="2"/>
      <c r="L749" s="2"/>
      <c r="M749" s="2"/>
    </row>
    <row r="750" ht="15.75" customHeight="1">
      <c r="B750" s="2"/>
      <c r="C750" s="2"/>
      <c r="D750" s="2"/>
      <c r="E750" s="2"/>
      <c r="L750" s="2"/>
      <c r="M750" s="2"/>
    </row>
    <row r="751" ht="15.75" customHeight="1">
      <c r="B751" s="2"/>
      <c r="C751" s="2"/>
      <c r="D751" s="2"/>
      <c r="E751" s="2"/>
      <c r="L751" s="2"/>
      <c r="M751" s="2"/>
    </row>
    <row r="752" ht="15.75" customHeight="1">
      <c r="B752" s="2"/>
      <c r="C752" s="2"/>
      <c r="D752" s="2"/>
      <c r="E752" s="2"/>
      <c r="L752" s="2"/>
      <c r="M752" s="2"/>
    </row>
    <row r="753" ht="15.75" customHeight="1">
      <c r="B753" s="2"/>
      <c r="C753" s="2"/>
      <c r="D753" s="2"/>
      <c r="E753" s="2"/>
      <c r="L753" s="2"/>
      <c r="M753" s="2"/>
    </row>
    <row r="754" ht="15.75" customHeight="1">
      <c r="B754" s="2"/>
      <c r="C754" s="2"/>
      <c r="D754" s="2"/>
      <c r="E754" s="2"/>
      <c r="L754" s="2"/>
      <c r="M754" s="2"/>
    </row>
    <row r="755" ht="15.75" customHeight="1">
      <c r="B755" s="2"/>
      <c r="C755" s="2"/>
      <c r="D755" s="2"/>
      <c r="E755" s="2"/>
      <c r="L755" s="2"/>
      <c r="M755" s="2"/>
    </row>
    <row r="756" ht="15.75" customHeight="1">
      <c r="B756" s="2"/>
      <c r="C756" s="2"/>
      <c r="D756" s="2"/>
      <c r="E756" s="2"/>
      <c r="L756" s="2"/>
      <c r="M756" s="2"/>
    </row>
    <row r="757" ht="15.75" customHeight="1">
      <c r="B757" s="2"/>
      <c r="C757" s="2"/>
      <c r="D757" s="2"/>
      <c r="E757" s="2"/>
      <c r="L757" s="2"/>
      <c r="M757" s="2"/>
    </row>
    <row r="758" ht="15.75" customHeight="1">
      <c r="B758" s="2"/>
      <c r="C758" s="2"/>
      <c r="D758" s="2"/>
      <c r="E758" s="2"/>
      <c r="L758" s="2"/>
      <c r="M758" s="2"/>
    </row>
    <row r="759" ht="15.75" customHeight="1">
      <c r="B759" s="2"/>
      <c r="C759" s="2"/>
      <c r="D759" s="2"/>
      <c r="E759" s="2"/>
      <c r="L759" s="2"/>
      <c r="M759" s="2"/>
    </row>
    <row r="760" ht="15.75" customHeight="1">
      <c r="B760" s="2"/>
      <c r="C760" s="2"/>
      <c r="D760" s="2"/>
      <c r="E760" s="2"/>
      <c r="L760" s="2"/>
      <c r="M760" s="2"/>
    </row>
    <row r="761" ht="15.75" customHeight="1">
      <c r="B761" s="2"/>
      <c r="C761" s="2"/>
      <c r="D761" s="2"/>
      <c r="E761" s="2"/>
      <c r="L761" s="2"/>
      <c r="M761" s="2"/>
    </row>
    <row r="762" ht="15.75" customHeight="1">
      <c r="B762" s="2"/>
      <c r="C762" s="2"/>
      <c r="D762" s="2"/>
      <c r="E762" s="2"/>
      <c r="L762" s="2"/>
      <c r="M762" s="2"/>
    </row>
    <row r="763" ht="15.75" customHeight="1">
      <c r="B763" s="2"/>
      <c r="C763" s="2"/>
      <c r="D763" s="2"/>
      <c r="E763" s="2"/>
      <c r="L763" s="2"/>
      <c r="M763" s="2"/>
    </row>
    <row r="764" ht="15.75" customHeight="1">
      <c r="B764" s="2"/>
      <c r="C764" s="2"/>
      <c r="D764" s="2"/>
      <c r="E764" s="2"/>
      <c r="L764" s="2"/>
      <c r="M764" s="2"/>
    </row>
    <row r="765" ht="15.75" customHeight="1">
      <c r="B765" s="2"/>
      <c r="C765" s="2"/>
      <c r="D765" s="2"/>
      <c r="E765" s="2"/>
      <c r="L765" s="2"/>
      <c r="M765" s="2"/>
    </row>
    <row r="766" ht="15.75" customHeight="1">
      <c r="B766" s="2"/>
      <c r="C766" s="2"/>
      <c r="D766" s="2"/>
      <c r="E766" s="2"/>
      <c r="L766" s="2"/>
      <c r="M766" s="2"/>
    </row>
    <row r="767" ht="15.75" customHeight="1">
      <c r="B767" s="2"/>
      <c r="C767" s="2"/>
      <c r="D767" s="2"/>
      <c r="E767" s="2"/>
      <c r="L767" s="2"/>
      <c r="M767" s="2"/>
    </row>
    <row r="768" ht="15.75" customHeight="1">
      <c r="B768" s="2"/>
      <c r="C768" s="2"/>
      <c r="D768" s="2"/>
      <c r="E768" s="2"/>
      <c r="L768" s="2"/>
      <c r="M768" s="2"/>
    </row>
    <row r="769" ht="15.75" customHeight="1">
      <c r="B769" s="2"/>
      <c r="C769" s="2"/>
      <c r="D769" s="2"/>
      <c r="E769" s="2"/>
      <c r="L769" s="2"/>
      <c r="M769" s="2"/>
    </row>
    <row r="770" ht="15.75" customHeight="1">
      <c r="B770" s="2"/>
      <c r="C770" s="2"/>
      <c r="D770" s="2"/>
      <c r="E770" s="2"/>
      <c r="L770" s="2"/>
      <c r="M770" s="2"/>
    </row>
    <row r="771" ht="15.75" customHeight="1">
      <c r="B771" s="2"/>
      <c r="C771" s="2"/>
      <c r="D771" s="2"/>
      <c r="E771" s="2"/>
      <c r="L771" s="2"/>
      <c r="M771" s="2"/>
    </row>
    <row r="772" ht="15.75" customHeight="1">
      <c r="B772" s="2"/>
      <c r="C772" s="2"/>
      <c r="D772" s="2"/>
      <c r="E772" s="2"/>
      <c r="L772" s="2"/>
      <c r="M772" s="2"/>
    </row>
    <row r="773" ht="15.75" customHeight="1">
      <c r="B773" s="2"/>
      <c r="C773" s="2"/>
      <c r="D773" s="2"/>
      <c r="E773" s="2"/>
      <c r="L773" s="2"/>
      <c r="M773" s="2"/>
    </row>
    <row r="774" ht="15.75" customHeight="1">
      <c r="B774" s="2"/>
      <c r="C774" s="2"/>
      <c r="D774" s="2"/>
      <c r="E774" s="2"/>
      <c r="L774" s="2"/>
      <c r="M774" s="2"/>
    </row>
    <row r="775" ht="15.75" customHeight="1">
      <c r="B775" s="2"/>
      <c r="C775" s="2"/>
      <c r="D775" s="2"/>
      <c r="E775" s="2"/>
      <c r="L775" s="2"/>
      <c r="M775" s="2"/>
    </row>
    <row r="776" ht="15.75" customHeight="1">
      <c r="B776" s="2"/>
      <c r="C776" s="2"/>
      <c r="D776" s="2"/>
      <c r="E776" s="2"/>
      <c r="L776" s="2"/>
      <c r="M776" s="2"/>
    </row>
    <row r="777" ht="15.75" customHeight="1">
      <c r="B777" s="2"/>
      <c r="C777" s="2"/>
      <c r="D777" s="2"/>
      <c r="E777" s="2"/>
      <c r="L777" s="2"/>
      <c r="M777" s="2"/>
    </row>
    <row r="778" ht="15.75" customHeight="1">
      <c r="B778" s="2"/>
      <c r="C778" s="2"/>
      <c r="D778" s="2"/>
      <c r="E778" s="2"/>
      <c r="L778" s="2"/>
      <c r="M778" s="2"/>
    </row>
    <row r="779" ht="15.75" customHeight="1">
      <c r="B779" s="2"/>
      <c r="C779" s="2"/>
      <c r="D779" s="2"/>
      <c r="E779" s="2"/>
      <c r="L779" s="2"/>
      <c r="M779" s="2"/>
    </row>
    <row r="780" ht="15.75" customHeight="1">
      <c r="B780" s="2"/>
      <c r="C780" s="2"/>
      <c r="D780" s="2"/>
      <c r="E780" s="2"/>
      <c r="L780" s="2"/>
      <c r="M780" s="2"/>
    </row>
    <row r="781" ht="15.75" customHeight="1">
      <c r="B781" s="2"/>
      <c r="C781" s="2"/>
      <c r="D781" s="2"/>
      <c r="E781" s="2"/>
      <c r="L781" s="2"/>
      <c r="M781" s="2"/>
    </row>
    <row r="782" ht="15.75" customHeight="1">
      <c r="B782" s="2"/>
      <c r="C782" s="2"/>
      <c r="D782" s="2"/>
      <c r="E782" s="2"/>
      <c r="L782" s="2"/>
      <c r="M782" s="2"/>
    </row>
    <row r="783" ht="15.75" customHeight="1">
      <c r="B783" s="2"/>
      <c r="C783" s="2"/>
      <c r="D783" s="2"/>
      <c r="E783" s="2"/>
      <c r="L783" s="2"/>
      <c r="M783" s="2"/>
    </row>
    <row r="784" ht="15.75" customHeight="1">
      <c r="B784" s="2"/>
      <c r="C784" s="2"/>
      <c r="D784" s="2"/>
      <c r="E784" s="2"/>
      <c r="L784" s="2"/>
      <c r="M784" s="2"/>
    </row>
    <row r="785" ht="15.75" customHeight="1">
      <c r="B785" s="2"/>
      <c r="C785" s="2"/>
      <c r="D785" s="2"/>
      <c r="E785" s="2"/>
      <c r="L785" s="2"/>
      <c r="M785" s="2"/>
    </row>
    <row r="786" ht="15.75" customHeight="1">
      <c r="B786" s="2"/>
      <c r="C786" s="2"/>
      <c r="D786" s="2"/>
      <c r="E786" s="2"/>
      <c r="L786" s="2"/>
      <c r="M786" s="2"/>
    </row>
    <row r="787" ht="15.75" customHeight="1">
      <c r="B787" s="2"/>
      <c r="C787" s="2"/>
      <c r="D787" s="2"/>
      <c r="E787" s="2"/>
      <c r="L787" s="2"/>
      <c r="M787" s="2"/>
    </row>
    <row r="788" ht="15.75" customHeight="1">
      <c r="B788" s="2"/>
      <c r="C788" s="2"/>
      <c r="D788" s="2"/>
      <c r="E788" s="2"/>
      <c r="L788" s="2"/>
      <c r="M788" s="2"/>
    </row>
    <row r="789" ht="15.75" customHeight="1">
      <c r="B789" s="2"/>
      <c r="C789" s="2"/>
      <c r="D789" s="2"/>
      <c r="E789" s="2"/>
      <c r="L789" s="2"/>
      <c r="M789" s="2"/>
    </row>
    <row r="790" ht="15.75" customHeight="1">
      <c r="B790" s="2"/>
      <c r="C790" s="2"/>
      <c r="D790" s="2"/>
      <c r="E790" s="2"/>
      <c r="L790" s="2"/>
      <c r="M790" s="2"/>
    </row>
    <row r="791" ht="15.75" customHeight="1">
      <c r="B791" s="2"/>
      <c r="C791" s="2"/>
      <c r="D791" s="2"/>
      <c r="E791" s="2"/>
      <c r="L791" s="2"/>
      <c r="M791" s="2"/>
    </row>
    <row r="792" ht="15.75" customHeight="1">
      <c r="B792" s="2"/>
      <c r="C792" s="2"/>
      <c r="D792" s="2"/>
      <c r="E792" s="2"/>
      <c r="L792" s="2"/>
      <c r="M792" s="2"/>
    </row>
    <row r="793" ht="15.75" customHeight="1">
      <c r="B793" s="2"/>
      <c r="C793" s="2"/>
      <c r="D793" s="2"/>
      <c r="E793" s="2"/>
      <c r="L793" s="2"/>
      <c r="M793" s="2"/>
    </row>
    <row r="794" ht="15.75" customHeight="1">
      <c r="B794" s="2"/>
      <c r="C794" s="2"/>
      <c r="D794" s="2"/>
      <c r="E794" s="2"/>
      <c r="L794" s="2"/>
      <c r="M794" s="2"/>
    </row>
    <row r="795" ht="15.75" customHeight="1">
      <c r="B795" s="2"/>
      <c r="C795" s="2"/>
      <c r="D795" s="2"/>
      <c r="E795" s="2"/>
      <c r="L795" s="2"/>
      <c r="M795" s="2"/>
    </row>
    <row r="796" ht="15.75" customHeight="1">
      <c r="B796" s="2"/>
      <c r="C796" s="2"/>
      <c r="D796" s="2"/>
      <c r="E796" s="2"/>
      <c r="L796" s="2"/>
      <c r="M796" s="2"/>
    </row>
    <row r="797" ht="15.75" customHeight="1">
      <c r="B797" s="2"/>
      <c r="C797" s="2"/>
      <c r="D797" s="2"/>
      <c r="E797" s="2"/>
      <c r="L797" s="2"/>
      <c r="M797" s="2"/>
    </row>
    <row r="798" ht="15.75" customHeight="1">
      <c r="B798" s="2"/>
      <c r="C798" s="2"/>
      <c r="D798" s="2"/>
      <c r="E798" s="2"/>
      <c r="L798" s="2"/>
      <c r="M798" s="2"/>
    </row>
    <row r="799" ht="15.75" customHeight="1">
      <c r="B799" s="2"/>
      <c r="C799" s="2"/>
      <c r="D799" s="2"/>
      <c r="E799" s="2"/>
      <c r="L799" s="2"/>
      <c r="M799" s="2"/>
    </row>
    <row r="800" ht="15.75" customHeight="1">
      <c r="B800" s="2"/>
      <c r="C800" s="2"/>
      <c r="D800" s="2"/>
      <c r="E800" s="2"/>
      <c r="L800" s="2"/>
      <c r="M800" s="2"/>
    </row>
    <row r="801" ht="15.75" customHeight="1">
      <c r="B801" s="2"/>
      <c r="C801" s="2"/>
      <c r="D801" s="2"/>
      <c r="E801" s="2"/>
      <c r="L801" s="2"/>
      <c r="M801" s="2"/>
    </row>
    <row r="802" ht="15.75" customHeight="1">
      <c r="B802" s="2"/>
      <c r="C802" s="2"/>
      <c r="D802" s="2"/>
      <c r="E802" s="2"/>
      <c r="L802" s="2"/>
      <c r="M802" s="2"/>
    </row>
    <row r="803" ht="15.75" customHeight="1">
      <c r="B803" s="2"/>
      <c r="C803" s="2"/>
      <c r="D803" s="2"/>
      <c r="E803" s="2"/>
      <c r="L803" s="2"/>
      <c r="M803" s="2"/>
    </row>
    <row r="804" ht="15.75" customHeight="1">
      <c r="B804" s="2"/>
      <c r="C804" s="2"/>
      <c r="D804" s="2"/>
      <c r="E804" s="2"/>
      <c r="L804" s="2"/>
      <c r="M804" s="2"/>
    </row>
    <row r="805" ht="15.75" customHeight="1">
      <c r="B805" s="2"/>
      <c r="C805" s="2"/>
      <c r="D805" s="2"/>
      <c r="E805" s="2"/>
      <c r="L805" s="2"/>
      <c r="M805" s="2"/>
    </row>
    <row r="806" ht="15.75" customHeight="1">
      <c r="B806" s="2"/>
      <c r="C806" s="2"/>
      <c r="D806" s="2"/>
      <c r="E806" s="2"/>
      <c r="L806" s="2"/>
      <c r="M806" s="2"/>
    </row>
    <row r="807" ht="15.75" customHeight="1">
      <c r="B807" s="2"/>
      <c r="C807" s="2"/>
      <c r="D807" s="2"/>
      <c r="E807" s="2"/>
      <c r="L807" s="2"/>
      <c r="M807" s="2"/>
    </row>
    <row r="808" ht="15.75" customHeight="1">
      <c r="B808" s="2"/>
      <c r="C808" s="2"/>
      <c r="D808" s="2"/>
      <c r="E808" s="2"/>
      <c r="L808" s="2"/>
      <c r="M808" s="2"/>
    </row>
    <row r="809" ht="15.75" customHeight="1">
      <c r="B809" s="2"/>
      <c r="C809" s="2"/>
      <c r="D809" s="2"/>
      <c r="E809" s="2"/>
      <c r="L809" s="2"/>
      <c r="M809" s="2"/>
    </row>
    <row r="810" ht="15.75" customHeight="1">
      <c r="B810" s="2"/>
      <c r="C810" s="2"/>
      <c r="D810" s="2"/>
      <c r="E810" s="2"/>
      <c r="L810" s="2"/>
      <c r="M810" s="2"/>
    </row>
    <row r="811" ht="15.75" customHeight="1">
      <c r="B811" s="2"/>
      <c r="C811" s="2"/>
      <c r="D811" s="2"/>
      <c r="E811" s="2"/>
      <c r="L811" s="2"/>
      <c r="M811" s="2"/>
    </row>
    <row r="812" ht="15.75" customHeight="1">
      <c r="B812" s="2"/>
      <c r="C812" s="2"/>
      <c r="D812" s="2"/>
      <c r="E812" s="2"/>
      <c r="L812" s="2"/>
      <c r="M812" s="2"/>
    </row>
    <row r="813" ht="15.75" customHeight="1">
      <c r="B813" s="2"/>
      <c r="C813" s="2"/>
      <c r="D813" s="2"/>
      <c r="E813" s="2"/>
      <c r="L813" s="2"/>
      <c r="M813" s="2"/>
    </row>
    <row r="814" ht="15.75" customHeight="1">
      <c r="B814" s="2"/>
      <c r="C814" s="2"/>
      <c r="D814" s="2"/>
      <c r="E814" s="2"/>
      <c r="L814" s="2"/>
      <c r="M814" s="2"/>
    </row>
    <row r="815" ht="15.75" customHeight="1">
      <c r="B815" s="2"/>
      <c r="C815" s="2"/>
      <c r="D815" s="2"/>
      <c r="E815" s="2"/>
      <c r="L815" s="2"/>
      <c r="M815" s="2"/>
    </row>
    <row r="816" ht="15.75" customHeight="1">
      <c r="B816" s="2"/>
      <c r="C816" s="2"/>
      <c r="D816" s="2"/>
      <c r="E816" s="2"/>
      <c r="L816" s="2"/>
      <c r="M816" s="2"/>
    </row>
    <row r="817" ht="15.75" customHeight="1">
      <c r="B817" s="2"/>
      <c r="C817" s="2"/>
      <c r="D817" s="2"/>
      <c r="E817" s="2"/>
      <c r="L817" s="2"/>
      <c r="M817" s="2"/>
    </row>
    <row r="818" ht="15.75" customHeight="1">
      <c r="B818" s="2"/>
      <c r="C818" s="2"/>
      <c r="D818" s="2"/>
      <c r="E818" s="2"/>
      <c r="L818" s="2"/>
      <c r="M818" s="2"/>
    </row>
    <row r="819" ht="15.75" customHeight="1">
      <c r="B819" s="2"/>
      <c r="C819" s="2"/>
      <c r="D819" s="2"/>
      <c r="E819" s="2"/>
      <c r="L819" s="2"/>
      <c r="M819" s="2"/>
    </row>
    <row r="820" ht="15.75" customHeight="1">
      <c r="B820" s="2"/>
      <c r="C820" s="2"/>
      <c r="D820" s="2"/>
      <c r="E820" s="2"/>
      <c r="L820" s="2"/>
      <c r="M820" s="2"/>
    </row>
    <row r="821" ht="15.75" customHeight="1">
      <c r="B821" s="2"/>
      <c r="C821" s="2"/>
      <c r="D821" s="2"/>
      <c r="E821" s="2"/>
      <c r="L821" s="2"/>
      <c r="M821" s="2"/>
    </row>
    <row r="822" ht="15.75" customHeight="1">
      <c r="B822" s="2"/>
      <c r="C822" s="2"/>
      <c r="D822" s="2"/>
      <c r="E822" s="2"/>
      <c r="L822" s="2"/>
      <c r="M822" s="2"/>
    </row>
    <row r="823" ht="15.75" customHeight="1">
      <c r="B823" s="2"/>
      <c r="C823" s="2"/>
      <c r="D823" s="2"/>
      <c r="E823" s="2"/>
      <c r="L823" s="2"/>
      <c r="M823" s="2"/>
    </row>
    <row r="824" ht="15.75" customHeight="1">
      <c r="B824" s="2"/>
      <c r="C824" s="2"/>
      <c r="D824" s="2"/>
      <c r="E824" s="2"/>
      <c r="L824" s="2"/>
      <c r="M824" s="2"/>
    </row>
    <row r="825" ht="15.75" customHeight="1">
      <c r="B825" s="2"/>
      <c r="C825" s="2"/>
      <c r="D825" s="2"/>
      <c r="E825" s="2"/>
      <c r="L825" s="2"/>
      <c r="M825" s="2"/>
    </row>
    <row r="826" ht="15.75" customHeight="1">
      <c r="B826" s="2"/>
      <c r="C826" s="2"/>
      <c r="D826" s="2"/>
      <c r="E826" s="2"/>
      <c r="L826" s="2"/>
      <c r="M826" s="2"/>
    </row>
    <row r="827" ht="15.75" customHeight="1">
      <c r="B827" s="2"/>
      <c r="C827" s="2"/>
      <c r="D827" s="2"/>
      <c r="E827" s="2"/>
      <c r="L827" s="2"/>
      <c r="M827" s="2"/>
    </row>
    <row r="828" ht="15.75" customHeight="1">
      <c r="B828" s="2"/>
      <c r="C828" s="2"/>
      <c r="D828" s="2"/>
      <c r="E828" s="2"/>
      <c r="L828" s="2"/>
      <c r="M828" s="2"/>
    </row>
    <row r="829" ht="15.75" customHeight="1">
      <c r="B829" s="2"/>
      <c r="C829" s="2"/>
      <c r="D829" s="2"/>
      <c r="E829" s="2"/>
      <c r="L829" s="2"/>
      <c r="M829" s="2"/>
    </row>
    <row r="830" ht="15.75" customHeight="1">
      <c r="B830" s="2"/>
      <c r="C830" s="2"/>
      <c r="D830" s="2"/>
      <c r="E830" s="2"/>
      <c r="L830" s="2"/>
      <c r="M830" s="2"/>
    </row>
    <row r="831" ht="15.75" customHeight="1">
      <c r="B831" s="2"/>
      <c r="C831" s="2"/>
      <c r="D831" s="2"/>
      <c r="E831" s="2"/>
      <c r="L831" s="2"/>
      <c r="M831" s="2"/>
    </row>
    <row r="832" ht="15.75" customHeight="1">
      <c r="B832" s="2"/>
      <c r="C832" s="2"/>
      <c r="D832" s="2"/>
      <c r="E832" s="2"/>
      <c r="L832" s="2"/>
      <c r="M832" s="2"/>
    </row>
    <row r="833" ht="15.75" customHeight="1">
      <c r="B833" s="2"/>
      <c r="C833" s="2"/>
      <c r="D833" s="2"/>
      <c r="E833" s="2"/>
      <c r="L833" s="2"/>
      <c r="M833" s="2"/>
    </row>
    <row r="834" ht="15.75" customHeight="1">
      <c r="B834" s="2"/>
      <c r="C834" s="2"/>
      <c r="D834" s="2"/>
      <c r="E834" s="2"/>
      <c r="L834" s="2"/>
      <c r="M834" s="2"/>
    </row>
    <row r="835" ht="15.75" customHeight="1">
      <c r="B835" s="2"/>
      <c r="C835" s="2"/>
      <c r="D835" s="2"/>
      <c r="E835" s="2"/>
      <c r="L835" s="2"/>
      <c r="M835" s="2"/>
    </row>
    <row r="836" ht="15.75" customHeight="1">
      <c r="B836" s="2"/>
      <c r="C836" s="2"/>
      <c r="D836" s="2"/>
      <c r="E836" s="2"/>
      <c r="L836" s="2"/>
      <c r="M836" s="2"/>
    </row>
    <row r="837" ht="15.75" customHeight="1">
      <c r="B837" s="2"/>
      <c r="C837" s="2"/>
      <c r="D837" s="2"/>
      <c r="E837" s="2"/>
      <c r="L837" s="2"/>
      <c r="M837" s="2"/>
    </row>
    <row r="838" ht="15.75" customHeight="1">
      <c r="B838" s="2"/>
      <c r="C838" s="2"/>
      <c r="D838" s="2"/>
      <c r="E838" s="2"/>
      <c r="L838" s="2"/>
      <c r="M838" s="2"/>
    </row>
    <row r="839" ht="15.75" customHeight="1">
      <c r="B839" s="2"/>
      <c r="C839" s="2"/>
      <c r="D839" s="2"/>
      <c r="E839" s="2"/>
      <c r="L839" s="2"/>
      <c r="M839" s="2"/>
    </row>
    <row r="840" ht="15.75" customHeight="1">
      <c r="B840" s="2"/>
      <c r="C840" s="2"/>
      <c r="D840" s="2"/>
      <c r="E840" s="2"/>
      <c r="L840" s="2"/>
      <c r="M840" s="2"/>
    </row>
    <row r="841" ht="15.75" customHeight="1">
      <c r="B841" s="2"/>
      <c r="C841" s="2"/>
      <c r="D841" s="2"/>
      <c r="E841" s="2"/>
      <c r="L841" s="2"/>
      <c r="M841" s="2"/>
    </row>
    <row r="842" ht="15.75" customHeight="1">
      <c r="B842" s="2"/>
      <c r="C842" s="2"/>
      <c r="D842" s="2"/>
      <c r="E842" s="2"/>
      <c r="L842" s="2"/>
      <c r="M842" s="2"/>
    </row>
    <row r="843" ht="15.75" customHeight="1">
      <c r="B843" s="2"/>
      <c r="C843" s="2"/>
      <c r="D843" s="2"/>
      <c r="E843" s="2"/>
      <c r="L843" s="2"/>
      <c r="M843" s="2"/>
    </row>
    <row r="844" ht="15.75" customHeight="1">
      <c r="B844" s="2"/>
      <c r="C844" s="2"/>
      <c r="D844" s="2"/>
      <c r="E844" s="2"/>
      <c r="L844" s="2"/>
      <c r="M844" s="2"/>
    </row>
    <row r="845" ht="15.75" customHeight="1">
      <c r="B845" s="2"/>
      <c r="C845" s="2"/>
      <c r="D845" s="2"/>
      <c r="E845" s="2"/>
      <c r="L845" s="2"/>
      <c r="M845" s="2"/>
    </row>
    <row r="846" ht="15.75" customHeight="1">
      <c r="B846" s="2"/>
      <c r="C846" s="2"/>
      <c r="D846" s="2"/>
      <c r="E846" s="2"/>
      <c r="L846" s="2"/>
      <c r="M846" s="2"/>
    </row>
    <row r="847" ht="15.75" customHeight="1">
      <c r="B847" s="2"/>
      <c r="C847" s="2"/>
      <c r="D847" s="2"/>
      <c r="E847" s="2"/>
      <c r="L847" s="2"/>
      <c r="M847" s="2"/>
    </row>
    <row r="848" ht="15.75" customHeight="1">
      <c r="B848" s="2"/>
      <c r="C848" s="2"/>
      <c r="D848" s="2"/>
      <c r="E848" s="2"/>
      <c r="L848" s="2"/>
      <c r="M848" s="2"/>
    </row>
    <row r="849" ht="15.75" customHeight="1">
      <c r="B849" s="2"/>
      <c r="C849" s="2"/>
      <c r="D849" s="2"/>
      <c r="E849" s="2"/>
      <c r="L849" s="2"/>
      <c r="M849" s="2"/>
    </row>
    <row r="850" ht="15.75" customHeight="1">
      <c r="B850" s="2"/>
      <c r="C850" s="2"/>
      <c r="D850" s="2"/>
      <c r="E850" s="2"/>
      <c r="L850" s="2"/>
      <c r="M850" s="2"/>
    </row>
    <row r="851" ht="15.75" customHeight="1">
      <c r="B851" s="2"/>
      <c r="C851" s="2"/>
      <c r="D851" s="2"/>
      <c r="E851" s="2"/>
      <c r="L851" s="2"/>
      <c r="M851" s="2"/>
    </row>
    <row r="852" ht="15.75" customHeight="1">
      <c r="B852" s="2"/>
      <c r="C852" s="2"/>
      <c r="D852" s="2"/>
      <c r="E852" s="2"/>
      <c r="L852" s="2"/>
      <c r="M852" s="2"/>
    </row>
    <row r="853" ht="15.75" customHeight="1">
      <c r="B853" s="2"/>
      <c r="C853" s="2"/>
      <c r="D853" s="2"/>
      <c r="E853" s="2"/>
      <c r="L853" s="2"/>
      <c r="M853" s="2"/>
    </row>
    <row r="854" ht="15.75" customHeight="1">
      <c r="B854" s="2"/>
      <c r="C854" s="2"/>
      <c r="D854" s="2"/>
      <c r="E854" s="2"/>
      <c r="L854" s="2"/>
      <c r="M854" s="2"/>
    </row>
    <row r="855" ht="15.75" customHeight="1">
      <c r="B855" s="2"/>
      <c r="C855" s="2"/>
      <c r="D855" s="2"/>
      <c r="E855" s="2"/>
      <c r="L855" s="2"/>
      <c r="M855" s="2"/>
    </row>
    <row r="856" ht="15.75" customHeight="1">
      <c r="B856" s="2"/>
      <c r="C856" s="2"/>
      <c r="D856" s="2"/>
      <c r="E856" s="2"/>
      <c r="L856" s="2"/>
      <c r="M856" s="2"/>
    </row>
    <row r="857" ht="15.75" customHeight="1">
      <c r="B857" s="2"/>
      <c r="C857" s="2"/>
      <c r="D857" s="2"/>
      <c r="E857" s="2"/>
      <c r="L857" s="2"/>
      <c r="M857" s="2"/>
    </row>
    <row r="858" ht="15.75" customHeight="1">
      <c r="B858" s="2"/>
      <c r="C858" s="2"/>
      <c r="D858" s="2"/>
      <c r="E858" s="2"/>
      <c r="L858" s="2"/>
      <c r="M858" s="2"/>
    </row>
    <row r="859" ht="15.75" customHeight="1">
      <c r="B859" s="2"/>
      <c r="C859" s="2"/>
      <c r="D859" s="2"/>
      <c r="E859" s="2"/>
      <c r="L859" s="2"/>
      <c r="M859" s="2"/>
    </row>
    <row r="860" ht="15.75" customHeight="1">
      <c r="B860" s="2"/>
      <c r="C860" s="2"/>
      <c r="D860" s="2"/>
      <c r="E860" s="2"/>
      <c r="L860" s="2"/>
      <c r="M860" s="2"/>
    </row>
    <row r="861" ht="15.75" customHeight="1">
      <c r="B861" s="2"/>
      <c r="C861" s="2"/>
      <c r="D861" s="2"/>
      <c r="E861" s="2"/>
      <c r="L861" s="2"/>
      <c r="M861" s="2"/>
    </row>
    <row r="862" ht="15.75" customHeight="1">
      <c r="B862" s="2"/>
      <c r="C862" s="2"/>
      <c r="D862" s="2"/>
      <c r="E862" s="2"/>
      <c r="L862" s="2"/>
      <c r="M862" s="2"/>
    </row>
    <row r="863" ht="15.75" customHeight="1">
      <c r="B863" s="2"/>
      <c r="C863" s="2"/>
      <c r="D863" s="2"/>
      <c r="E863" s="2"/>
      <c r="L863" s="2"/>
      <c r="M863" s="2"/>
    </row>
    <row r="864" ht="15.75" customHeight="1">
      <c r="B864" s="2"/>
      <c r="C864" s="2"/>
      <c r="D864" s="2"/>
      <c r="E864" s="2"/>
      <c r="L864" s="2"/>
      <c r="M864" s="2"/>
    </row>
    <row r="865" ht="15.75" customHeight="1">
      <c r="B865" s="2"/>
      <c r="C865" s="2"/>
      <c r="D865" s="2"/>
      <c r="E865" s="2"/>
      <c r="L865" s="2"/>
      <c r="M865" s="2"/>
    </row>
    <row r="866" ht="15.75" customHeight="1">
      <c r="B866" s="2"/>
      <c r="C866" s="2"/>
      <c r="D866" s="2"/>
      <c r="E866" s="2"/>
      <c r="L866" s="2"/>
      <c r="M866" s="2"/>
    </row>
    <row r="867" ht="15.75" customHeight="1">
      <c r="B867" s="2"/>
      <c r="C867" s="2"/>
      <c r="D867" s="2"/>
      <c r="E867" s="2"/>
      <c r="L867" s="2"/>
      <c r="M867" s="2"/>
    </row>
    <row r="868" ht="15.75" customHeight="1">
      <c r="B868" s="2"/>
      <c r="C868" s="2"/>
      <c r="D868" s="2"/>
      <c r="E868" s="2"/>
      <c r="L868" s="2"/>
      <c r="M868" s="2"/>
    </row>
    <row r="869" ht="15.75" customHeight="1">
      <c r="B869" s="2"/>
      <c r="C869" s="2"/>
      <c r="D869" s="2"/>
      <c r="E869" s="2"/>
      <c r="L869" s="2"/>
      <c r="M869" s="2"/>
    </row>
    <row r="870" ht="15.75" customHeight="1">
      <c r="B870" s="2"/>
      <c r="C870" s="2"/>
      <c r="D870" s="2"/>
      <c r="E870" s="2"/>
      <c r="L870" s="2"/>
      <c r="M870" s="2"/>
    </row>
    <row r="871" ht="15.75" customHeight="1">
      <c r="B871" s="2"/>
      <c r="C871" s="2"/>
      <c r="D871" s="2"/>
      <c r="E871" s="2"/>
      <c r="L871" s="2"/>
      <c r="M871" s="2"/>
    </row>
    <row r="872" ht="15.75" customHeight="1">
      <c r="B872" s="2"/>
      <c r="C872" s="2"/>
      <c r="D872" s="2"/>
      <c r="E872" s="2"/>
      <c r="L872" s="2"/>
      <c r="M872" s="2"/>
    </row>
    <row r="873" ht="15.75" customHeight="1">
      <c r="B873" s="2"/>
      <c r="C873" s="2"/>
      <c r="D873" s="2"/>
      <c r="E873" s="2"/>
      <c r="L873" s="2"/>
      <c r="M873" s="2"/>
    </row>
    <row r="874" ht="15.75" customHeight="1">
      <c r="B874" s="2"/>
      <c r="C874" s="2"/>
      <c r="D874" s="2"/>
      <c r="E874" s="2"/>
      <c r="L874" s="2"/>
      <c r="M874" s="2"/>
    </row>
    <row r="875" ht="15.75" customHeight="1">
      <c r="B875" s="2"/>
      <c r="C875" s="2"/>
      <c r="D875" s="2"/>
      <c r="E875" s="2"/>
      <c r="L875" s="2"/>
      <c r="M875" s="2"/>
    </row>
    <row r="876" ht="15.75" customHeight="1">
      <c r="B876" s="2"/>
      <c r="C876" s="2"/>
      <c r="D876" s="2"/>
      <c r="E876" s="2"/>
      <c r="L876" s="2"/>
      <c r="M876" s="2"/>
    </row>
    <row r="877" ht="15.75" customHeight="1">
      <c r="B877" s="2"/>
      <c r="C877" s="2"/>
      <c r="D877" s="2"/>
      <c r="E877" s="2"/>
      <c r="L877" s="2"/>
      <c r="M877" s="2"/>
    </row>
    <row r="878" ht="15.75" customHeight="1">
      <c r="B878" s="2"/>
      <c r="C878" s="2"/>
      <c r="D878" s="2"/>
      <c r="E878" s="2"/>
      <c r="L878" s="2"/>
      <c r="M878" s="2"/>
    </row>
    <row r="879" ht="15.75" customHeight="1">
      <c r="B879" s="2"/>
      <c r="C879" s="2"/>
      <c r="D879" s="2"/>
      <c r="E879" s="2"/>
      <c r="L879" s="2"/>
      <c r="M879" s="2"/>
    </row>
    <row r="880" ht="15.75" customHeight="1">
      <c r="B880" s="2"/>
      <c r="C880" s="2"/>
      <c r="D880" s="2"/>
      <c r="E880" s="2"/>
      <c r="L880" s="2"/>
      <c r="M880" s="2"/>
    </row>
    <row r="881" ht="15.75" customHeight="1">
      <c r="B881" s="2"/>
      <c r="C881" s="2"/>
      <c r="D881" s="2"/>
      <c r="E881" s="2"/>
      <c r="L881" s="2"/>
      <c r="M881" s="2"/>
    </row>
    <row r="882" ht="15.75" customHeight="1">
      <c r="B882" s="2"/>
      <c r="C882" s="2"/>
      <c r="D882" s="2"/>
      <c r="E882" s="2"/>
      <c r="L882" s="2"/>
      <c r="M882" s="2"/>
    </row>
    <row r="883" ht="15.75" customHeight="1">
      <c r="B883" s="2"/>
      <c r="C883" s="2"/>
      <c r="D883" s="2"/>
      <c r="E883" s="2"/>
      <c r="L883" s="2"/>
      <c r="M883" s="2"/>
    </row>
    <row r="884" ht="15.75" customHeight="1">
      <c r="B884" s="2"/>
      <c r="C884" s="2"/>
      <c r="D884" s="2"/>
      <c r="E884" s="2"/>
      <c r="L884" s="2"/>
      <c r="M884" s="2"/>
    </row>
    <row r="885" ht="15.75" customHeight="1">
      <c r="B885" s="2"/>
      <c r="C885" s="2"/>
      <c r="D885" s="2"/>
      <c r="E885" s="2"/>
      <c r="L885" s="2"/>
      <c r="M885" s="2"/>
    </row>
    <row r="886" ht="15.75" customHeight="1">
      <c r="B886" s="2"/>
      <c r="C886" s="2"/>
      <c r="D886" s="2"/>
      <c r="E886" s="2"/>
      <c r="L886" s="2"/>
      <c r="M886" s="2"/>
    </row>
    <row r="887" ht="15.75" customHeight="1">
      <c r="B887" s="2"/>
      <c r="C887" s="2"/>
      <c r="D887" s="2"/>
      <c r="E887" s="2"/>
      <c r="L887" s="2"/>
      <c r="M887" s="2"/>
    </row>
    <row r="888" ht="15.75" customHeight="1">
      <c r="B888" s="2"/>
      <c r="C888" s="2"/>
      <c r="D888" s="2"/>
      <c r="E888" s="2"/>
      <c r="L888" s="2"/>
      <c r="M888" s="2"/>
    </row>
    <row r="889" ht="15.75" customHeight="1">
      <c r="B889" s="2"/>
      <c r="C889" s="2"/>
      <c r="D889" s="2"/>
      <c r="E889" s="2"/>
      <c r="L889" s="2"/>
      <c r="M889" s="2"/>
    </row>
    <row r="890" ht="15.75" customHeight="1">
      <c r="B890" s="2"/>
      <c r="C890" s="2"/>
      <c r="D890" s="2"/>
      <c r="E890" s="2"/>
      <c r="L890" s="2"/>
      <c r="M890" s="2"/>
    </row>
    <row r="891" ht="15.75" customHeight="1">
      <c r="B891" s="2"/>
      <c r="C891" s="2"/>
      <c r="D891" s="2"/>
      <c r="E891" s="2"/>
      <c r="L891" s="2"/>
      <c r="M891" s="2"/>
    </row>
    <row r="892" ht="15.75" customHeight="1">
      <c r="B892" s="2"/>
      <c r="C892" s="2"/>
      <c r="D892" s="2"/>
      <c r="E892" s="2"/>
      <c r="L892" s="2"/>
      <c r="M892" s="2"/>
    </row>
    <row r="893" ht="15.75" customHeight="1">
      <c r="B893" s="2"/>
      <c r="C893" s="2"/>
      <c r="D893" s="2"/>
      <c r="E893" s="2"/>
      <c r="L893" s="2"/>
      <c r="M893" s="2"/>
    </row>
    <row r="894" ht="15.75" customHeight="1">
      <c r="B894" s="2"/>
      <c r="C894" s="2"/>
      <c r="D894" s="2"/>
      <c r="E894" s="2"/>
      <c r="L894" s="2"/>
      <c r="M894" s="2"/>
    </row>
    <row r="895" ht="15.75" customHeight="1">
      <c r="B895" s="2"/>
      <c r="C895" s="2"/>
      <c r="D895" s="2"/>
      <c r="E895" s="2"/>
      <c r="L895" s="2"/>
      <c r="M895" s="2"/>
    </row>
    <row r="896" ht="15.75" customHeight="1">
      <c r="B896" s="2"/>
      <c r="C896" s="2"/>
      <c r="D896" s="2"/>
      <c r="E896" s="2"/>
      <c r="L896" s="2"/>
      <c r="M896" s="2"/>
    </row>
    <row r="897" ht="15.75" customHeight="1">
      <c r="B897" s="2"/>
      <c r="C897" s="2"/>
      <c r="D897" s="2"/>
      <c r="E897" s="2"/>
      <c r="L897" s="2"/>
      <c r="M897" s="2"/>
    </row>
    <row r="898" ht="15.75" customHeight="1">
      <c r="B898" s="2"/>
      <c r="C898" s="2"/>
      <c r="D898" s="2"/>
      <c r="E898" s="2"/>
      <c r="L898" s="2"/>
      <c r="M898" s="2"/>
    </row>
    <row r="899" ht="15.75" customHeight="1">
      <c r="B899" s="2"/>
      <c r="C899" s="2"/>
      <c r="D899" s="2"/>
      <c r="E899" s="2"/>
      <c r="L899" s="2"/>
      <c r="M899" s="2"/>
    </row>
    <row r="900" ht="15.75" customHeight="1">
      <c r="B900" s="2"/>
      <c r="C900" s="2"/>
      <c r="D900" s="2"/>
      <c r="E900" s="2"/>
      <c r="L900" s="2"/>
      <c r="M900" s="2"/>
    </row>
    <row r="901" ht="15.75" customHeight="1">
      <c r="B901" s="2"/>
      <c r="C901" s="2"/>
      <c r="D901" s="2"/>
      <c r="E901" s="2"/>
      <c r="L901" s="2"/>
      <c r="M901" s="2"/>
    </row>
    <row r="902" ht="15.75" customHeight="1">
      <c r="B902" s="2"/>
      <c r="C902" s="2"/>
      <c r="D902" s="2"/>
      <c r="E902" s="2"/>
      <c r="L902" s="2"/>
      <c r="M902" s="2"/>
    </row>
    <row r="903" ht="15.75" customHeight="1">
      <c r="B903" s="2"/>
      <c r="C903" s="2"/>
      <c r="D903" s="2"/>
      <c r="E903" s="2"/>
      <c r="L903" s="2"/>
      <c r="M903" s="2"/>
    </row>
    <row r="904" ht="15.75" customHeight="1">
      <c r="B904" s="2"/>
      <c r="C904" s="2"/>
      <c r="D904" s="2"/>
      <c r="E904" s="2"/>
      <c r="L904" s="2"/>
      <c r="M904" s="2"/>
    </row>
    <row r="905" ht="15.75" customHeight="1">
      <c r="B905" s="2"/>
      <c r="C905" s="2"/>
      <c r="D905" s="2"/>
      <c r="E905" s="2"/>
      <c r="L905" s="2"/>
      <c r="M905" s="2"/>
    </row>
    <row r="906" ht="15.75" customHeight="1">
      <c r="B906" s="2"/>
      <c r="C906" s="2"/>
      <c r="D906" s="2"/>
      <c r="E906" s="2"/>
      <c r="L906" s="2"/>
      <c r="M906" s="2"/>
    </row>
    <row r="907" ht="15.75" customHeight="1">
      <c r="B907" s="2"/>
      <c r="C907" s="2"/>
      <c r="D907" s="2"/>
      <c r="E907" s="2"/>
      <c r="L907" s="2"/>
      <c r="M907" s="2"/>
    </row>
    <row r="908" ht="15.75" customHeight="1">
      <c r="B908" s="2"/>
      <c r="C908" s="2"/>
      <c r="D908" s="2"/>
      <c r="E908" s="2"/>
      <c r="L908" s="2"/>
      <c r="M908" s="2"/>
    </row>
    <row r="909" ht="15.75" customHeight="1">
      <c r="B909" s="2"/>
      <c r="C909" s="2"/>
      <c r="D909" s="2"/>
      <c r="E909" s="2"/>
      <c r="L909" s="2"/>
      <c r="M909" s="2"/>
    </row>
    <row r="910" ht="15.75" customHeight="1">
      <c r="B910" s="2"/>
      <c r="C910" s="2"/>
      <c r="D910" s="2"/>
      <c r="E910" s="2"/>
      <c r="L910" s="2"/>
      <c r="M910" s="2"/>
    </row>
    <row r="911" ht="15.75" customHeight="1">
      <c r="B911" s="2"/>
      <c r="C911" s="2"/>
      <c r="D911" s="2"/>
      <c r="E911" s="2"/>
      <c r="L911" s="2"/>
      <c r="M911" s="2"/>
    </row>
    <row r="912" ht="15.75" customHeight="1">
      <c r="B912" s="2"/>
      <c r="C912" s="2"/>
      <c r="D912" s="2"/>
      <c r="E912" s="2"/>
      <c r="L912" s="2"/>
      <c r="M912" s="2"/>
    </row>
    <row r="913" ht="15.75" customHeight="1">
      <c r="B913" s="2"/>
      <c r="C913" s="2"/>
      <c r="D913" s="2"/>
      <c r="E913" s="2"/>
      <c r="L913" s="2"/>
      <c r="M913" s="2"/>
    </row>
    <row r="914" ht="15.75" customHeight="1">
      <c r="B914" s="2"/>
      <c r="C914" s="2"/>
      <c r="D914" s="2"/>
      <c r="E914" s="2"/>
      <c r="L914" s="2"/>
      <c r="M914" s="2"/>
    </row>
    <row r="915" ht="15.75" customHeight="1">
      <c r="B915" s="2"/>
      <c r="C915" s="2"/>
      <c r="D915" s="2"/>
      <c r="E915" s="2"/>
      <c r="L915" s="2"/>
      <c r="M915" s="2"/>
    </row>
    <row r="916" ht="15.75" customHeight="1">
      <c r="B916" s="2"/>
      <c r="C916" s="2"/>
      <c r="D916" s="2"/>
      <c r="E916" s="2"/>
      <c r="L916" s="2"/>
      <c r="M916" s="2"/>
    </row>
    <row r="917" ht="15.75" customHeight="1">
      <c r="B917" s="2"/>
      <c r="C917" s="2"/>
      <c r="D917" s="2"/>
      <c r="E917" s="2"/>
      <c r="L917" s="2"/>
      <c r="M917" s="2"/>
    </row>
    <row r="918" ht="15.75" customHeight="1">
      <c r="B918" s="2"/>
      <c r="C918" s="2"/>
      <c r="D918" s="2"/>
      <c r="E918" s="2"/>
      <c r="L918" s="2"/>
      <c r="M918" s="2"/>
    </row>
    <row r="919" ht="15.75" customHeight="1">
      <c r="B919" s="2"/>
      <c r="C919" s="2"/>
      <c r="D919" s="2"/>
      <c r="E919" s="2"/>
      <c r="L919" s="2"/>
      <c r="M919" s="2"/>
    </row>
    <row r="920" ht="15.75" customHeight="1">
      <c r="B920" s="2"/>
      <c r="C920" s="2"/>
      <c r="D920" s="2"/>
      <c r="E920" s="2"/>
      <c r="L920" s="2"/>
      <c r="M920" s="2"/>
    </row>
    <row r="921" ht="15.75" customHeight="1">
      <c r="B921" s="2"/>
      <c r="C921" s="2"/>
      <c r="D921" s="2"/>
      <c r="E921" s="2"/>
      <c r="L921" s="2"/>
      <c r="M921" s="2"/>
    </row>
    <row r="922" ht="15.75" customHeight="1">
      <c r="B922" s="2"/>
      <c r="C922" s="2"/>
      <c r="D922" s="2"/>
      <c r="E922" s="2"/>
      <c r="L922" s="2"/>
      <c r="M922" s="2"/>
    </row>
    <row r="923" ht="15.75" customHeight="1">
      <c r="B923" s="2"/>
      <c r="C923" s="2"/>
      <c r="D923" s="2"/>
      <c r="E923" s="2"/>
      <c r="L923" s="2"/>
      <c r="M923" s="2"/>
    </row>
    <row r="924" ht="15.75" customHeight="1">
      <c r="B924" s="2"/>
      <c r="C924" s="2"/>
      <c r="D924" s="2"/>
      <c r="E924" s="2"/>
      <c r="L924" s="2"/>
      <c r="M924" s="2"/>
    </row>
    <row r="925" ht="15.75" customHeight="1">
      <c r="B925" s="2"/>
      <c r="C925" s="2"/>
      <c r="D925" s="2"/>
      <c r="E925" s="2"/>
      <c r="L925" s="2"/>
      <c r="M925" s="2"/>
    </row>
    <row r="926" ht="15.75" customHeight="1">
      <c r="B926" s="2"/>
      <c r="C926" s="2"/>
      <c r="D926" s="2"/>
      <c r="E926" s="2"/>
      <c r="L926" s="2"/>
      <c r="M926" s="2"/>
    </row>
    <row r="927" ht="15.75" customHeight="1">
      <c r="B927" s="2"/>
      <c r="C927" s="2"/>
      <c r="D927" s="2"/>
      <c r="E927" s="2"/>
      <c r="L927" s="2"/>
      <c r="M927" s="2"/>
    </row>
    <row r="928" ht="15.75" customHeight="1">
      <c r="B928" s="2"/>
      <c r="C928" s="2"/>
      <c r="D928" s="2"/>
      <c r="E928" s="2"/>
      <c r="L928" s="2"/>
      <c r="M928" s="2"/>
    </row>
    <row r="929" ht="15.75" customHeight="1">
      <c r="B929" s="2"/>
      <c r="C929" s="2"/>
      <c r="D929" s="2"/>
      <c r="E929" s="2"/>
      <c r="L929" s="2"/>
      <c r="M929" s="2"/>
    </row>
    <row r="930" ht="15.75" customHeight="1">
      <c r="B930" s="2"/>
      <c r="C930" s="2"/>
      <c r="D930" s="2"/>
      <c r="E930" s="2"/>
      <c r="L930" s="2"/>
      <c r="M930" s="2"/>
    </row>
    <row r="931" ht="15.75" customHeight="1">
      <c r="B931" s="2"/>
      <c r="C931" s="2"/>
      <c r="D931" s="2"/>
      <c r="E931" s="2"/>
      <c r="L931" s="2"/>
      <c r="M931" s="2"/>
    </row>
    <row r="932" ht="15.75" customHeight="1">
      <c r="B932" s="2"/>
      <c r="C932" s="2"/>
      <c r="D932" s="2"/>
      <c r="E932" s="2"/>
      <c r="L932" s="2"/>
      <c r="M932" s="2"/>
    </row>
    <row r="933" ht="15.75" customHeight="1">
      <c r="B933" s="2"/>
      <c r="C933" s="2"/>
      <c r="D933" s="2"/>
      <c r="E933" s="2"/>
      <c r="L933" s="2"/>
      <c r="M933" s="2"/>
    </row>
    <row r="934" ht="15.75" customHeight="1">
      <c r="B934" s="2"/>
      <c r="C934" s="2"/>
      <c r="D934" s="2"/>
      <c r="E934" s="2"/>
      <c r="L934" s="2"/>
      <c r="M934" s="2"/>
    </row>
    <row r="935" ht="15.75" customHeight="1">
      <c r="B935" s="2"/>
      <c r="C935" s="2"/>
      <c r="D935" s="2"/>
      <c r="E935" s="2"/>
      <c r="L935" s="2"/>
      <c r="M935" s="2"/>
    </row>
    <row r="936" ht="15.75" customHeight="1">
      <c r="B936" s="2"/>
      <c r="C936" s="2"/>
      <c r="D936" s="2"/>
      <c r="E936" s="2"/>
      <c r="L936" s="2"/>
      <c r="M936" s="2"/>
    </row>
    <row r="937" ht="15.75" customHeight="1">
      <c r="B937" s="2"/>
      <c r="C937" s="2"/>
      <c r="D937" s="2"/>
      <c r="E937" s="2"/>
      <c r="L937" s="2"/>
      <c r="M937" s="2"/>
    </row>
    <row r="938" ht="15.75" customHeight="1">
      <c r="B938" s="2"/>
      <c r="C938" s="2"/>
      <c r="D938" s="2"/>
      <c r="E938" s="2"/>
      <c r="L938" s="2"/>
      <c r="M938" s="2"/>
    </row>
    <row r="939" ht="15.75" customHeight="1">
      <c r="B939" s="2"/>
      <c r="C939" s="2"/>
      <c r="D939" s="2"/>
      <c r="E939" s="2"/>
      <c r="L939" s="2"/>
      <c r="M939" s="2"/>
    </row>
    <row r="940" ht="15.75" customHeight="1">
      <c r="B940" s="2"/>
      <c r="C940" s="2"/>
      <c r="D940" s="2"/>
      <c r="E940" s="2"/>
      <c r="L940" s="2"/>
      <c r="M940" s="2"/>
    </row>
    <row r="941" ht="15.75" customHeight="1">
      <c r="B941" s="2"/>
      <c r="C941" s="2"/>
      <c r="D941" s="2"/>
      <c r="E941" s="2"/>
      <c r="L941" s="2"/>
      <c r="M941" s="2"/>
    </row>
    <row r="942" ht="15.75" customHeight="1">
      <c r="B942" s="2"/>
      <c r="C942" s="2"/>
      <c r="D942" s="2"/>
      <c r="E942" s="2"/>
      <c r="L942" s="2"/>
      <c r="M942" s="2"/>
    </row>
    <row r="943" ht="15.75" customHeight="1">
      <c r="B943" s="2"/>
      <c r="C943" s="2"/>
      <c r="D943" s="2"/>
      <c r="E943" s="2"/>
      <c r="L943" s="2"/>
      <c r="M943" s="2"/>
    </row>
    <row r="944" ht="15.75" customHeight="1">
      <c r="B944" s="2"/>
      <c r="C944" s="2"/>
      <c r="D944" s="2"/>
      <c r="E944" s="2"/>
      <c r="L944" s="2"/>
      <c r="M944" s="2"/>
    </row>
    <row r="945" ht="15.75" customHeight="1">
      <c r="B945" s="2"/>
      <c r="C945" s="2"/>
      <c r="D945" s="2"/>
      <c r="E945" s="2"/>
      <c r="L945" s="2"/>
      <c r="M945" s="2"/>
    </row>
    <row r="946" ht="15.75" customHeight="1">
      <c r="B946" s="2"/>
      <c r="C946" s="2"/>
      <c r="D946" s="2"/>
      <c r="E946" s="2"/>
      <c r="L946" s="2"/>
      <c r="M946" s="2"/>
    </row>
    <row r="947" ht="15.75" customHeight="1">
      <c r="B947" s="2"/>
      <c r="C947" s="2"/>
      <c r="D947" s="2"/>
      <c r="E947" s="2"/>
      <c r="L947" s="2"/>
      <c r="M947" s="2"/>
    </row>
    <row r="948" ht="15.75" customHeight="1">
      <c r="B948" s="2"/>
      <c r="C948" s="2"/>
      <c r="D948" s="2"/>
      <c r="E948" s="2"/>
      <c r="L948" s="2"/>
      <c r="M948" s="2"/>
    </row>
    <row r="949" ht="15.75" customHeight="1">
      <c r="B949" s="2"/>
      <c r="C949" s="2"/>
      <c r="D949" s="2"/>
      <c r="E949" s="2"/>
      <c r="L949" s="2"/>
      <c r="M949" s="2"/>
    </row>
    <row r="950" ht="15.75" customHeight="1">
      <c r="B950" s="2"/>
      <c r="C950" s="2"/>
      <c r="D950" s="2"/>
      <c r="E950" s="2"/>
      <c r="L950" s="2"/>
      <c r="M950" s="2"/>
    </row>
    <row r="951" ht="15.75" customHeight="1">
      <c r="B951" s="2"/>
      <c r="C951" s="2"/>
      <c r="D951" s="2"/>
      <c r="E951" s="2"/>
      <c r="L951" s="2"/>
      <c r="M951" s="2"/>
    </row>
    <row r="952" ht="15.75" customHeight="1">
      <c r="B952" s="2"/>
      <c r="C952" s="2"/>
      <c r="D952" s="2"/>
      <c r="E952" s="2"/>
      <c r="L952" s="2"/>
      <c r="M952" s="2"/>
    </row>
    <row r="953" ht="15.75" customHeight="1">
      <c r="B953" s="2"/>
      <c r="C953" s="2"/>
      <c r="D953" s="2"/>
      <c r="E953" s="2"/>
      <c r="L953" s="2"/>
      <c r="M953" s="2"/>
    </row>
    <row r="954" ht="15.75" customHeight="1">
      <c r="B954" s="2"/>
      <c r="C954" s="2"/>
      <c r="D954" s="2"/>
      <c r="E954" s="2"/>
      <c r="L954" s="2"/>
      <c r="M954" s="2"/>
    </row>
    <row r="955" ht="15.75" customHeight="1">
      <c r="B955" s="2"/>
      <c r="C955" s="2"/>
      <c r="D955" s="2"/>
      <c r="E955" s="2"/>
      <c r="L955" s="2"/>
      <c r="M955" s="2"/>
    </row>
    <row r="956" ht="15.75" customHeight="1">
      <c r="B956" s="2"/>
      <c r="C956" s="2"/>
      <c r="D956" s="2"/>
      <c r="E956" s="2"/>
      <c r="L956" s="2"/>
      <c r="M956" s="2"/>
    </row>
    <row r="957" ht="15.75" customHeight="1">
      <c r="B957" s="2"/>
      <c r="C957" s="2"/>
      <c r="D957" s="2"/>
      <c r="E957" s="2"/>
      <c r="L957" s="2"/>
      <c r="M957" s="2"/>
    </row>
    <row r="958" ht="15.75" customHeight="1">
      <c r="B958" s="2"/>
      <c r="C958" s="2"/>
      <c r="D958" s="2"/>
      <c r="E958" s="2"/>
      <c r="L958" s="2"/>
      <c r="M958" s="2"/>
    </row>
    <row r="959" ht="15.75" customHeight="1">
      <c r="B959" s="2"/>
      <c r="C959" s="2"/>
      <c r="D959" s="2"/>
      <c r="E959" s="2"/>
      <c r="L959" s="2"/>
      <c r="M959" s="2"/>
    </row>
    <row r="960" ht="15.75" customHeight="1">
      <c r="B960" s="2"/>
      <c r="C960" s="2"/>
      <c r="D960" s="2"/>
      <c r="E960" s="2"/>
      <c r="L960" s="2"/>
      <c r="M960" s="2"/>
    </row>
    <row r="961" ht="15.75" customHeight="1">
      <c r="B961" s="2"/>
      <c r="C961" s="2"/>
      <c r="D961" s="2"/>
      <c r="E961" s="2"/>
      <c r="L961" s="2"/>
      <c r="M961" s="2"/>
    </row>
    <row r="962" ht="15.75" customHeight="1">
      <c r="B962" s="2"/>
      <c r="C962" s="2"/>
      <c r="D962" s="2"/>
      <c r="E962" s="2"/>
      <c r="L962" s="2"/>
      <c r="M962" s="2"/>
    </row>
    <row r="963" ht="15.75" customHeight="1">
      <c r="B963" s="2"/>
      <c r="C963" s="2"/>
      <c r="D963" s="2"/>
      <c r="E963" s="2"/>
      <c r="L963" s="2"/>
      <c r="M963" s="2"/>
    </row>
    <row r="964" ht="15.75" customHeight="1">
      <c r="B964" s="2"/>
      <c r="C964" s="2"/>
      <c r="D964" s="2"/>
      <c r="E964" s="2"/>
      <c r="L964" s="2"/>
      <c r="M964" s="2"/>
    </row>
    <row r="965" ht="15.75" customHeight="1">
      <c r="B965" s="2"/>
      <c r="C965" s="2"/>
      <c r="D965" s="2"/>
      <c r="E965" s="2"/>
      <c r="L965" s="2"/>
      <c r="M965" s="2"/>
    </row>
    <row r="966" ht="15.75" customHeight="1">
      <c r="B966" s="2"/>
      <c r="C966" s="2"/>
      <c r="D966" s="2"/>
      <c r="E966" s="2"/>
      <c r="L966" s="2"/>
      <c r="M966" s="2"/>
    </row>
    <row r="967" ht="15.75" customHeight="1">
      <c r="B967" s="2"/>
      <c r="C967" s="2"/>
      <c r="D967" s="2"/>
      <c r="E967" s="2"/>
      <c r="L967" s="2"/>
      <c r="M967" s="2"/>
    </row>
    <row r="968" ht="15.75" customHeight="1">
      <c r="B968" s="2"/>
      <c r="C968" s="2"/>
      <c r="D968" s="2"/>
      <c r="E968" s="2"/>
      <c r="L968" s="2"/>
      <c r="M968" s="2"/>
    </row>
    <row r="969" ht="15.75" customHeight="1">
      <c r="B969" s="2"/>
      <c r="C969" s="2"/>
      <c r="D969" s="2"/>
      <c r="E969" s="2"/>
      <c r="L969" s="2"/>
      <c r="M969" s="2"/>
    </row>
    <row r="970" ht="15.75" customHeight="1">
      <c r="B970" s="2"/>
      <c r="C970" s="2"/>
      <c r="D970" s="2"/>
      <c r="E970" s="2"/>
      <c r="L970" s="2"/>
      <c r="M970" s="2"/>
    </row>
    <row r="971" ht="15.75" customHeight="1">
      <c r="B971" s="2"/>
      <c r="C971" s="2"/>
      <c r="D971" s="2"/>
      <c r="E971" s="2"/>
      <c r="L971" s="2"/>
      <c r="M971" s="2"/>
    </row>
    <row r="972" ht="15.75" customHeight="1">
      <c r="B972" s="2"/>
      <c r="C972" s="2"/>
      <c r="D972" s="2"/>
      <c r="E972" s="2"/>
      <c r="L972" s="2"/>
      <c r="M972" s="2"/>
    </row>
    <row r="973" ht="15.75" customHeight="1">
      <c r="B973" s="2"/>
      <c r="C973" s="2"/>
      <c r="D973" s="2"/>
      <c r="E973" s="2"/>
      <c r="L973" s="2"/>
      <c r="M973" s="2"/>
    </row>
    <row r="974" ht="15.75" customHeight="1">
      <c r="B974" s="2"/>
      <c r="C974" s="2"/>
      <c r="D974" s="2"/>
      <c r="E974" s="2"/>
      <c r="L974" s="2"/>
      <c r="M974" s="2"/>
    </row>
    <row r="975" ht="15.75" customHeight="1">
      <c r="B975" s="2"/>
      <c r="C975" s="2"/>
      <c r="D975" s="2"/>
      <c r="E975" s="2"/>
      <c r="L975" s="2"/>
      <c r="M975" s="2"/>
    </row>
    <row r="976" ht="15.75" customHeight="1">
      <c r="B976" s="2"/>
      <c r="C976" s="2"/>
      <c r="D976" s="2"/>
      <c r="E976" s="2"/>
      <c r="L976" s="2"/>
      <c r="M976" s="2"/>
    </row>
    <row r="977" ht="15.75" customHeight="1">
      <c r="B977" s="2"/>
      <c r="C977" s="2"/>
      <c r="D977" s="2"/>
      <c r="E977" s="2"/>
      <c r="L977" s="2"/>
      <c r="M977" s="2"/>
    </row>
    <row r="978" ht="15.75" customHeight="1">
      <c r="B978" s="2"/>
      <c r="C978" s="2"/>
      <c r="D978" s="2"/>
      <c r="E978" s="2"/>
      <c r="L978" s="2"/>
      <c r="M978" s="2"/>
    </row>
    <row r="979" ht="15.75" customHeight="1">
      <c r="B979" s="2"/>
      <c r="C979" s="2"/>
      <c r="D979" s="2"/>
      <c r="E979" s="2"/>
      <c r="L979" s="2"/>
      <c r="M979" s="2"/>
    </row>
    <row r="980" ht="15.75" customHeight="1">
      <c r="B980" s="2"/>
      <c r="C980" s="2"/>
      <c r="D980" s="2"/>
      <c r="E980" s="2"/>
      <c r="L980" s="2"/>
      <c r="M980" s="2"/>
    </row>
    <row r="981" ht="15.75" customHeight="1">
      <c r="B981" s="2"/>
      <c r="C981" s="2"/>
      <c r="D981" s="2"/>
      <c r="E981" s="2"/>
      <c r="L981" s="2"/>
      <c r="M981" s="2"/>
    </row>
    <row r="982" ht="15.75" customHeight="1">
      <c r="B982" s="2"/>
      <c r="C982" s="2"/>
      <c r="D982" s="2"/>
      <c r="E982" s="2"/>
      <c r="L982" s="2"/>
      <c r="M982" s="2"/>
    </row>
    <row r="983" ht="15.75" customHeight="1">
      <c r="B983" s="2"/>
      <c r="C983" s="2"/>
      <c r="D983" s="2"/>
      <c r="E983" s="2"/>
      <c r="L983" s="2"/>
      <c r="M983" s="2"/>
    </row>
    <row r="984" ht="15.75" customHeight="1">
      <c r="B984" s="2"/>
      <c r="C984" s="2"/>
      <c r="D984" s="2"/>
      <c r="E984" s="2"/>
      <c r="L984" s="2"/>
      <c r="M984" s="2"/>
    </row>
    <row r="985" ht="15.75" customHeight="1">
      <c r="B985" s="2"/>
      <c r="C985" s="2"/>
      <c r="D985" s="2"/>
      <c r="E985" s="2"/>
      <c r="L985" s="2"/>
      <c r="M985" s="2"/>
    </row>
    <row r="986" ht="15.75" customHeight="1">
      <c r="B986" s="2"/>
      <c r="C986" s="2"/>
      <c r="D986" s="2"/>
      <c r="E986" s="2"/>
      <c r="L986" s="2"/>
      <c r="M986" s="2"/>
    </row>
    <row r="987" ht="15.75" customHeight="1">
      <c r="B987" s="2"/>
      <c r="C987" s="2"/>
      <c r="D987" s="2"/>
      <c r="E987" s="2"/>
      <c r="L987" s="2"/>
      <c r="M987" s="2"/>
    </row>
    <row r="988" ht="15.75" customHeight="1">
      <c r="B988" s="2"/>
      <c r="C988" s="2"/>
      <c r="D988" s="2"/>
      <c r="E988" s="2"/>
      <c r="L988" s="2"/>
      <c r="M988" s="2"/>
    </row>
    <row r="989" ht="15.75" customHeight="1">
      <c r="B989" s="2"/>
      <c r="C989" s="2"/>
      <c r="D989" s="2"/>
      <c r="E989" s="2"/>
      <c r="L989" s="2"/>
      <c r="M989" s="2"/>
    </row>
    <row r="990" ht="15.75" customHeight="1">
      <c r="B990" s="2"/>
      <c r="C990" s="2"/>
      <c r="D990" s="2"/>
      <c r="E990" s="2"/>
      <c r="L990" s="2"/>
      <c r="M990" s="2"/>
    </row>
    <row r="991" ht="15.75" customHeight="1">
      <c r="B991" s="2"/>
      <c r="C991" s="2"/>
      <c r="D991" s="2"/>
      <c r="E991" s="2"/>
      <c r="L991" s="2"/>
      <c r="M991" s="2"/>
    </row>
    <row r="992" ht="15.75" customHeight="1">
      <c r="B992" s="2"/>
      <c r="C992" s="2"/>
      <c r="D992" s="2"/>
      <c r="E992" s="2"/>
      <c r="L992" s="2"/>
      <c r="M992" s="2"/>
    </row>
    <row r="993" ht="15.75" customHeight="1">
      <c r="B993" s="2"/>
      <c r="C993" s="2"/>
      <c r="D993" s="2"/>
      <c r="E993" s="2"/>
      <c r="L993" s="2"/>
      <c r="M993" s="2"/>
    </row>
    <row r="994" ht="15.75" customHeight="1">
      <c r="B994" s="2"/>
      <c r="C994" s="2"/>
      <c r="D994" s="2"/>
      <c r="E994" s="2"/>
      <c r="L994" s="2"/>
      <c r="M994" s="2"/>
    </row>
    <row r="995" ht="15.75" customHeight="1">
      <c r="B995" s="2"/>
      <c r="C995" s="2"/>
      <c r="D995" s="2"/>
      <c r="E995" s="2"/>
      <c r="L995" s="2"/>
      <c r="M995" s="2"/>
    </row>
    <row r="996" ht="15.75" customHeight="1">
      <c r="B996" s="2"/>
      <c r="C996" s="2"/>
      <c r="D996" s="2"/>
      <c r="E996" s="2"/>
      <c r="L996" s="2"/>
      <c r="M996" s="2"/>
    </row>
    <row r="997" ht="15.75" customHeight="1">
      <c r="B997" s="2"/>
      <c r="C997" s="2"/>
      <c r="D997" s="2"/>
      <c r="E997" s="2"/>
      <c r="L997" s="2"/>
      <c r="M997" s="2"/>
    </row>
    <row r="998" ht="15.75" customHeight="1">
      <c r="B998" s="2"/>
      <c r="C998" s="2"/>
      <c r="D998" s="2"/>
      <c r="E998" s="2"/>
      <c r="L998" s="2"/>
      <c r="M998" s="2"/>
    </row>
    <row r="999" ht="15.75" customHeight="1">
      <c r="B999" s="2"/>
      <c r="C999" s="2"/>
      <c r="D999" s="2"/>
      <c r="E999" s="2"/>
      <c r="L999" s="2"/>
      <c r="M999" s="2"/>
    </row>
    <row r="1000" ht="15.75" customHeight="1">
      <c r="B1000" s="2"/>
      <c r="C1000" s="2"/>
      <c r="D1000" s="2"/>
      <c r="E1000" s="2"/>
      <c r="L1000" s="2"/>
      <c r="M1000" s="2"/>
    </row>
  </sheetData>
  <mergeCells count="10">
    <mergeCell ref="X10:AA10"/>
    <mergeCell ref="X20:AA20"/>
    <mergeCell ref="AC20:AE20"/>
    <mergeCell ref="J5:N7"/>
    <mergeCell ref="P5:T7"/>
    <mergeCell ref="J8:N8"/>
    <mergeCell ref="AC8:AD8"/>
    <mergeCell ref="AH8:AJ8"/>
    <mergeCell ref="AL8:AN8"/>
    <mergeCell ref="AC10:AE10"/>
  </mergeCells>
  <conditionalFormatting sqref="N10:N41">
    <cfRule type="cellIs" dxfId="0" priority="1" operator="greaterThanOrEqual">
      <formula>0</formula>
    </cfRule>
  </conditionalFormatting>
  <conditionalFormatting sqref="N10:N41">
    <cfRule type="cellIs" dxfId="1" priority="2" operator="lessThan">
      <formula>0</formula>
    </cfRule>
  </conditionalFormatting>
  <conditionalFormatting sqref="N10:N41">
    <cfRule type="cellIs" dxfId="2" priority="3" operator="lessThan">
      <formula>0</formula>
    </cfRule>
  </conditionalFormatting>
  <conditionalFormatting sqref="T10:T41">
    <cfRule type="cellIs" dxfId="0" priority="4" operator="greaterThanOrEqual">
      <formula>0</formula>
    </cfRule>
  </conditionalFormatting>
  <conditionalFormatting sqref="T10:T41">
    <cfRule type="cellIs" dxfId="1" priority="5" operator="lessThan">
      <formula>0</formula>
    </cfRule>
  </conditionalFormatting>
  <conditionalFormatting sqref="T10:T41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13.0"/>
    <col customWidth="1" min="4" max="4" width="11.0"/>
    <col customWidth="1" min="5" max="5" width="19.11"/>
    <col customWidth="1" min="6" max="6" width="17.67"/>
    <col customWidth="1" min="7" max="7" width="18.33"/>
    <col customWidth="1" min="8" max="8" width="11.11"/>
    <col customWidth="1" min="9" max="9" width="13.0"/>
    <col customWidth="1" min="10" max="10" width="11.11"/>
    <col customWidth="1" min="11" max="11" width="19.44"/>
    <col customWidth="1" min="12" max="12" width="17.78"/>
    <col customWidth="1" min="13" max="13" width="21.33"/>
    <col customWidth="1" min="14" max="14" width="11.11"/>
    <col customWidth="1" min="15" max="17" width="10.56"/>
    <col customWidth="1" min="18" max="18" width="11.11"/>
    <col customWidth="1" min="19" max="19" width="13.0"/>
    <col customWidth="1" min="20" max="20" width="14.33"/>
    <col customWidth="1" min="21" max="21" width="13.11"/>
    <col customWidth="1" min="22" max="22" width="14.33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136" t="s">
        <v>28</v>
      </c>
      <c r="K7" s="136"/>
      <c r="L7" s="136"/>
      <c r="M7" s="136"/>
      <c r="N7" s="13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B9" s="175">
        <v>45505.0</v>
      </c>
      <c r="C9" s="175">
        <v>45536.0</v>
      </c>
      <c r="D9" s="47">
        <v>1.0</v>
      </c>
      <c r="E9" s="44" t="s">
        <v>44</v>
      </c>
      <c r="F9" s="144">
        <v>21500.0</v>
      </c>
      <c r="G9" s="59">
        <v>16397.1</v>
      </c>
      <c r="H9" s="51">
        <f t="shared" ref="H9:H38" si="1">G9-F9</f>
        <v>-5102.9</v>
      </c>
      <c r="I9" s="175">
        <v>45536.0</v>
      </c>
      <c r="J9" s="47">
        <v>1.0</v>
      </c>
      <c r="K9" s="44" t="s">
        <v>44</v>
      </c>
      <c r="L9" s="144">
        <v>21600.0</v>
      </c>
      <c r="M9" s="160">
        <f>23691.44-1710</f>
        <v>21981.44</v>
      </c>
      <c r="N9" s="51">
        <f t="shared" ref="N9:N38" si="2">M9-L9</f>
        <v>381.44</v>
      </c>
    </row>
    <row r="10" ht="15.75" customHeight="1">
      <c r="B10" s="61">
        <v>5923.387500000001</v>
      </c>
      <c r="C10" s="61">
        <f>AVERAGE(G10,G17,G24,G31,G38)</f>
        <v>4521.622</v>
      </c>
      <c r="D10" s="47">
        <v>2.0</v>
      </c>
      <c r="E10" s="44" t="s">
        <v>45</v>
      </c>
      <c r="F10" s="144">
        <v>5000.0</v>
      </c>
      <c r="G10" s="59">
        <f>8363.26+290</f>
        <v>8653.26</v>
      </c>
      <c r="H10" s="51">
        <f t="shared" si="1"/>
        <v>3653.26</v>
      </c>
      <c r="I10" s="61">
        <f>AVERAGE(M10,M17,M24,M31,M38)</f>
        <v>3329.052</v>
      </c>
      <c r="J10" s="47">
        <v>2.0</v>
      </c>
      <c r="K10" s="44" t="s">
        <v>45</v>
      </c>
      <c r="L10" s="144">
        <v>4000.0</v>
      </c>
      <c r="M10" s="55">
        <f>4389.53-282</f>
        <v>4107.53</v>
      </c>
      <c r="N10" s="51">
        <f t="shared" si="2"/>
        <v>107.53</v>
      </c>
    </row>
    <row r="11" ht="15.75" customHeight="1">
      <c r="B11" s="61">
        <v>5217.297500000001</v>
      </c>
      <c r="C11" s="61">
        <f t="shared" ref="C11:C15" si="3">AVERAGE(G11,G18,G25,G32)</f>
        <v>5676.575</v>
      </c>
      <c r="D11" s="47">
        <v>3.0</v>
      </c>
      <c r="E11" s="44" t="s">
        <v>46</v>
      </c>
      <c r="F11" s="144">
        <v>6700.0</v>
      </c>
      <c r="G11" s="59">
        <f>5777.3</f>
        <v>5777.3</v>
      </c>
      <c r="H11" s="51">
        <f t="shared" si="1"/>
        <v>-922.7</v>
      </c>
      <c r="I11" s="61">
        <f t="shared" ref="I11:I15" si="4">AVERAGE(M11,M18,M25,M32)</f>
        <v>3416.57</v>
      </c>
      <c r="J11" s="47">
        <v>3.0</v>
      </c>
      <c r="K11" s="44" t="s">
        <v>46</v>
      </c>
      <c r="L11" s="144">
        <v>3000.0</v>
      </c>
      <c r="M11" s="55">
        <f>3017.79-232</f>
        <v>2785.79</v>
      </c>
      <c r="N11" s="51">
        <f t="shared" si="2"/>
        <v>-214.21</v>
      </c>
    </row>
    <row r="12" ht="15.75" customHeight="1">
      <c r="B12" s="61">
        <v>4712.1625</v>
      </c>
      <c r="C12" s="61">
        <f t="shared" si="3"/>
        <v>6934.3625</v>
      </c>
      <c r="D12" s="47">
        <v>4.0</v>
      </c>
      <c r="E12" s="44" t="s">
        <v>40</v>
      </c>
      <c r="F12" s="144">
        <v>4700.0</v>
      </c>
      <c r="G12" s="55">
        <f>11156.8</f>
        <v>11156.8</v>
      </c>
      <c r="H12" s="51">
        <f t="shared" si="1"/>
        <v>6456.8</v>
      </c>
      <c r="I12" s="61">
        <f t="shared" si="4"/>
        <v>5175.125</v>
      </c>
      <c r="J12" s="47">
        <v>4.0</v>
      </c>
      <c r="K12" s="44" t="s">
        <v>40</v>
      </c>
      <c r="L12" s="144">
        <v>6100.0</v>
      </c>
      <c r="M12" s="55">
        <f>8674.71-599</f>
        <v>8075.71</v>
      </c>
      <c r="N12" s="51">
        <f t="shared" si="2"/>
        <v>1975.71</v>
      </c>
    </row>
    <row r="13" ht="15.75" customHeight="1">
      <c r="B13" s="61">
        <v>7324.556</v>
      </c>
      <c r="C13" s="61">
        <f t="shared" si="3"/>
        <v>7458.3875</v>
      </c>
      <c r="D13" s="47">
        <v>5.0</v>
      </c>
      <c r="E13" s="44" t="s">
        <v>47</v>
      </c>
      <c r="F13" s="144">
        <v>9400.0</v>
      </c>
      <c r="G13" s="55">
        <f>10270.15</f>
        <v>10270.15</v>
      </c>
      <c r="H13" s="51">
        <f t="shared" si="1"/>
        <v>870.15</v>
      </c>
      <c r="I13" s="61">
        <f t="shared" si="4"/>
        <v>7111.18</v>
      </c>
      <c r="J13" s="47">
        <v>5.0</v>
      </c>
      <c r="K13" s="44" t="s">
        <v>47</v>
      </c>
      <c r="L13" s="144">
        <v>5300.0</v>
      </c>
      <c r="M13" s="55">
        <f>11266.83-874</f>
        <v>10392.83</v>
      </c>
      <c r="N13" s="51">
        <f t="shared" si="2"/>
        <v>5092.83</v>
      </c>
    </row>
    <row r="14" ht="15.75" customHeight="1">
      <c r="B14" s="61">
        <v>13353.779999999999</v>
      </c>
      <c r="C14" s="61">
        <f t="shared" si="3"/>
        <v>11258.9</v>
      </c>
      <c r="D14" s="44">
        <v>6.0</v>
      </c>
      <c r="E14" s="44" t="s">
        <v>48</v>
      </c>
      <c r="F14" s="144">
        <v>12500.0</v>
      </c>
      <c r="G14" s="55">
        <f>10287.35-200</f>
        <v>10087.35</v>
      </c>
      <c r="H14" s="51">
        <f t="shared" si="1"/>
        <v>-2412.65</v>
      </c>
      <c r="I14" s="61">
        <f t="shared" si="4"/>
        <v>9871.1025</v>
      </c>
      <c r="J14" s="44">
        <v>6.0</v>
      </c>
      <c r="K14" s="44" t="s">
        <v>48</v>
      </c>
      <c r="L14" s="144">
        <v>9100.0</v>
      </c>
      <c r="M14" s="55">
        <f>10249.27-756-8</f>
        <v>9485.27</v>
      </c>
      <c r="N14" s="51">
        <f t="shared" si="2"/>
        <v>385.27</v>
      </c>
    </row>
    <row r="15" ht="15.75" customHeight="1">
      <c r="B15" s="61">
        <v>15854.13</v>
      </c>
      <c r="C15" s="61">
        <f t="shared" si="3"/>
        <v>18225.075</v>
      </c>
      <c r="D15" s="44">
        <v>7.0</v>
      </c>
      <c r="E15" s="44" t="s">
        <v>41</v>
      </c>
      <c r="F15" s="144">
        <v>18500.0</v>
      </c>
      <c r="G15" s="55">
        <f>17941.95</f>
        <v>17941.95</v>
      </c>
      <c r="H15" s="51">
        <f t="shared" si="1"/>
        <v>-558.05</v>
      </c>
      <c r="I15" s="61">
        <f t="shared" si="4"/>
        <v>12109.16</v>
      </c>
      <c r="J15" s="44">
        <v>7.0</v>
      </c>
      <c r="K15" s="44" t="s">
        <v>41</v>
      </c>
      <c r="L15" s="144">
        <v>19500.0</v>
      </c>
      <c r="M15" s="55">
        <f>13562.21-974</f>
        <v>12588.21</v>
      </c>
      <c r="N15" s="51">
        <f t="shared" si="2"/>
        <v>-6911.79</v>
      </c>
    </row>
    <row r="16" ht="15.75" customHeight="1">
      <c r="B16" s="61">
        <v>21108.3425</v>
      </c>
      <c r="C16" s="61">
        <v>17940.21</v>
      </c>
      <c r="D16" s="44">
        <v>8.0</v>
      </c>
      <c r="E16" s="44" t="s">
        <v>44</v>
      </c>
      <c r="F16" s="144">
        <v>21500.0</v>
      </c>
      <c r="G16" s="55">
        <f>15576</f>
        <v>15576</v>
      </c>
      <c r="H16" s="51">
        <f t="shared" si="1"/>
        <v>-5924</v>
      </c>
      <c r="I16" s="61">
        <f>AVERAGE(M37,M9,M16,M23,M30)</f>
        <v>20740.382</v>
      </c>
      <c r="J16" s="44">
        <v>8.0</v>
      </c>
      <c r="K16" s="44" t="s">
        <v>44</v>
      </c>
      <c r="L16" s="144">
        <v>21600.0</v>
      </c>
      <c r="M16" s="55">
        <f>15558.95-1328</f>
        <v>14230.95</v>
      </c>
      <c r="N16" s="51">
        <f t="shared" si="2"/>
        <v>-7369.05</v>
      </c>
    </row>
    <row r="17" ht="15.75" customHeight="1">
      <c r="B17" s="167">
        <f t="shared" ref="B17:C17" si="5">SUM(B10:B16)</f>
        <v>73493.656</v>
      </c>
      <c r="C17" s="167">
        <f t="shared" si="5"/>
        <v>72015.132</v>
      </c>
      <c r="D17" s="44">
        <v>9.0</v>
      </c>
      <c r="E17" s="44" t="s">
        <v>45</v>
      </c>
      <c r="F17" s="144">
        <v>5000.0</v>
      </c>
      <c r="G17" s="55">
        <f>4751.95</f>
        <v>4751.95</v>
      </c>
      <c r="H17" s="51">
        <f t="shared" si="1"/>
        <v>-248.05</v>
      </c>
      <c r="J17" s="44">
        <v>9.0</v>
      </c>
      <c r="K17" s="44" t="s">
        <v>45</v>
      </c>
      <c r="L17" s="144">
        <v>4000.0</v>
      </c>
      <c r="M17" s="55">
        <f>2850.04-267</f>
        <v>2583.04</v>
      </c>
      <c r="N17" s="51">
        <f t="shared" si="2"/>
        <v>-1416.96</v>
      </c>
      <c r="S17" s="70"/>
      <c r="T17" s="71" t="s">
        <v>52</v>
      </c>
      <c r="U17" s="72"/>
      <c r="V17" s="73" t="s">
        <v>53</v>
      </c>
    </row>
    <row r="18" ht="15.75" customHeight="1">
      <c r="D18" s="44">
        <v>10.0</v>
      </c>
      <c r="E18" s="44" t="s">
        <v>46</v>
      </c>
      <c r="F18" s="144">
        <v>6700.0</v>
      </c>
      <c r="G18" s="55">
        <f>6058</f>
        <v>6058</v>
      </c>
      <c r="H18" s="51">
        <f t="shared" si="1"/>
        <v>-642</v>
      </c>
      <c r="J18" s="44">
        <v>10.0</v>
      </c>
      <c r="K18" s="44" t="s">
        <v>46</v>
      </c>
      <c r="L18" s="144">
        <v>3000.0</v>
      </c>
      <c r="M18" s="55">
        <f>2759.14-204</f>
        <v>2555.14</v>
      </c>
      <c r="N18" s="51">
        <f t="shared" si="2"/>
        <v>-444.86</v>
      </c>
      <c r="S18" s="74" t="s">
        <v>29</v>
      </c>
      <c r="T18" s="75">
        <v>340000.0</v>
      </c>
      <c r="U18" s="2" t="s">
        <v>29</v>
      </c>
      <c r="V18" s="76">
        <v>300000.0</v>
      </c>
    </row>
    <row r="19" ht="15.75" customHeight="1">
      <c r="D19" s="44">
        <v>11.0</v>
      </c>
      <c r="E19" s="44" t="s">
        <v>40</v>
      </c>
      <c r="F19" s="144">
        <v>4700.0</v>
      </c>
      <c r="G19" s="55">
        <v>5020.3</v>
      </c>
      <c r="H19" s="51">
        <f t="shared" si="1"/>
        <v>320.3</v>
      </c>
      <c r="J19" s="44">
        <v>11.0</v>
      </c>
      <c r="K19" s="44" t="s">
        <v>40</v>
      </c>
      <c r="L19" s="144">
        <v>6100.0</v>
      </c>
      <c r="M19" s="55">
        <f>4369.58-319</f>
        <v>4050.58</v>
      </c>
      <c r="N19" s="51">
        <f t="shared" si="2"/>
        <v>-2049.42</v>
      </c>
      <c r="S19" s="74"/>
      <c r="T19" s="2"/>
      <c r="U19" s="2"/>
      <c r="V19" s="77"/>
    </row>
    <row r="20" ht="15.75" customHeight="1">
      <c r="D20" s="44">
        <v>12.0</v>
      </c>
      <c r="E20" s="44" t="s">
        <v>47</v>
      </c>
      <c r="F20" s="144">
        <v>9500.0</v>
      </c>
      <c r="G20" s="55">
        <f>5696.25</f>
        <v>5696.25</v>
      </c>
      <c r="H20" s="51">
        <f t="shared" si="1"/>
        <v>-3803.75</v>
      </c>
      <c r="J20" s="44">
        <v>12.0</v>
      </c>
      <c r="K20" s="44" t="s">
        <v>47</v>
      </c>
      <c r="L20" s="144">
        <v>5300.0</v>
      </c>
      <c r="M20" s="55">
        <f>5749.25-433</f>
        <v>5316.25</v>
      </c>
      <c r="N20" s="51">
        <f t="shared" si="2"/>
        <v>16.25</v>
      </c>
      <c r="S20" s="74" t="s">
        <v>58</v>
      </c>
      <c r="T20" s="75">
        <f>SUM(G9:G15)</f>
        <v>80283.91</v>
      </c>
      <c r="U20" s="58" t="s">
        <v>58</v>
      </c>
      <c r="V20" s="76">
        <f>SUM(M9:M15)</f>
        <v>69416.78</v>
      </c>
    </row>
    <row r="21" ht="15.75" customHeight="1">
      <c r="D21" s="44">
        <v>13.0</v>
      </c>
      <c r="E21" s="44" t="s">
        <v>48</v>
      </c>
      <c r="F21" s="144">
        <v>12500.0</v>
      </c>
      <c r="G21" s="55">
        <f>11339.9+97-100</f>
        <v>11336.9</v>
      </c>
      <c r="H21" s="51">
        <f t="shared" si="1"/>
        <v>-1163.1</v>
      </c>
      <c r="J21" s="44">
        <v>13.0</v>
      </c>
      <c r="K21" s="44" t="s">
        <v>48</v>
      </c>
      <c r="L21" s="144">
        <v>9100.0</v>
      </c>
      <c r="M21" s="55">
        <f>11813.64-869-8-12</f>
        <v>10924.64</v>
      </c>
      <c r="N21" s="51">
        <f t="shared" si="2"/>
        <v>1824.64</v>
      </c>
      <c r="S21" s="74"/>
      <c r="T21" s="79">
        <f>T20/T18</f>
        <v>0.2361291471</v>
      </c>
      <c r="V21" s="80">
        <f>V20/V18</f>
        <v>0.2313892667</v>
      </c>
      <c r="W21" s="66"/>
    </row>
    <row r="22" ht="15.75" customHeight="1">
      <c r="D22" s="44">
        <v>14.0</v>
      </c>
      <c r="E22" s="44" t="s">
        <v>41</v>
      </c>
      <c r="F22" s="144">
        <v>18500.0</v>
      </c>
      <c r="G22" s="55">
        <f>19462+596.25</f>
        <v>20058.25</v>
      </c>
      <c r="H22" s="51">
        <f t="shared" si="1"/>
        <v>1558.25</v>
      </c>
      <c r="J22" s="44">
        <v>14.0</v>
      </c>
      <c r="K22" s="44" t="s">
        <v>41</v>
      </c>
      <c r="L22" s="144">
        <v>19500.0</v>
      </c>
      <c r="M22" s="55">
        <f>13706.11-1073</f>
        <v>12633.11</v>
      </c>
      <c r="N22" s="51">
        <f t="shared" si="2"/>
        <v>-6866.89</v>
      </c>
      <c r="S22" s="74"/>
      <c r="T22" s="81"/>
      <c r="V22" s="77"/>
    </row>
    <row r="23" ht="15.75" customHeight="1">
      <c r="D23" s="44">
        <v>15.0</v>
      </c>
      <c r="E23" s="44" t="s">
        <v>44</v>
      </c>
      <c r="F23" s="144">
        <v>21500.0</v>
      </c>
      <c r="G23" s="55">
        <f>15910.85</f>
        <v>15910.85</v>
      </c>
      <c r="H23" s="51">
        <f t="shared" si="1"/>
        <v>-5589.15</v>
      </c>
      <c r="J23" s="44">
        <v>15.0</v>
      </c>
      <c r="K23" s="44" t="s">
        <v>44</v>
      </c>
      <c r="L23" s="144">
        <v>21600.0</v>
      </c>
      <c r="M23" s="55">
        <f>22735.51-1728</f>
        <v>21007.51</v>
      </c>
      <c r="N23" s="51">
        <f t="shared" si="2"/>
        <v>-592.49</v>
      </c>
      <c r="S23" s="74" t="s">
        <v>62</v>
      </c>
      <c r="T23" s="75">
        <f>SUM(G16:G22)</f>
        <v>68497.65</v>
      </c>
      <c r="U23" s="58" t="s">
        <v>62</v>
      </c>
      <c r="V23" s="76">
        <f>SUM(M16:M22)</f>
        <v>52293.71</v>
      </c>
    </row>
    <row r="24" ht="15.75" customHeight="1">
      <c r="D24" s="44">
        <v>16.0</v>
      </c>
      <c r="E24" s="44" t="s">
        <v>45</v>
      </c>
      <c r="F24" s="144">
        <v>5000.0</v>
      </c>
      <c r="G24" s="55">
        <f>2405.3</f>
        <v>2405.3</v>
      </c>
      <c r="H24" s="51">
        <f t="shared" si="1"/>
        <v>-2594.7</v>
      </c>
      <c r="J24" s="44">
        <v>16.0</v>
      </c>
      <c r="K24" s="44" t="s">
        <v>45</v>
      </c>
      <c r="L24" s="144">
        <v>4000.0</v>
      </c>
      <c r="M24" s="55">
        <f>2351.23-213</f>
        <v>2138.23</v>
      </c>
      <c r="N24" s="51">
        <f t="shared" si="2"/>
        <v>-1861.77</v>
      </c>
      <c r="S24" s="74"/>
      <c r="T24" s="79">
        <f>T23/T18</f>
        <v>0.2014636765</v>
      </c>
      <c r="V24" s="80">
        <f>V23/V18</f>
        <v>0.1743123667</v>
      </c>
    </row>
    <row r="25" ht="15.75" customHeight="1">
      <c r="D25" s="44">
        <v>17.0</v>
      </c>
      <c r="E25" s="44" t="s">
        <v>46</v>
      </c>
      <c r="F25" s="144">
        <v>6700.0</v>
      </c>
      <c r="G25" s="55">
        <f>5887.5</f>
        <v>5887.5</v>
      </c>
      <c r="H25" s="51">
        <f t="shared" si="1"/>
        <v>-812.5</v>
      </c>
      <c r="J25" s="44">
        <v>17.0</v>
      </c>
      <c r="K25" s="44" t="s">
        <v>46</v>
      </c>
      <c r="L25" s="144">
        <v>3000.0</v>
      </c>
      <c r="M25" s="55">
        <f>3730.29-248</f>
        <v>3482.29</v>
      </c>
      <c r="N25" s="51">
        <f t="shared" si="2"/>
        <v>482.29</v>
      </c>
      <c r="S25" s="74"/>
      <c r="T25" s="81"/>
      <c r="V25" s="77"/>
    </row>
    <row r="26" ht="15.75" customHeight="1">
      <c r="D26" s="44">
        <v>18.0</v>
      </c>
      <c r="E26" s="47" t="s">
        <v>40</v>
      </c>
      <c r="F26" s="144">
        <v>4700.0</v>
      </c>
      <c r="G26" s="55">
        <f>5247.1</f>
        <v>5247.1</v>
      </c>
      <c r="H26" s="51">
        <f t="shared" si="1"/>
        <v>547.1</v>
      </c>
      <c r="J26" s="44">
        <v>18.0</v>
      </c>
      <c r="K26" s="47" t="s">
        <v>40</v>
      </c>
      <c r="L26" s="144">
        <v>6100.0</v>
      </c>
      <c r="M26" s="55">
        <f>5040.92-432</f>
        <v>4608.92</v>
      </c>
      <c r="N26" s="51">
        <f t="shared" si="2"/>
        <v>-1491.08</v>
      </c>
      <c r="S26" s="74" t="s">
        <v>63</v>
      </c>
      <c r="T26" s="75">
        <f>SUM(G23:G29)</f>
        <v>68352.6</v>
      </c>
      <c r="U26" s="58" t="s">
        <v>63</v>
      </c>
      <c r="V26" s="76">
        <f>SUM(M23:M29)</f>
        <v>59311.54</v>
      </c>
    </row>
    <row r="27" ht="15.75" customHeight="1">
      <c r="D27" s="44">
        <v>19.0</v>
      </c>
      <c r="E27" s="47" t="s">
        <v>47</v>
      </c>
      <c r="F27" s="144">
        <v>9500.0</v>
      </c>
      <c r="G27" s="55">
        <f>7498.75</f>
        <v>7498.75</v>
      </c>
      <c r="H27" s="51">
        <f t="shared" si="1"/>
        <v>-2001.25</v>
      </c>
      <c r="J27" s="44">
        <v>19.0</v>
      </c>
      <c r="K27" s="47" t="s">
        <v>47</v>
      </c>
      <c r="L27" s="144">
        <v>5300.0</v>
      </c>
      <c r="M27" s="55">
        <f>6918.57-499</f>
        <v>6419.57</v>
      </c>
      <c r="N27" s="51">
        <f t="shared" si="2"/>
        <v>1119.57</v>
      </c>
      <c r="S27" s="74"/>
      <c r="T27" s="79">
        <f>T26/T18</f>
        <v>0.2010370588</v>
      </c>
      <c r="V27" s="80">
        <f>V26/V18</f>
        <v>0.1977051333</v>
      </c>
    </row>
    <row r="28" ht="15.75" customHeight="1">
      <c r="D28" s="44">
        <v>20.0</v>
      </c>
      <c r="E28" s="47" t="s">
        <v>48</v>
      </c>
      <c r="F28" s="144">
        <v>12500.0</v>
      </c>
      <c r="G28" s="55">
        <f>12581.7-180</f>
        <v>12401.7</v>
      </c>
      <c r="H28" s="51">
        <f t="shared" si="1"/>
        <v>-98.3</v>
      </c>
      <c r="J28" s="44">
        <v>20.0</v>
      </c>
      <c r="K28" s="47" t="s">
        <v>48</v>
      </c>
      <c r="L28" s="144">
        <v>9100.0</v>
      </c>
      <c r="M28" s="55">
        <f>11350.32-742</f>
        <v>10608.32</v>
      </c>
      <c r="N28" s="51">
        <f t="shared" si="2"/>
        <v>1508.32</v>
      </c>
      <c r="S28" s="74"/>
      <c r="V28" s="82"/>
    </row>
    <row r="29" ht="15.75" customHeight="1">
      <c r="D29" s="44">
        <v>21.0</v>
      </c>
      <c r="E29" s="44" t="s">
        <v>41</v>
      </c>
      <c r="F29" s="144">
        <v>18500.0</v>
      </c>
      <c r="G29" s="55">
        <f>19001.4</f>
        <v>19001.4</v>
      </c>
      <c r="H29" s="51">
        <f t="shared" si="1"/>
        <v>501.4</v>
      </c>
      <c r="J29" s="44">
        <v>21.0</v>
      </c>
      <c r="K29" s="44" t="s">
        <v>41</v>
      </c>
      <c r="L29" s="144">
        <v>19500.0</v>
      </c>
      <c r="M29" s="55">
        <f>11992.7-946</f>
        <v>11046.7</v>
      </c>
      <c r="N29" s="51">
        <f t="shared" si="2"/>
        <v>-8453.3</v>
      </c>
      <c r="S29" s="74" t="s">
        <v>64</v>
      </c>
      <c r="T29" s="61">
        <f>SUM(G30:G36)</f>
        <v>73164.25</v>
      </c>
      <c r="U29" s="58" t="s">
        <v>64</v>
      </c>
      <c r="V29" s="83">
        <f>SUM(M30:M36)</f>
        <v>60224.83</v>
      </c>
    </row>
    <row r="30" ht="15.75" customHeight="1">
      <c r="D30" s="44">
        <v>22.0</v>
      </c>
      <c r="E30" s="44" t="s">
        <v>44</v>
      </c>
      <c r="F30" s="144">
        <v>21500.0</v>
      </c>
      <c r="G30" s="55">
        <f>23315.15</f>
        <v>23315.15</v>
      </c>
      <c r="H30" s="51">
        <f t="shared" si="1"/>
        <v>1815.15</v>
      </c>
      <c r="J30" s="44">
        <v>22.0</v>
      </c>
      <c r="K30" s="44" t="s">
        <v>44</v>
      </c>
      <c r="L30" s="144">
        <v>21600.0</v>
      </c>
      <c r="M30" s="55">
        <f>22944.55-1796</f>
        <v>21148.55</v>
      </c>
      <c r="N30" s="51">
        <f t="shared" si="2"/>
        <v>-451.45</v>
      </c>
      <c r="S30" s="74"/>
      <c r="T30" s="79">
        <f>T29/T18</f>
        <v>0.2151889706</v>
      </c>
      <c r="V30" s="80">
        <f>V29/V18</f>
        <v>0.2007494333</v>
      </c>
    </row>
    <row r="31" ht="15.75" customHeight="1">
      <c r="D31" s="44">
        <v>23.0</v>
      </c>
      <c r="E31" s="44" t="s">
        <v>45</v>
      </c>
      <c r="F31" s="144">
        <v>5000.0</v>
      </c>
      <c r="G31" s="55">
        <f>5075.6</f>
        <v>5075.6</v>
      </c>
      <c r="H31" s="51">
        <f t="shared" si="1"/>
        <v>75.6</v>
      </c>
      <c r="J31" s="44">
        <v>23.0</v>
      </c>
      <c r="K31" s="44" t="s">
        <v>45</v>
      </c>
      <c r="L31" s="144">
        <v>4000.0</v>
      </c>
      <c r="M31" s="55">
        <f>3602.06-285</f>
        <v>3317.06</v>
      </c>
      <c r="N31" s="51">
        <f t="shared" si="2"/>
        <v>-682.94</v>
      </c>
      <c r="S31" s="74" t="s">
        <v>65</v>
      </c>
      <c r="T31" s="61">
        <f>SUM(G37:G38)</f>
        <v>20223.95</v>
      </c>
      <c r="U31" s="58" t="s">
        <v>65</v>
      </c>
      <c r="V31" s="83">
        <f>SUM(M37:M38)</f>
        <v>29832.86</v>
      </c>
    </row>
    <row r="32" ht="15.75" customHeight="1">
      <c r="D32" s="44">
        <v>24.0</v>
      </c>
      <c r="E32" s="44" t="s">
        <v>46</v>
      </c>
      <c r="F32" s="144">
        <v>6700.0</v>
      </c>
      <c r="G32" s="55">
        <f>4983.5</f>
        <v>4983.5</v>
      </c>
      <c r="H32" s="51">
        <f t="shared" si="1"/>
        <v>-1716.5</v>
      </c>
      <c r="J32" s="44">
        <v>24.0</v>
      </c>
      <c r="K32" s="44" t="s">
        <v>46</v>
      </c>
      <c r="L32" s="144">
        <v>3000.0</v>
      </c>
      <c r="M32" s="55">
        <f>5262.06-419</f>
        <v>4843.06</v>
      </c>
      <c r="N32" s="51">
        <f t="shared" si="2"/>
        <v>1843.06</v>
      </c>
      <c r="S32" s="84" t="s">
        <v>123</v>
      </c>
      <c r="T32" s="85">
        <f>T31/T18</f>
        <v>0.05948220588</v>
      </c>
      <c r="U32" s="84" t="s">
        <v>123</v>
      </c>
      <c r="V32" s="87">
        <f>V31/V18</f>
        <v>0.09944286667</v>
      </c>
    </row>
    <row r="33" ht="15.75" customHeight="1">
      <c r="D33" s="44">
        <v>25.0</v>
      </c>
      <c r="E33" s="44" t="s">
        <v>40</v>
      </c>
      <c r="F33" s="144">
        <v>4700.0</v>
      </c>
      <c r="G33" s="55">
        <f>6313.25</f>
        <v>6313.25</v>
      </c>
      <c r="H33" s="51">
        <f t="shared" si="1"/>
        <v>1613.25</v>
      </c>
      <c r="J33" s="44">
        <v>25.0</v>
      </c>
      <c r="K33" s="44" t="s">
        <v>40</v>
      </c>
      <c r="L33" s="144">
        <v>6100.0</v>
      </c>
      <c r="M33" s="55">
        <f>4282.29-317</f>
        <v>3965.29</v>
      </c>
      <c r="N33" s="51">
        <f t="shared" si="2"/>
        <v>-2134.71</v>
      </c>
    </row>
    <row r="34" ht="15.75" customHeight="1">
      <c r="D34" s="44">
        <v>26.0</v>
      </c>
      <c r="E34" s="44" t="s">
        <v>47</v>
      </c>
      <c r="F34" s="144">
        <v>9500.0</v>
      </c>
      <c r="G34" s="55">
        <f>6368.4</f>
        <v>6368.4</v>
      </c>
      <c r="H34" s="51">
        <f t="shared" si="1"/>
        <v>-3131.6</v>
      </c>
      <c r="J34" s="44">
        <v>26.0</v>
      </c>
      <c r="K34" s="44" t="s">
        <v>47</v>
      </c>
      <c r="L34" s="144">
        <v>5300.0</v>
      </c>
      <c r="M34" s="55">
        <f>6814.07-498</f>
        <v>6316.07</v>
      </c>
      <c r="N34" s="51">
        <f t="shared" si="2"/>
        <v>1016.07</v>
      </c>
      <c r="R34" s="179" t="s">
        <v>72</v>
      </c>
      <c r="S34" s="93" t="s">
        <v>73</v>
      </c>
      <c r="T34" s="94">
        <f>T20+T23+T26+T29+T31</f>
        <v>310522.36</v>
      </c>
      <c r="U34" s="164" t="s">
        <v>74</v>
      </c>
      <c r="V34" s="96">
        <f>V20+V23+V26+V29+V31</f>
        <v>271079.72</v>
      </c>
      <c r="W34" s="179" t="s">
        <v>72</v>
      </c>
    </row>
    <row r="35" ht="15.75" customHeight="1">
      <c r="D35" s="44">
        <v>27.0</v>
      </c>
      <c r="E35" s="44" t="s">
        <v>48</v>
      </c>
      <c r="F35" s="144">
        <v>12500.0</v>
      </c>
      <c r="G35" s="55">
        <f>11369.65-160</f>
        <v>11209.65</v>
      </c>
      <c r="H35" s="51">
        <f t="shared" si="1"/>
        <v>-1290.35</v>
      </c>
      <c r="J35" s="44">
        <v>27.0</v>
      </c>
      <c r="K35" s="44" t="s">
        <v>48</v>
      </c>
      <c r="L35" s="144">
        <v>9100.0</v>
      </c>
      <c r="M35" s="55">
        <f>9229.18-763</f>
        <v>8466.18</v>
      </c>
      <c r="N35" s="51">
        <f t="shared" si="2"/>
        <v>-633.82</v>
      </c>
      <c r="R35" s="180">
        <f>T35-U35</f>
        <v>-0.08669894118</v>
      </c>
      <c r="S35" s="98"/>
      <c r="T35" s="99">
        <f>T34/T18</f>
        <v>0.9133010588</v>
      </c>
      <c r="U35" s="181">
        <f>30/30</f>
        <v>1</v>
      </c>
      <c r="V35" s="100">
        <f>V34/V18</f>
        <v>0.9035990667</v>
      </c>
      <c r="W35" s="180">
        <f>V35-U35</f>
        <v>-0.09640093333</v>
      </c>
    </row>
    <row r="36" ht="15.75" customHeight="1">
      <c r="D36" s="44">
        <v>28.0</v>
      </c>
      <c r="E36" s="44" t="s">
        <v>41</v>
      </c>
      <c r="F36" s="144">
        <v>18500.0</v>
      </c>
      <c r="G36" s="55">
        <f>15898.7</f>
        <v>15898.7</v>
      </c>
      <c r="H36" s="51">
        <f t="shared" si="1"/>
        <v>-2601.3</v>
      </c>
      <c r="J36" s="44">
        <v>28.0</v>
      </c>
      <c r="K36" s="44" t="s">
        <v>41</v>
      </c>
      <c r="L36" s="144">
        <v>19500.0</v>
      </c>
      <c r="M36" s="55">
        <f>13190.62-1022</f>
        <v>12168.62</v>
      </c>
      <c r="N36" s="51">
        <f t="shared" si="2"/>
        <v>-7331.38</v>
      </c>
      <c r="S36" s="98" t="s">
        <v>76</v>
      </c>
      <c r="T36" s="104">
        <f>T18-T34</f>
        <v>29477.64</v>
      </c>
      <c r="U36" s="99"/>
      <c r="V36" s="106">
        <f>V18-V34</f>
        <v>28920.28</v>
      </c>
    </row>
    <row r="37" ht="15.75" customHeight="1">
      <c r="D37" s="44">
        <v>29.0</v>
      </c>
      <c r="E37" s="44" t="s">
        <v>44</v>
      </c>
      <c r="F37" s="144">
        <v>21500.0</v>
      </c>
      <c r="G37" s="55">
        <f>18501.95</f>
        <v>18501.95</v>
      </c>
      <c r="H37" s="51">
        <f t="shared" si="1"/>
        <v>-2998.05</v>
      </c>
      <c r="J37" s="44">
        <v>29.0</v>
      </c>
      <c r="K37" s="44" t="s">
        <v>44</v>
      </c>
      <c r="L37" s="144">
        <v>21600.0</v>
      </c>
      <c r="M37" s="55">
        <f>27215.46-1874-8</f>
        <v>25333.46</v>
      </c>
      <c r="N37" s="51">
        <f t="shared" si="2"/>
        <v>3733.46</v>
      </c>
      <c r="S37" s="110"/>
      <c r="T37" s="112">
        <f>T36/T18</f>
        <v>0.08669894118</v>
      </c>
      <c r="U37" s="112"/>
      <c r="V37" s="113">
        <f>V36/V18</f>
        <v>0.09640093333</v>
      </c>
    </row>
    <row r="38" ht="15.75" customHeight="1">
      <c r="D38" s="44">
        <v>30.0</v>
      </c>
      <c r="E38" s="44" t="s">
        <v>45</v>
      </c>
      <c r="F38" s="144">
        <v>5000.0</v>
      </c>
      <c r="G38" s="55">
        <f>1722</f>
        <v>1722</v>
      </c>
      <c r="H38" s="51">
        <f t="shared" si="1"/>
        <v>-3278</v>
      </c>
      <c r="J38" s="44">
        <v>30.0</v>
      </c>
      <c r="K38" s="44" t="s">
        <v>45</v>
      </c>
      <c r="L38" s="144">
        <v>4000.0</v>
      </c>
      <c r="M38" s="55">
        <f>4839.4-340</f>
        <v>4499.4</v>
      </c>
      <c r="N38" s="51">
        <f t="shared" si="2"/>
        <v>499.4</v>
      </c>
    </row>
    <row r="39" ht="15.75" customHeight="1">
      <c r="D39" s="44"/>
      <c r="E39" s="44"/>
      <c r="F39" s="55"/>
      <c r="G39" s="55"/>
      <c r="H39" s="51"/>
      <c r="J39" s="44"/>
      <c r="K39" s="44"/>
      <c r="L39" s="144"/>
      <c r="M39" s="55"/>
      <c r="N39" s="51"/>
    </row>
    <row r="40" ht="15.75" customHeight="1">
      <c r="D40" s="8"/>
      <c r="E40" s="8"/>
      <c r="F40" s="107">
        <f t="shared" ref="F40:H40" si="6">SUM(F9:F39)</f>
        <v>340000</v>
      </c>
      <c r="G40" s="107">
        <f t="shared" si="6"/>
        <v>310522.36</v>
      </c>
      <c r="H40" s="105">
        <f t="shared" si="6"/>
        <v>-29477.64</v>
      </c>
      <c r="J40" s="8"/>
      <c r="K40" s="8"/>
      <c r="L40" s="107">
        <f t="shared" ref="L40:N40" si="7">SUM(L9:L39)</f>
        <v>300000</v>
      </c>
      <c r="M40" s="107">
        <f t="shared" si="7"/>
        <v>271079.72</v>
      </c>
      <c r="N40" s="105">
        <f t="shared" si="7"/>
        <v>-28920.28</v>
      </c>
    </row>
    <row r="41" ht="15.75" customHeight="1">
      <c r="G41" s="114">
        <f>G40/E44</f>
        <v>0.9133010588</v>
      </c>
      <c r="H41" s="1"/>
      <c r="J41" s="1"/>
      <c r="K41" s="1"/>
      <c r="L41" s="1"/>
      <c r="M41" s="114">
        <f>M40/K44</f>
        <v>0.9035990667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310522.36</v>
      </c>
      <c r="L43" s="115" t="s">
        <v>77</v>
      </c>
      <c r="M43" s="118">
        <f>L40+N40</f>
        <v>271079.72</v>
      </c>
    </row>
    <row r="44" ht="15.75" customHeight="1">
      <c r="D44" s="122" t="s">
        <v>29</v>
      </c>
      <c r="E44" s="124">
        <v>340000.0</v>
      </c>
      <c r="F44" s="2"/>
      <c r="G44" s="2"/>
      <c r="J44" s="126" t="s">
        <v>29</v>
      </c>
      <c r="K44" s="124">
        <v>300000.0</v>
      </c>
      <c r="L44" s="2"/>
      <c r="M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4:H6"/>
    <mergeCell ref="J4:N6"/>
    <mergeCell ref="D7:H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9.44"/>
    <col customWidth="1" min="5" max="6" width="18.44"/>
    <col customWidth="1" min="7" max="7" width="11.44"/>
    <col customWidth="1" min="8" max="8" width="10.56"/>
    <col customWidth="1" min="9" max="9" width="11.11"/>
    <col customWidth="1" min="10" max="10" width="19.44"/>
    <col customWidth="1" min="11" max="12" width="18.67"/>
    <col customWidth="1" min="13" max="13" width="11.44"/>
    <col customWidth="1" min="14" max="16" width="10.56"/>
    <col customWidth="1" min="17" max="17" width="14.0"/>
    <col customWidth="1" min="18" max="18" width="15.44"/>
    <col customWidth="1" min="19" max="19" width="15.11"/>
    <col customWidth="1" min="20" max="20" width="14.0"/>
    <col customWidth="1" min="21" max="22" width="10.56"/>
    <col customWidth="1" min="23" max="24" width="15.11"/>
    <col customWidth="1" min="25" max="25" width="7.78"/>
    <col customWidth="1" hidden="1" min="26" max="26" width="10.78"/>
    <col customWidth="1" min="27" max="27" width="15.33"/>
    <col customWidth="1" min="28" max="28" width="17.11"/>
    <col customWidth="1" min="29" max="29" width="23.78"/>
    <col customWidth="1" min="30" max="30" width="10.56"/>
    <col customWidth="1" min="31" max="31" width="13.0"/>
    <col customWidth="1" min="32" max="32" width="16.78"/>
    <col customWidth="1" min="33" max="33" width="21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  <c r="O3" s="15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AG5" s="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Z6" s="1"/>
      <c r="AA6" s="1"/>
      <c r="AB6" s="1"/>
      <c r="AC6" s="1"/>
      <c r="AD6" s="1"/>
      <c r="AE6" s="1"/>
      <c r="AF6" s="1"/>
      <c r="AG6" s="8"/>
    </row>
    <row r="7" ht="15.75" customHeight="1">
      <c r="C7" s="40" t="s">
        <v>28</v>
      </c>
      <c r="D7" s="41"/>
      <c r="E7" s="41"/>
      <c r="F7" s="41"/>
      <c r="G7" s="6"/>
      <c r="I7" s="136" t="s">
        <v>28</v>
      </c>
      <c r="J7" s="136"/>
      <c r="K7" s="136"/>
      <c r="L7" s="136"/>
      <c r="M7" s="136"/>
      <c r="Q7" s="1"/>
      <c r="R7" s="3"/>
      <c r="S7" s="3"/>
      <c r="U7" s="1"/>
      <c r="V7" s="3"/>
      <c r="Z7" s="1"/>
      <c r="AA7" s="137" t="s">
        <v>124</v>
      </c>
      <c r="AB7" s="41"/>
      <c r="AC7" s="6"/>
      <c r="AE7" s="137" t="s">
        <v>125</v>
      </c>
      <c r="AF7" s="41"/>
      <c r="AG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1"/>
      <c r="R8" s="1"/>
      <c r="S8" s="3"/>
      <c r="T8" s="3"/>
      <c r="Z8" s="1"/>
      <c r="AA8" s="44" t="s">
        <v>32</v>
      </c>
      <c r="AB8" s="44" t="s">
        <v>33</v>
      </c>
      <c r="AC8" s="138" t="s">
        <v>126</v>
      </c>
      <c r="AE8" s="44" t="s">
        <v>32</v>
      </c>
      <c r="AF8" s="44" t="s">
        <v>33</v>
      </c>
      <c r="AG8" s="138" t="s">
        <v>127</v>
      </c>
    </row>
    <row r="9" ht="15.75" customHeight="1">
      <c r="C9" s="47">
        <v>1.0</v>
      </c>
      <c r="D9" s="44" t="s">
        <v>44</v>
      </c>
      <c r="E9" s="144">
        <v>21500.0</v>
      </c>
      <c r="F9" s="59">
        <v>16397.1</v>
      </c>
      <c r="G9" s="51">
        <f t="shared" ref="G9:G38" si="1">F9-E9</f>
        <v>-5102.9</v>
      </c>
      <c r="I9" s="47">
        <v>1.0</v>
      </c>
      <c r="J9" s="44" t="s">
        <v>44</v>
      </c>
      <c r="K9" s="144">
        <v>21600.0</v>
      </c>
      <c r="L9" s="59">
        <f>23691.44-1710</f>
        <v>21981.44</v>
      </c>
      <c r="M9" s="51">
        <f t="shared" ref="M9:M38" si="2">L9-K9</f>
        <v>381.44</v>
      </c>
      <c r="Q9" s="139" t="s">
        <v>89</v>
      </c>
      <c r="R9" s="41"/>
      <c r="S9" s="41"/>
      <c r="T9" s="6"/>
      <c r="V9" s="139" t="s">
        <v>1</v>
      </c>
      <c r="W9" s="41"/>
      <c r="X9" s="6"/>
      <c r="Z9" s="1"/>
      <c r="AA9" s="47">
        <v>1.0</v>
      </c>
      <c r="AB9" s="47" t="s">
        <v>46</v>
      </c>
      <c r="AC9" s="59">
        <v>8244.988831400751</v>
      </c>
      <c r="AE9" s="47">
        <v>1.0</v>
      </c>
      <c r="AF9" s="47" t="s">
        <v>46</v>
      </c>
      <c r="AG9" s="183">
        <v>4576.9723051462215</v>
      </c>
    </row>
    <row r="10" ht="15.75" customHeight="1">
      <c r="C10" s="47">
        <v>2.0</v>
      </c>
      <c r="D10" s="44" t="s">
        <v>45</v>
      </c>
      <c r="E10" s="144">
        <v>5000.0</v>
      </c>
      <c r="F10" s="59">
        <f>8363.26+290</f>
        <v>8653.26</v>
      </c>
      <c r="G10" s="51">
        <f t="shared" si="1"/>
        <v>3653.26</v>
      </c>
      <c r="I10" s="47">
        <v>2.0</v>
      </c>
      <c r="J10" s="44" t="s">
        <v>45</v>
      </c>
      <c r="K10" s="144">
        <v>4000.0</v>
      </c>
      <c r="L10" s="59">
        <f>4389.53-282</f>
        <v>4107.53</v>
      </c>
      <c r="M10" s="51">
        <f t="shared" si="2"/>
        <v>107.53</v>
      </c>
      <c r="Q10" s="140"/>
      <c r="R10" s="141">
        <v>45170.0</v>
      </c>
      <c r="S10" s="141">
        <v>45200.0</v>
      </c>
      <c r="T10" s="142" t="s">
        <v>90</v>
      </c>
      <c r="V10" s="140"/>
      <c r="W10" s="141">
        <v>45536.0</v>
      </c>
      <c r="X10" s="141" t="s">
        <v>128</v>
      </c>
      <c r="Z10" s="1"/>
      <c r="AA10" s="47">
        <v>2.0</v>
      </c>
      <c r="AB10" s="47" t="s">
        <v>40</v>
      </c>
      <c r="AC10" s="59">
        <v>8908.770658442316</v>
      </c>
      <c r="AE10" s="47">
        <v>2.0</v>
      </c>
      <c r="AF10" s="47" t="s">
        <v>40</v>
      </c>
      <c r="AG10" s="183">
        <v>4068.540392568503</v>
      </c>
    </row>
    <row r="11" ht="15.75" customHeight="1">
      <c r="C11" s="47">
        <v>3.0</v>
      </c>
      <c r="D11" s="44" t="s">
        <v>46</v>
      </c>
      <c r="E11" s="144">
        <v>6700.0</v>
      </c>
      <c r="F11" s="59">
        <f>5777.3</f>
        <v>5777.3</v>
      </c>
      <c r="G11" s="51">
        <f t="shared" si="1"/>
        <v>-922.7</v>
      </c>
      <c r="I11" s="47">
        <v>3.0</v>
      </c>
      <c r="J11" s="44" t="s">
        <v>46</v>
      </c>
      <c r="K11" s="144">
        <v>3000.0</v>
      </c>
      <c r="L11" s="59">
        <f>3017.79-232</f>
        <v>2785.79</v>
      </c>
      <c r="M11" s="51">
        <f t="shared" si="2"/>
        <v>-214.21</v>
      </c>
      <c r="Q11" s="140" t="s">
        <v>6</v>
      </c>
      <c r="R11" s="55">
        <v>3973.81</v>
      </c>
      <c r="S11" s="55">
        <v>5423.36</v>
      </c>
      <c r="T11" s="143">
        <f t="shared" ref="T11:T17" si="3">S11/R11-1</f>
        <v>0.36477587</v>
      </c>
      <c r="V11" s="140" t="s">
        <v>6</v>
      </c>
      <c r="W11" s="55">
        <v>4521.62</v>
      </c>
      <c r="X11" s="144">
        <f t="shared" ref="X11:X17" si="4">W11*T11+W11</f>
        <v>6170.997869</v>
      </c>
      <c r="Z11" s="1"/>
      <c r="AA11" s="47">
        <v>3.0</v>
      </c>
      <c r="AB11" s="47" t="s">
        <v>47</v>
      </c>
      <c r="AC11" s="59">
        <v>5336.403443986107</v>
      </c>
      <c r="AE11" s="47">
        <v>3.0</v>
      </c>
      <c r="AF11" s="47" t="s">
        <v>47</v>
      </c>
      <c r="AG11" s="183">
        <v>7756.100758338395</v>
      </c>
    </row>
    <row r="12" ht="15.75" customHeight="1">
      <c r="C12" s="47">
        <v>4.0</v>
      </c>
      <c r="D12" s="44" t="s">
        <v>40</v>
      </c>
      <c r="E12" s="144">
        <v>4700.0</v>
      </c>
      <c r="F12" s="59">
        <f>11156.8</f>
        <v>11156.8</v>
      </c>
      <c r="G12" s="51">
        <f t="shared" si="1"/>
        <v>6456.8</v>
      </c>
      <c r="I12" s="47">
        <v>4.0</v>
      </c>
      <c r="J12" s="44" t="s">
        <v>40</v>
      </c>
      <c r="K12" s="144">
        <v>6100.0</v>
      </c>
      <c r="L12" s="59">
        <f>8674.71-599</f>
        <v>8075.71</v>
      </c>
      <c r="M12" s="51">
        <f t="shared" si="2"/>
        <v>1975.71</v>
      </c>
      <c r="Q12" s="140" t="s">
        <v>10</v>
      </c>
      <c r="R12" s="55">
        <v>5801.39</v>
      </c>
      <c r="S12" s="55">
        <v>8426.27</v>
      </c>
      <c r="T12" s="143">
        <f t="shared" si="3"/>
        <v>0.4524570836</v>
      </c>
      <c r="V12" s="140" t="s">
        <v>10</v>
      </c>
      <c r="W12" s="55">
        <v>5676.58</v>
      </c>
      <c r="X12" s="144">
        <f t="shared" si="4"/>
        <v>8244.988831</v>
      </c>
      <c r="Z12" s="1"/>
      <c r="AA12" s="47">
        <v>4.0</v>
      </c>
      <c r="AB12" s="47" t="s">
        <v>48</v>
      </c>
      <c r="AC12" s="59">
        <v>11903.987174747439</v>
      </c>
      <c r="AE12" s="47">
        <v>4.0</v>
      </c>
      <c r="AF12" s="47" t="s">
        <v>48</v>
      </c>
      <c r="AG12" s="183">
        <v>10005.909262571538</v>
      </c>
    </row>
    <row r="13" ht="15.75" customHeight="1">
      <c r="C13" s="47">
        <v>5.0</v>
      </c>
      <c r="D13" s="44" t="s">
        <v>47</v>
      </c>
      <c r="E13" s="144">
        <v>9400.0</v>
      </c>
      <c r="F13" s="59">
        <f>10270.15</f>
        <v>10270.15</v>
      </c>
      <c r="G13" s="51">
        <f t="shared" si="1"/>
        <v>870.15</v>
      </c>
      <c r="I13" s="47">
        <v>5.0</v>
      </c>
      <c r="J13" s="44" t="s">
        <v>47</v>
      </c>
      <c r="K13" s="144">
        <v>5300.0</v>
      </c>
      <c r="L13" s="59">
        <f>11266.83-874</f>
        <v>10392.83</v>
      </c>
      <c r="M13" s="51">
        <f t="shared" si="2"/>
        <v>5092.83</v>
      </c>
      <c r="Q13" s="140" t="s">
        <v>12</v>
      </c>
      <c r="R13" s="55">
        <v>7081.41</v>
      </c>
      <c r="S13" s="55">
        <v>9097.69</v>
      </c>
      <c r="T13" s="143">
        <f t="shared" si="3"/>
        <v>0.2847286063</v>
      </c>
      <c r="V13" s="140" t="s">
        <v>12</v>
      </c>
      <c r="W13" s="55">
        <v>6934.36</v>
      </c>
      <c r="X13" s="144">
        <f t="shared" si="4"/>
        <v>8908.770658</v>
      </c>
      <c r="Y13" s="61"/>
      <c r="Z13" s="1"/>
      <c r="AA13" s="47">
        <v>5.0</v>
      </c>
      <c r="AB13" s="47" t="s">
        <v>41</v>
      </c>
      <c r="AC13" s="59">
        <v>21981.997393141548</v>
      </c>
      <c r="AE13" s="47">
        <v>5.0</v>
      </c>
      <c r="AF13" s="47" t="s">
        <v>41</v>
      </c>
      <c r="AG13" s="183">
        <v>10418.436612321586</v>
      </c>
    </row>
    <row r="14" ht="15.75" customHeight="1">
      <c r="C14" s="44">
        <v>6.0</v>
      </c>
      <c r="D14" s="44" t="s">
        <v>48</v>
      </c>
      <c r="E14" s="144">
        <v>12500.0</v>
      </c>
      <c r="F14" s="59">
        <f>10287.35-200</f>
        <v>10087.35</v>
      </c>
      <c r="G14" s="51">
        <f t="shared" si="1"/>
        <v>-2412.65</v>
      </c>
      <c r="I14" s="44">
        <v>6.0</v>
      </c>
      <c r="J14" s="44" t="s">
        <v>48</v>
      </c>
      <c r="K14" s="144">
        <v>9100.0</v>
      </c>
      <c r="L14" s="59">
        <f>10249.27-756-8</f>
        <v>9485.27</v>
      </c>
      <c r="M14" s="51">
        <f t="shared" si="2"/>
        <v>385.27</v>
      </c>
      <c r="Q14" s="140" t="s">
        <v>15</v>
      </c>
      <c r="R14" s="55">
        <v>7670.24</v>
      </c>
      <c r="S14" s="55">
        <v>5487.98</v>
      </c>
      <c r="T14" s="143">
        <f t="shared" si="3"/>
        <v>-0.2845100023</v>
      </c>
      <c r="V14" s="140" t="s">
        <v>15</v>
      </c>
      <c r="W14" s="55">
        <v>7458.39</v>
      </c>
      <c r="X14" s="144">
        <f t="shared" si="4"/>
        <v>5336.403444</v>
      </c>
      <c r="Z14" s="1"/>
      <c r="AA14" s="47">
        <v>6.0</v>
      </c>
      <c r="AB14" s="47" t="s">
        <v>44</v>
      </c>
      <c r="AC14" s="59">
        <v>21384.969159348813</v>
      </c>
      <c r="AE14" s="47">
        <v>6.0</v>
      </c>
      <c r="AF14" s="47" t="s">
        <v>44</v>
      </c>
      <c r="AG14" s="183">
        <v>19977.89589095069</v>
      </c>
    </row>
    <row r="15" ht="15.75" customHeight="1">
      <c r="C15" s="44">
        <v>7.0</v>
      </c>
      <c r="D15" s="44" t="s">
        <v>41</v>
      </c>
      <c r="E15" s="144">
        <v>18500.0</v>
      </c>
      <c r="F15" s="59">
        <f>17941.95</f>
        <v>17941.95</v>
      </c>
      <c r="G15" s="51">
        <f t="shared" si="1"/>
        <v>-558.05</v>
      </c>
      <c r="I15" s="44">
        <v>7.0</v>
      </c>
      <c r="J15" s="44" t="s">
        <v>41</v>
      </c>
      <c r="K15" s="144">
        <v>19500.0</v>
      </c>
      <c r="L15" s="59">
        <f>13562.21-974</f>
        <v>12588.21</v>
      </c>
      <c r="M15" s="51">
        <f t="shared" si="2"/>
        <v>-6911.79</v>
      </c>
      <c r="Q15" s="140" t="s">
        <v>17</v>
      </c>
      <c r="R15" s="55">
        <v>10408.45</v>
      </c>
      <c r="S15" s="55">
        <v>11004.81</v>
      </c>
      <c r="T15" s="143">
        <f t="shared" si="3"/>
        <v>0.05729575489</v>
      </c>
      <c r="V15" s="140" t="s">
        <v>17</v>
      </c>
      <c r="W15" s="55">
        <v>11258.9</v>
      </c>
      <c r="X15" s="144">
        <f t="shared" si="4"/>
        <v>11903.98717</v>
      </c>
      <c r="Z15" s="1"/>
      <c r="AA15" s="47">
        <v>7.0</v>
      </c>
      <c r="AB15" s="47" t="s">
        <v>45</v>
      </c>
      <c r="AC15" s="59">
        <v>6170.997869349565</v>
      </c>
      <c r="AE15" s="47">
        <v>7.0</v>
      </c>
      <c r="AF15" s="47" t="s">
        <v>45</v>
      </c>
      <c r="AG15" s="183">
        <v>3422.1217248560197</v>
      </c>
    </row>
    <row r="16" ht="15.75" customHeight="1">
      <c r="C16" s="44">
        <v>8.0</v>
      </c>
      <c r="D16" s="44" t="s">
        <v>44</v>
      </c>
      <c r="E16" s="144">
        <v>21500.0</v>
      </c>
      <c r="F16" s="59">
        <f>15576</f>
        <v>15576</v>
      </c>
      <c r="G16" s="51">
        <f t="shared" si="1"/>
        <v>-5924</v>
      </c>
      <c r="I16" s="44">
        <v>8.0</v>
      </c>
      <c r="J16" s="44" t="s">
        <v>44</v>
      </c>
      <c r="K16" s="144">
        <v>21600.0</v>
      </c>
      <c r="L16" s="59">
        <f>15558.95-1328</f>
        <v>14230.95</v>
      </c>
      <c r="M16" s="51">
        <f t="shared" si="2"/>
        <v>-7369.05</v>
      </c>
      <c r="Q16" s="140" t="s">
        <v>19</v>
      </c>
      <c r="R16" s="55">
        <v>15889.01</v>
      </c>
      <c r="S16" s="55">
        <v>19164.37</v>
      </c>
      <c r="T16" s="143">
        <f t="shared" si="3"/>
        <v>0.2061399672</v>
      </c>
      <c r="V16" s="140" t="s">
        <v>19</v>
      </c>
      <c r="W16" s="55">
        <v>18225.08</v>
      </c>
      <c r="X16" s="144">
        <f t="shared" si="4"/>
        <v>21981.99739</v>
      </c>
      <c r="Z16" s="1"/>
      <c r="AA16" s="47">
        <v>8.0</v>
      </c>
      <c r="AB16" s="47" t="s">
        <v>46</v>
      </c>
      <c r="AC16" s="59">
        <v>8244.988831400751</v>
      </c>
      <c r="AE16" s="47">
        <v>8.0</v>
      </c>
      <c r="AF16" s="47" t="s">
        <v>46</v>
      </c>
      <c r="AG16" s="183">
        <v>4576.9723051462215</v>
      </c>
    </row>
    <row r="17" ht="15.75" customHeight="1">
      <c r="C17" s="44">
        <v>9.0</v>
      </c>
      <c r="D17" s="44" t="s">
        <v>45</v>
      </c>
      <c r="E17" s="144">
        <v>5000.0</v>
      </c>
      <c r="F17" s="59">
        <f>4751.95</f>
        <v>4751.95</v>
      </c>
      <c r="G17" s="51">
        <f t="shared" si="1"/>
        <v>-248.05</v>
      </c>
      <c r="I17" s="44">
        <v>9.0</v>
      </c>
      <c r="J17" s="44" t="s">
        <v>45</v>
      </c>
      <c r="K17" s="144">
        <v>4000.0</v>
      </c>
      <c r="L17" s="59">
        <f>2850.04-267</f>
        <v>2583.04</v>
      </c>
      <c r="M17" s="51">
        <f t="shared" si="2"/>
        <v>-1416.96</v>
      </c>
      <c r="Q17" s="140" t="s">
        <v>20</v>
      </c>
      <c r="R17" s="55">
        <v>17276.25</v>
      </c>
      <c r="S17" s="55">
        <v>20593.52</v>
      </c>
      <c r="T17" s="145">
        <f t="shared" si="3"/>
        <v>0.1920133131</v>
      </c>
      <c r="V17" s="140" t="s">
        <v>20</v>
      </c>
      <c r="W17" s="55">
        <v>17940.21</v>
      </c>
      <c r="X17" s="144">
        <f t="shared" si="4"/>
        <v>21384.96916</v>
      </c>
      <c r="Z17" s="1"/>
      <c r="AA17" s="47">
        <v>9.0</v>
      </c>
      <c r="AB17" s="47" t="s">
        <v>40</v>
      </c>
      <c r="AC17" s="59">
        <v>8908.770658442316</v>
      </c>
      <c r="AE17" s="47">
        <v>9.0</v>
      </c>
      <c r="AF17" s="47" t="s">
        <v>40</v>
      </c>
      <c r="AG17" s="183">
        <v>4068.540392568503</v>
      </c>
    </row>
    <row r="18" ht="15.75" customHeight="1">
      <c r="C18" s="44">
        <v>10.0</v>
      </c>
      <c r="D18" s="44" t="s">
        <v>46</v>
      </c>
      <c r="E18" s="144">
        <v>6700.0</v>
      </c>
      <c r="F18" s="59">
        <f>6058</f>
        <v>6058</v>
      </c>
      <c r="G18" s="51">
        <f t="shared" si="1"/>
        <v>-642</v>
      </c>
      <c r="I18" s="44">
        <v>10.0</v>
      </c>
      <c r="J18" s="44" t="s">
        <v>46</v>
      </c>
      <c r="K18" s="144">
        <v>3000.0</v>
      </c>
      <c r="L18" s="59">
        <f>2759.14-204</f>
        <v>2555.14</v>
      </c>
      <c r="M18" s="51">
        <f t="shared" si="2"/>
        <v>-444.86</v>
      </c>
      <c r="Q18" s="1"/>
      <c r="R18" s="8"/>
      <c r="U18" s="1"/>
      <c r="V18" s="8"/>
      <c r="W18" s="8"/>
      <c r="AA18" s="47">
        <v>10.0</v>
      </c>
      <c r="AB18" s="47" t="s">
        <v>47</v>
      </c>
      <c r="AC18" s="59">
        <v>5336.403443986107</v>
      </c>
      <c r="AE18" s="47">
        <v>10.0</v>
      </c>
      <c r="AF18" s="47" t="s">
        <v>47</v>
      </c>
      <c r="AG18" s="183">
        <v>7756.100758338395</v>
      </c>
    </row>
    <row r="19" ht="15.75" customHeight="1">
      <c r="C19" s="44">
        <v>11.0</v>
      </c>
      <c r="D19" s="44" t="s">
        <v>40</v>
      </c>
      <c r="E19" s="144">
        <v>4700.0</v>
      </c>
      <c r="F19" s="59">
        <v>5020.3</v>
      </c>
      <c r="G19" s="51">
        <f t="shared" si="1"/>
        <v>320.3</v>
      </c>
      <c r="I19" s="44">
        <v>11.0</v>
      </c>
      <c r="J19" s="44" t="s">
        <v>40</v>
      </c>
      <c r="K19" s="144">
        <v>6100.0</v>
      </c>
      <c r="L19" s="59">
        <f>4369.58-319</f>
        <v>4050.58</v>
      </c>
      <c r="M19" s="51">
        <f t="shared" si="2"/>
        <v>-2049.42</v>
      </c>
      <c r="Q19" s="139" t="s">
        <v>93</v>
      </c>
      <c r="R19" s="41"/>
      <c r="S19" s="41"/>
      <c r="T19" s="6"/>
      <c r="V19" s="139" t="s">
        <v>5</v>
      </c>
      <c r="W19" s="41"/>
      <c r="X19" s="6"/>
      <c r="AA19" s="47">
        <v>11.0</v>
      </c>
      <c r="AB19" s="47" t="s">
        <v>48</v>
      </c>
      <c r="AC19" s="59">
        <v>11903.987174747439</v>
      </c>
      <c r="AE19" s="47">
        <v>11.0</v>
      </c>
      <c r="AF19" s="47" t="s">
        <v>48</v>
      </c>
      <c r="AG19" s="183">
        <v>10005.909262571538</v>
      </c>
    </row>
    <row r="20" ht="15.75" customHeight="1">
      <c r="C20" s="44">
        <v>12.0</v>
      </c>
      <c r="D20" s="44" t="s">
        <v>47</v>
      </c>
      <c r="E20" s="144">
        <v>9500.0</v>
      </c>
      <c r="F20" s="59">
        <f>5696.25</f>
        <v>5696.25</v>
      </c>
      <c r="G20" s="51">
        <f t="shared" si="1"/>
        <v>-3803.75</v>
      </c>
      <c r="I20" s="44">
        <v>12.0</v>
      </c>
      <c r="J20" s="44" t="s">
        <v>47</v>
      </c>
      <c r="K20" s="144">
        <v>5300.0</v>
      </c>
      <c r="L20" s="59">
        <f>5749.25-433</f>
        <v>5316.25</v>
      </c>
      <c r="M20" s="51">
        <f t="shared" si="2"/>
        <v>16.25</v>
      </c>
      <c r="Q20" s="140"/>
      <c r="R20" s="141">
        <v>45170.0</v>
      </c>
      <c r="S20" s="141">
        <v>45200.0</v>
      </c>
      <c r="T20" s="142" t="s">
        <v>90</v>
      </c>
      <c r="V20" s="140"/>
      <c r="W20" s="141">
        <v>45536.0</v>
      </c>
      <c r="X20" s="141" t="s">
        <v>128</v>
      </c>
      <c r="AA20" s="47">
        <v>12.0</v>
      </c>
      <c r="AB20" s="47" t="s">
        <v>41</v>
      </c>
      <c r="AC20" s="59">
        <v>27000.0</v>
      </c>
      <c r="AE20" s="47">
        <v>12.0</v>
      </c>
      <c r="AF20" s="47" t="s">
        <v>41</v>
      </c>
      <c r="AG20" s="183">
        <v>10418.436612321586</v>
      </c>
    </row>
    <row r="21" ht="15.75" customHeight="1">
      <c r="C21" s="44">
        <v>13.0</v>
      </c>
      <c r="D21" s="44" t="s">
        <v>48</v>
      </c>
      <c r="E21" s="144">
        <v>12500.0</v>
      </c>
      <c r="F21" s="59">
        <f>11339.9+97-100</f>
        <v>11336.9</v>
      </c>
      <c r="G21" s="51">
        <f t="shared" si="1"/>
        <v>-1163.1</v>
      </c>
      <c r="I21" s="44">
        <v>13.0</v>
      </c>
      <c r="J21" s="44" t="s">
        <v>48</v>
      </c>
      <c r="K21" s="144">
        <v>9100.0</v>
      </c>
      <c r="L21" s="59">
        <f>11813.64-869-8-12</f>
        <v>10924.64</v>
      </c>
      <c r="M21" s="51">
        <f t="shared" si="2"/>
        <v>1824.64</v>
      </c>
      <c r="Q21" s="140" t="s">
        <v>6</v>
      </c>
      <c r="R21" s="55">
        <v>3146.28</v>
      </c>
      <c r="S21" s="55">
        <v>3234.24</v>
      </c>
      <c r="T21" s="143">
        <f t="shared" ref="T21:T27" si="5">S21/R21-1</f>
        <v>0.0279568252</v>
      </c>
      <c r="V21" s="140" t="s">
        <v>6</v>
      </c>
      <c r="W21" s="55">
        <f>AVERAGE(L10,L17,L24,L31,L38)</f>
        <v>3329.052</v>
      </c>
      <c r="X21" s="144">
        <f t="shared" ref="X21:X27" si="6">W21*T21+W21</f>
        <v>3422.121725</v>
      </c>
      <c r="AA21" s="47">
        <v>13.0</v>
      </c>
      <c r="AB21" s="47" t="s">
        <v>44</v>
      </c>
      <c r="AC21" s="59">
        <v>21384.969159348813</v>
      </c>
      <c r="AE21" s="47">
        <v>13.0</v>
      </c>
      <c r="AF21" s="47" t="s">
        <v>44</v>
      </c>
      <c r="AG21" s="183">
        <v>19977.89589095069</v>
      </c>
    </row>
    <row r="22" ht="15.75" customHeight="1">
      <c r="C22" s="44">
        <v>14.0</v>
      </c>
      <c r="D22" s="44" t="s">
        <v>41</v>
      </c>
      <c r="E22" s="144">
        <v>18500.0</v>
      </c>
      <c r="F22" s="59">
        <f>19462+596.25</f>
        <v>20058.25</v>
      </c>
      <c r="G22" s="51">
        <f t="shared" si="1"/>
        <v>1558.25</v>
      </c>
      <c r="I22" s="44">
        <v>14.0</v>
      </c>
      <c r="J22" s="44" t="s">
        <v>41</v>
      </c>
      <c r="K22" s="144">
        <v>19500.0</v>
      </c>
      <c r="L22" s="59">
        <f>13706.11-1073</f>
        <v>12633.11</v>
      </c>
      <c r="M22" s="51">
        <f t="shared" si="2"/>
        <v>-6866.89</v>
      </c>
      <c r="Q22" s="140" t="s">
        <v>10</v>
      </c>
      <c r="R22" s="55">
        <v>3815.81</v>
      </c>
      <c r="S22" s="55">
        <v>5111.81</v>
      </c>
      <c r="T22" s="143">
        <f t="shared" si="5"/>
        <v>0.3396395523</v>
      </c>
      <c r="V22" s="140" t="s">
        <v>10</v>
      </c>
      <c r="W22" s="55">
        <f t="shared" ref="W22:W26" si="7">AVERAGE(L11,L18,L25,L32)</f>
        <v>3416.57</v>
      </c>
      <c r="X22" s="144">
        <f t="shared" si="6"/>
        <v>4576.972305</v>
      </c>
      <c r="AA22" s="47">
        <v>14.0</v>
      </c>
      <c r="AB22" s="47" t="s">
        <v>45</v>
      </c>
      <c r="AC22" s="59">
        <v>6170.997869349565</v>
      </c>
      <c r="AE22" s="47">
        <v>14.0</v>
      </c>
      <c r="AF22" s="47" t="s">
        <v>45</v>
      </c>
      <c r="AG22" s="183">
        <v>3422.1217248560197</v>
      </c>
    </row>
    <row r="23" ht="15.75" customHeight="1">
      <c r="C23" s="44">
        <v>15.0</v>
      </c>
      <c r="D23" s="44" t="s">
        <v>44</v>
      </c>
      <c r="E23" s="144">
        <v>21500.0</v>
      </c>
      <c r="F23" s="59">
        <f>15910.85</f>
        <v>15910.85</v>
      </c>
      <c r="G23" s="51">
        <f t="shared" si="1"/>
        <v>-5589.15</v>
      </c>
      <c r="I23" s="44">
        <v>15.0</v>
      </c>
      <c r="J23" s="44" t="s">
        <v>44</v>
      </c>
      <c r="K23" s="144">
        <v>21600.0</v>
      </c>
      <c r="L23" s="59">
        <f>22735.51-1728</f>
        <v>21007.51</v>
      </c>
      <c r="M23" s="51">
        <f t="shared" si="2"/>
        <v>-592.49</v>
      </c>
      <c r="Q23" s="140" t="s">
        <v>12</v>
      </c>
      <c r="R23" s="55">
        <v>5070.58</v>
      </c>
      <c r="S23" s="55">
        <v>3986.35</v>
      </c>
      <c r="T23" s="143">
        <f t="shared" si="5"/>
        <v>-0.2138276095</v>
      </c>
      <c r="V23" s="140" t="s">
        <v>12</v>
      </c>
      <c r="W23" s="55">
        <f t="shared" si="7"/>
        <v>5175.125</v>
      </c>
      <c r="X23" s="144">
        <f t="shared" si="6"/>
        <v>4068.540393</v>
      </c>
      <c r="AA23" s="47">
        <v>15.0</v>
      </c>
      <c r="AB23" s="47" t="s">
        <v>46</v>
      </c>
      <c r="AC23" s="59">
        <v>8244.988831400751</v>
      </c>
      <c r="AE23" s="47">
        <v>15.0</v>
      </c>
      <c r="AF23" s="47" t="s">
        <v>46</v>
      </c>
      <c r="AG23" s="183">
        <v>4576.9723051462215</v>
      </c>
    </row>
    <row r="24" ht="15.75" customHeight="1">
      <c r="C24" s="44">
        <v>16.0</v>
      </c>
      <c r="D24" s="44" t="s">
        <v>45</v>
      </c>
      <c r="E24" s="144">
        <v>5000.0</v>
      </c>
      <c r="F24" s="59">
        <f>2405.3</f>
        <v>2405.3</v>
      </c>
      <c r="G24" s="51">
        <f t="shared" si="1"/>
        <v>-2594.7</v>
      </c>
      <c r="I24" s="44">
        <v>16.0</v>
      </c>
      <c r="J24" s="44" t="s">
        <v>45</v>
      </c>
      <c r="K24" s="144">
        <v>4000.0</v>
      </c>
      <c r="L24" s="59">
        <f>2351.23-213</f>
        <v>2138.23</v>
      </c>
      <c r="M24" s="51">
        <f t="shared" si="2"/>
        <v>-1861.77</v>
      </c>
      <c r="Q24" s="140" t="s">
        <v>15</v>
      </c>
      <c r="R24" s="55">
        <v>5680.05</v>
      </c>
      <c r="S24" s="55">
        <v>6195.18</v>
      </c>
      <c r="T24" s="143">
        <f t="shared" si="5"/>
        <v>0.09069110307</v>
      </c>
      <c r="V24" s="140" t="s">
        <v>15</v>
      </c>
      <c r="W24" s="55">
        <f t="shared" si="7"/>
        <v>7111.18</v>
      </c>
      <c r="X24" s="144">
        <f t="shared" si="6"/>
        <v>7756.100758</v>
      </c>
      <c r="AA24" s="47">
        <v>16.0</v>
      </c>
      <c r="AB24" s="47" t="s">
        <v>40</v>
      </c>
      <c r="AC24" s="59">
        <v>8908.770658442316</v>
      </c>
      <c r="AE24" s="47">
        <v>16.0</v>
      </c>
      <c r="AF24" s="47" t="s">
        <v>40</v>
      </c>
      <c r="AG24" s="183">
        <v>4068.540392568503</v>
      </c>
    </row>
    <row r="25" ht="15.75" customHeight="1">
      <c r="C25" s="44">
        <v>17.0</v>
      </c>
      <c r="D25" s="44" t="s">
        <v>46</v>
      </c>
      <c r="E25" s="144">
        <v>6700.0</v>
      </c>
      <c r="F25" s="59">
        <f>5887.5</f>
        <v>5887.5</v>
      </c>
      <c r="G25" s="51">
        <f t="shared" si="1"/>
        <v>-812.5</v>
      </c>
      <c r="I25" s="44">
        <v>17.0</v>
      </c>
      <c r="J25" s="44" t="s">
        <v>46</v>
      </c>
      <c r="K25" s="144">
        <v>3000.0</v>
      </c>
      <c r="L25" s="59">
        <f>3730.29-248</f>
        <v>3482.29</v>
      </c>
      <c r="M25" s="51">
        <f t="shared" si="2"/>
        <v>482.29</v>
      </c>
      <c r="Q25" s="140" t="s">
        <v>17</v>
      </c>
      <c r="R25" s="55">
        <v>8146.18</v>
      </c>
      <c r="S25" s="55">
        <v>8257.43</v>
      </c>
      <c r="T25" s="143">
        <f t="shared" si="5"/>
        <v>0.01365670781</v>
      </c>
      <c r="V25" s="140" t="s">
        <v>17</v>
      </c>
      <c r="W25" s="55">
        <f t="shared" si="7"/>
        <v>9871.1025</v>
      </c>
      <c r="X25" s="144">
        <f t="shared" si="6"/>
        <v>10005.90926</v>
      </c>
      <c r="AA25" s="47">
        <v>17.0</v>
      </c>
      <c r="AB25" s="47" t="s">
        <v>47</v>
      </c>
      <c r="AC25" s="59">
        <v>5336.403443986107</v>
      </c>
      <c r="AE25" s="47">
        <v>17.0</v>
      </c>
      <c r="AF25" s="47" t="s">
        <v>47</v>
      </c>
      <c r="AG25" s="183">
        <v>7756.100758338395</v>
      </c>
    </row>
    <row r="26" ht="15.75" customHeight="1">
      <c r="C26" s="44">
        <v>18.0</v>
      </c>
      <c r="D26" s="47" t="s">
        <v>40</v>
      </c>
      <c r="E26" s="144">
        <v>4700.0</v>
      </c>
      <c r="F26" s="59">
        <f>5247.1</f>
        <v>5247.1</v>
      </c>
      <c r="G26" s="51">
        <f t="shared" si="1"/>
        <v>547.1</v>
      </c>
      <c r="I26" s="44">
        <v>18.0</v>
      </c>
      <c r="J26" s="47" t="s">
        <v>40</v>
      </c>
      <c r="K26" s="144">
        <v>6100.0</v>
      </c>
      <c r="L26" s="59">
        <f>5040.92-432</f>
        <v>4608.92</v>
      </c>
      <c r="M26" s="51">
        <f t="shared" si="2"/>
        <v>-1491.08</v>
      </c>
      <c r="Q26" s="140" t="s">
        <v>19</v>
      </c>
      <c r="R26" s="55">
        <v>13732.0</v>
      </c>
      <c r="S26" s="55">
        <v>11814.69</v>
      </c>
      <c r="T26" s="143">
        <f t="shared" si="5"/>
        <v>-0.1396235071</v>
      </c>
      <c r="V26" s="140" t="s">
        <v>19</v>
      </c>
      <c r="W26" s="55">
        <f t="shared" si="7"/>
        <v>12109.16</v>
      </c>
      <c r="X26" s="144">
        <f t="shared" si="6"/>
        <v>10418.43661</v>
      </c>
      <c r="AA26" s="47">
        <v>18.0</v>
      </c>
      <c r="AB26" s="47" t="s">
        <v>48</v>
      </c>
      <c r="AC26" s="59">
        <v>11903.987174747439</v>
      </c>
      <c r="AE26" s="47">
        <v>18.0</v>
      </c>
      <c r="AF26" s="47" t="s">
        <v>48</v>
      </c>
      <c r="AG26" s="183">
        <v>10005.909262571538</v>
      </c>
    </row>
    <row r="27" ht="15.75" customHeight="1">
      <c r="C27" s="44">
        <v>19.0</v>
      </c>
      <c r="D27" s="47" t="s">
        <v>47</v>
      </c>
      <c r="E27" s="144">
        <v>9500.0</v>
      </c>
      <c r="F27" s="59">
        <f>7498.75</f>
        <v>7498.75</v>
      </c>
      <c r="G27" s="51">
        <f t="shared" si="1"/>
        <v>-2001.25</v>
      </c>
      <c r="I27" s="44">
        <v>19.0</v>
      </c>
      <c r="J27" s="47" t="s">
        <v>47</v>
      </c>
      <c r="K27" s="144">
        <v>5300.0</v>
      </c>
      <c r="L27" s="59">
        <f>6918.57-499</f>
        <v>6419.57</v>
      </c>
      <c r="M27" s="51">
        <f t="shared" si="2"/>
        <v>1119.57</v>
      </c>
      <c r="Q27" s="140" t="s">
        <v>20</v>
      </c>
      <c r="R27" s="55">
        <v>17360.22</v>
      </c>
      <c r="S27" s="55">
        <v>16722.0</v>
      </c>
      <c r="T27" s="145">
        <f t="shared" si="5"/>
        <v>-0.03676335899</v>
      </c>
      <c r="V27" s="140" t="s">
        <v>20</v>
      </c>
      <c r="W27" s="55">
        <f>AVERAGE(L9,L16,L23,L30,L37)</f>
        <v>20740.382</v>
      </c>
      <c r="X27" s="144">
        <f t="shared" si="6"/>
        <v>19977.89589</v>
      </c>
      <c r="AA27" s="47">
        <v>19.0</v>
      </c>
      <c r="AB27" s="47" t="s">
        <v>41</v>
      </c>
      <c r="AC27" s="59">
        <v>21981.997393141548</v>
      </c>
      <c r="AE27" s="47">
        <v>19.0</v>
      </c>
      <c r="AF27" s="47" t="s">
        <v>41</v>
      </c>
      <c r="AG27" s="183">
        <v>10418.436612321586</v>
      </c>
    </row>
    <row r="28" ht="15.75" customHeight="1">
      <c r="C28" s="44">
        <v>20.0</v>
      </c>
      <c r="D28" s="47" t="s">
        <v>48</v>
      </c>
      <c r="E28" s="144">
        <v>12500.0</v>
      </c>
      <c r="F28" s="59">
        <f>12581.7-180</f>
        <v>12401.7</v>
      </c>
      <c r="G28" s="51">
        <f t="shared" si="1"/>
        <v>-98.3</v>
      </c>
      <c r="I28" s="44">
        <v>20.0</v>
      </c>
      <c r="J28" s="47" t="s">
        <v>48</v>
      </c>
      <c r="K28" s="144">
        <v>9100.0</v>
      </c>
      <c r="L28" s="59">
        <f>11350.32-742</f>
        <v>10608.32</v>
      </c>
      <c r="M28" s="51">
        <f t="shared" si="2"/>
        <v>1508.32</v>
      </c>
      <c r="Z28" s="1"/>
      <c r="AA28" s="47">
        <v>20.0</v>
      </c>
      <c r="AB28" s="47" t="s">
        <v>44</v>
      </c>
      <c r="AC28" s="59">
        <v>21384.969159348813</v>
      </c>
      <c r="AE28" s="47">
        <v>20.0</v>
      </c>
      <c r="AF28" s="47" t="s">
        <v>44</v>
      </c>
      <c r="AG28" s="183">
        <v>19977.89589095069</v>
      </c>
    </row>
    <row r="29" ht="15.75" customHeight="1">
      <c r="C29" s="44">
        <v>21.0</v>
      </c>
      <c r="D29" s="44" t="s">
        <v>41</v>
      </c>
      <c r="E29" s="144">
        <v>18500.0</v>
      </c>
      <c r="F29" s="59">
        <f>19001.4</f>
        <v>19001.4</v>
      </c>
      <c r="G29" s="51">
        <f t="shared" si="1"/>
        <v>501.4</v>
      </c>
      <c r="I29" s="44">
        <v>21.0</v>
      </c>
      <c r="J29" s="44" t="s">
        <v>41</v>
      </c>
      <c r="K29" s="144">
        <v>19500.0</v>
      </c>
      <c r="L29" s="59">
        <f>11992.7-946</f>
        <v>11046.7</v>
      </c>
      <c r="M29" s="51">
        <f t="shared" si="2"/>
        <v>-8453.3</v>
      </c>
      <c r="Z29" s="1"/>
      <c r="AA29" s="47">
        <v>21.0</v>
      </c>
      <c r="AB29" s="47" t="s">
        <v>45</v>
      </c>
      <c r="AC29" s="59">
        <v>6170.997869349565</v>
      </c>
      <c r="AE29" s="47">
        <v>21.0</v>
      </c>
      <c r="AF29" s="47" t="s">
        <v>45</v>
      </c>
      <c r="AG29" s="183">
        <v>3422.1217248560197</v>
      </c>
    </row>
    <row r="30" ht="15.75" customHeight="1">
      <c r="C30" s="44">
        <v>22.0</v>
      </c>
      <c r="D30" s="44" t="s">
        <v>44</v>
      </c>
      <c r="E30" s="144">
        <v>21500.0</v>
      </c>
      <c r="F30" s="59">
        <f>23315.15</f>
        <v>23315.15</v>
      </c>
      <c r="G30" s="51">
        <f t="shared" si="1"/>
        <v>1815.15</v>
      </c>
      <c r="I30" s="44">
        <v>22.0</v>
      </c>
      <c r="J30" s="44" t="s">
        <v>44</v>
      </c>
      <c r="K30" s="144">
        <v>21600.0</v>
      </c>
      <c r="L30" s="59">
        <f>22944.55-1796</f>
        <v>21148.55</v>
      </c>
      <c r="M30" s="51">
        <f t="shared" si="2"/>
        <v>-451.45</v>
      </c>
      <c r="Z30" s="1"/>
      <c r="AA30" s="47">
        <v>22.0</v>
      </c>
      <c r="AB30" s="47" t="s">
        <v>46</v>
      </c>
      <c r="AC30" s="59">
        <v>8244.988831400751</v>
      </c>
      <c r="AE30" s="47">
        <v>22.0</v>
      </c>
      <c r="AF30" s="47" t="s">
        <v>46</v>
      </c>
      <c r="AG30" s="183">
        <v>4576.9723051462215</v>
      </c>
    </row>
    <row r="31" ht="15.75" customHeight="1">
      <c r="C31" s="44">
        <v>23.0</v>
      </c>
      <c r="D31" s="44" t="s">
        <v>45</v>
      </c>
      <c r="E31" s="144">
        <v>5000.0</v>
      </c>
      <c r="F31" s="59">
        <f>5075.6</f>
        <v>5075.6</v>
      </c>
      <c r="G31" s="51">
        <f t="shared" si="1"/>
        <v>75.6</v>
      </c>
      <c r="I31" s="44">
        <v>23.0</v>
      </c>
      <c r="J31" s="44" t="s">
        <v>45</v>
      </c>
      <c r="K31" s="144">
        <v>4000.0</v>
      </c>
      <c r="L31" s="59">
        <f>3602.06-285</f>
        <v>3317.06</v>
      </c>
      <c r="M31" s="51">
        <f t="shared" si="2"/>
        <v>-682.94</v>
      </c>
      <c r="Z31" s="1"/>
      <c r="AA31" s="47">
        <v>23.0</v>
      </c>
      <c r="AB31" s="47" t="s">
        <v>40</v>
      </c>
      <c r="AC31" s="59">
        <v>8908.770658442316</v>
      </c>
      <c r="AE31" s="47">
        <v>23.0</v>
      </c>
      <c r="AF31" s="47" t="s">
        <v>40</v>
      </c>
      <c r="AG31" s="183">
        <v>4068.540392568503</v>
      </c>
    </row>
    <row r="32" ht="15.75" customHeight="1">
      <c r="C32" s="44">
        <v>24.0</v>
      </c>
      <c r="D32" s="44" t="s">
        <v>46</v>
      </c>
      <c r="E32" s="144">
        <v>6700.0</v>
      </c>
      <c r="F32" s="59">
        <f>4983.5</f>
        <v>4983.5</v>
      </c>
      <c r="G32" s="51">
        <f t="shared" si="1"/>
        <v>-1716.5</v>
      </c>
      <c r="I32" s="44">
        <v>24.0</v>
      </c>
      <c r="J32" s="44" t="s">
        <v>46</v>
      </c>
      <c r="K32" s="144">
        <v>3000.0</v>
      </c>
      <c r="L32" s="59">
        <f>5262.06-419</f>
        <v>4843.06</v>
      </c>
      <c r="M32" s="51">
        <f t="shared" si="2"/>
        <v>1843.06</v>
      </c>
      <c r="Z32" s="1"/>
      <c r="AA32" s="47">
        <v>24.0</v>
      </c>
      <c r="AB32" s="47" t="s">
        <v>47</v>
      </c>
      <c r="AC32" s="59">
        <v>5336.403443986107</v>
      </c>
      <c r="AE32" s="47">
        <v>24.0</v>
      </c>
      <c r="AF32" s="47" t="s">
        <v>47</v>
      </c>
      <c r="AG32" s="183">
        <v>7756.100758338395</v>
      </c>
    </row>
    <row r="33" ht="15.75" customHeight="1">
      <c r="C33" s="44">
        <v>25.0</v>
      </c>
      <c r="D33" s="44" t="s">
        <v>40</v>
      </c>
      <c r="E33" s="144">
        <v>4700.0</v>
      </c>
      <c r="F33" s="59">
        <f>6313.25</f>
        <v>6313.25</v>
      </c>
      <c r="G33" s="51">
        <f t="shared" si="1"/>
        <v>1613.25</v>
      </c>
      <c r="I33" s="44">
        <v>25.0</v>
      </c>
      <c r="J33" s="44" t="s">
        <v>40</v>
      </c>
      <c r="K33" s="144">
        <v>6100.0</v>
      </c>
      <c r="L33" s="59">
        <f>4282.29-317</f>
        <v>3965.29</v>
      </c>
      <c r="M33" s="51">
        <f t="shared" si="2"/>
        <v>-2134.71</v>
      </c>
      <c r="Q33" s="188" t="s">
        <v>132</v>
      </c>
      <c r="R33" s="188" t="s">
        <v>133</v>
      </c>
      <c r="Z33" s="1"/>
      <c r="AA33" s="47">
        <v>25.0</v>
      </c>
      <c r="AB33" s="47" t="s">
        <v>48</v>
      </c>
      <c r="AC33" s="59">
        <v>11903.987174747439</v>
      </c>
      <c r="AE33" s="47">
        <v>25.0</v>
      </c>
      <c r="AF33" s="47" t="s">
        <v>48</v>
      </c>
      <c r="AG33" s="183">
        <v>10005.909262571538</v>
      </c>
    </row>
    <row r="34" ht="15.75" customHeight="1">
      <c r="C34" s="44">
        <v>26.0</v>
      </c>
      <c r="D34" s="44" t="s">
        <v>47</v>
      </c>
      <c r="E34" s="144">
        <v>9500.0</v>
      </c>
      <c r="F34" s="59">
        <f>6368.4</f>
        <v>6368.4</v>
      </c>
      <c r="G34" s="51">
        <f t="shared" si="1"/>
        <v>-3131.6</v>
      </c>
      <c r="I34" s="44">
        <v>26.0</v>
      </c>
      <c r="J34" s="44" t="s">
        <v>47</v>
      </c>
      <c r="K34" s="144">
        <v>5300.0</v>
      </c>
      <c r="L34" s="59">
        <f>6814.07-498</f>
        <v>6316.07</v>
      </c>
      <c r="M34" s="51">
        <f t="shared" si="2"/>
        <v>1016.07</v>
      </c>
      <c r="Q34" s="61">
        <v>251549.54999999993</v>
      </c>
      <c r="R34" s="61">
        <v>249482.73999999996</v>
      </c>
      <c r="Z34" s="1"/>
      <c r="AA34" s="47">
        <v>26.0</v>
      </c>
      <c r="AB34" s="47" t="s">
        <v>41</v>
      </c>
      <c r="AC34" s="59">
        <v>21981.997393141548</v>
      </c>
      <c r="AE34" s="47">
        <v>26.0</v>
      </c>
      <c r="AF34" s="47" t="s">
        <v>41</v>
      </c>
      <c r="AG34" s="183">
        <v>10418.436612321586</v>
      </c>
    </row>
    <row r="35" ht="15.75" customHeight="1">
      <c r="C35" s="44">
        <v>27.0</v>
      </c>
      <c r="D35" s="44" t="s">
        <v>48</v>
      </c>
      <c r="E35" s="144">
        <v>12500.0</v>
      </c>
      <c r="F35" s="59">
        <f>11369.65-160</f>
        <v>11209.65</v>
      </c>
      <c r="G35" s="51">
        <f t="shared" si="1"/>
        <v>-1290.35</v>
      </c>
      <c r="I35" s="44">
        <v>27.0</v>
      </c>
      <c r="J35" s="44" t="s">
        <v>48</v>
      </c>
      <c r="K35" s="144">
        <v>9100.0</v>
      </c>
      <c r="L35" s="59">
        <f>9229.18-763</f>
        <v>8466.18</v>
      </c>
      <c r="M35" s="51">
        <f t="shared" si="2"/>
        <v>-633.82</v>
      </c>
      <c r="Q35" s="188" t="s">
        <v>134</v>
      </c>
      <c r="R35" s="188" t="s">
        <v>135</v>
      </c>
      <c r="Z35" s="1"/>
      <c r="AA35" s="47">
        <v>27.0</v>
      </c>
      <c r="AB35" s="47" t="s">
        <v>44</v>
      </c>
      <c r="AC35" s="59">
        <v>21384.969159348813</v>
      </c>
      <c r="AE35" s="47">
        <v>27.0</v>
      </c>
      <c r="AF35" s="47" t="s">
        <v>44</v>
      </c>
      <c r="AG35" s="183">
        <v>19977.89589095069</v>
      </c>
    </row>
    <row r="36" ht="15.75" customHeight="1">
      <c r="C36" s="44">
        <v>28.0</v>
      </c>
      <c r="D36" s="44" t="s">
        <v>41</v>
      </c>
      <c r="E36" s="144">
        <v>18500.0</v>
      </c>
      <c r="F36" s="59">
        <f>15898.7</f>
        <v>15898.7</v>
      </c>
      <c r="G36" s="51">
        <f t="shared" si="1"/>
        <v>-2601.3</v>
      </c>
      <c r="I36" s="44">
        <v>28.0</v>
      </c>
      <c r="J36" s="44" t="s">
        <v>41</v>
      </c>
      <c r="K36" s="144">
        <v>19500.0</v>
      </c>
      <c r="L36" s="59">
        <f>13190.62-1022</f>
        <v>12168.62</v>
      </c>
      <c r="M36" s="51">
        <f t="shared" si="2"/>
        <v>-7331.38</v>
      </c>
      <c r="Q36" s="61">
        <v>294495.75999999995</v>
      </c>
      <c r="R36" s="61">
        <v>369032.52999999997</v>
      </c>
      <c r="Z36" s="1"/>
      <c r="AA36" s="47">
        <v>28.0</v>
      </c>
      <c r="AB36" s="47" t="s">
        <v>45</v>
      </c>
      <c r="AC36" s="59">
        <v>6170.997869349565</v>
      </c>
      <c r="AE36" s="47">
        <v>28.0</v>
      </c>
      <c r="AF36" s="47" t="s">
        <v>45</v>
      </c>
      <c r="AG36" s="183">
        <v>3422.1217248560197</v>
      </c>
    </row>
    <row r="37" ht="15.75" customHeight="1">
      <c r="C37" s="44">
        <v>29.0</v>
      </c>
      <c r="D37" s="44" t="s">
        <v>44</v>
      </c>
      <c r="E37" s="144">
        <v>21500.0</v>
      </c>
      <c r="F37" s="59">
        <f>18501.95</f>
        <v>18501.95</v>
      </c>
      <c r="G37" s="51">
        <f t="shared" si="1"/>
        <v>-2998.05</v>
      </c>
      <c r="I37" s="44">
        <v>29.0</v>
      </c>
      <c r="J37" s="44" t="s">
        <v>44</v>
      </c>
      <c r="K37" s="144">
        <v>21600.0</v>
      </c>
      <c r="L37" s="59">
        <f>27215.46-1874-8</f>
        <v>25333.46</v>
      </c>
      <c r="M37" s="51">
        <f t="shared" si="2"/>
        <v>3733.46</v>
      </c>
      <c r="R37" s="58" t="s">
        <v>136</v>
      </c>
      <c r="Z37" s="1"/>
      <c r="AA37" s="47">
        <v>29.0</v>
      </c>
      <c r="AB37" s="47" t="s">
        <v>46</v>
      </c>
      <c r="AC37" s="59">
        <v>8244.988831400751</v>
      </c>
      <c r="AE37" s="47">
        <v>29.0</v>
      </c>
      <c r="AF37" s="47" t="s">
        <v>46</v>
      </c>
      <c r="AG37" s="183">
        <v>4576.9723051462215</v>
      </c>
    </row>
    <row r="38" ht="15.75" customHeight="1">
      <c r="C38" s="44">
        <v>30.0</v>
      </c>
      <c r="D38" s="44" t="s">
        <v>45</v>
      </c>
      <c r="E38" s="144">
        <v>5000.0</v>
      </c>
      <c r="F38" s="59">
        <f>1722</f>
        <v>1722</v>
      </c>
      <c r="G38" s="51">
        <f t="shared" si="1"/>
        <v>-3278</v>
      </c>
      <c r="I38" s="44">
        <v>30.0</v>
      </c>
      <c r="J38" s="44" t="s">
        <v>45</v>
      </c>
      <c r="K38" s="144">
        <v>4000.0</v>
      </c>
      <c r="L38" s="59">
        <f>4839.4-340</f>
        <v>4499.4</v>
      </c>
      <c r="M38" s="51">
        <f t="shared" si="2"/>
        <v>499.4</v>
      </c>
      <c r="R38" s="58" t="s">
        <v>137</v>
      </c>
      <c r="Z38" s="1"/>
      <c r="AA38" s="47">
        <v>30.0</v>
      </c>
      <c r="AB38" s="47" t="s">
        <v>40</v>
      </c>
      <c r="AC38" s="59">
        <v>8908.770658442316</v>
      </c>
      <c r="AE38" s="47">
        <v>30.0</v>
      </c>
      <c r="AF38" s="47" t="s">
        <v>40</v>
      </c>
      <c r="AG38" s="183">
        <v>4068.540392568503</v>
      </c>
    </row>
    <row r="39" ht="15.75" customHeight="1">
      <c r="C39" s="44"/>
      <c r="D39" s="44"/>
      <c r="E39" s="55"/>
      <c r="F39" s="55"/>
      <c r="G39" s="51"/>
      <c r="I39" s="44"/>
      <c r="J39" s="44"/>
      <c r="K39" s="144"/>
      <c r="L39" s="59"/>
      <c r="M39" s="51"/>
      <c r="Z39" s="1"/>
      <c r="AA39" s="47">
        <v>31.0</v>
      </c>
      <c r="AB39" s="47" t="s">
        <v>47</v>
      </c>
      <c r="AC39" s="59">
        <v>5336.403443986107</v>
      </c>
      <c r="AE39" s="47">
        <v>31.0</v>
      </c>
      <c r="AF39" s="47" t="s">
        <v>47</v>
      </c>
      <c r="AG39" s="183">
        <v>7756.100758338395</v>
      </c>
    </row>
    <row r="40" ht="15.75" customHeight="1">
      <c r="C40" s="8"/>
      <c r="D40" s="8"/>
      <c r="E40" s="107">
        <f t="shared" ref="E40:G40" si="8">SUM(E9:E39)</f>
        <v>340000</v>
      </c>
      <c r="F40" s="107">
        <f t="shared" si="8"/>
        <v>310522.36</v>
      </c>
      <c r="G40" s="105">
        <f t="shared" si="8"/>
        <v>-29477.64</v>
      </c>
      <c r="I40" s="8"/>
      <c r="J40" s="8"/>
      <c r="K40" s="107">
        <f t="shared" ref="K40:M40" si="9">SUM(K9:K39)</f>
        <v>300000</v>
      </c>
      <c r="L40" s="107">
        <f t="shared" si="9"/>
        <v>271079.72</v>
      </c>
      <c r="M40" s="105">
        <f t="shared" si="9"/>
        <v>-28920.28</v>
      </c>
      <c r="Z40" s="1"/>
      <c r="AA40" s="8"/>
      <c r="AB40" s="8"/>
      <c r="AC40" s="107">
        <f>SUM(AC9:AC39)</f>
        <v>363236.6237</v>
      </c>
      <c r="AD40" s="107"/>
      <c r="AE40" s="8"/>
      <c r="AF40" s="8"/>
      <c r="AG40" s="107">
        <f>SUM(AG9:AG39)</f>
        <v>257305.5212</v>
      </c>
    </row>
    <row r="41" ht="15.75" customHeight="1">
      <c r="F41" s="114">
        <f>F40/D44</f>
        <v>0.8747108732</v>
      </c>
      <c r="G41" s="1"/>
      <c r="I41" s="1"/>
      <c r="J41" s="1"/>
      <c r="K41" s="1"/>
      <c r="L41" s="114">
        <f>L40/J44</f>
        <v>0.9035990667</v>
      </c>
      <c r="M41" s="1"/>
      <c r="Z41" s="1"/>
      <c r="AA41" s="1"/>
      <c r="AB41" s="1"/>
      <c r="AC41" s="1"/>
      <c r="AD41" s="1"/>
      <c r="AE41" s="1"/>
    </row>
    <row r="42" ht="15.75" customHeight="1">
      <c r="C42" s="2"/>
      <c r="D42" s="2"/>
      <c r="E42" s="2"/>
      <c r="F42" s="2"/>
      <c r="J42" s="61"/>
      <c r="K42" s="2"/>
      <c r="L42" s="2"/>
      <c r="Z42" s="1"/>
      <c r="AA42" s="1"/>
      <c r="AC42" s="173" t="s">
        <v>139</v>
      </c>
      <c r="AG42" s="173" t="s">
        <v>140</v>
      </c>
    </row>
    <row r="43" ht="15.75" customHeight="1">
      <c r="C43" s="2"/>
      <c r="D43" s="2"/>
      <c r="E43" s="115" t="s">
        <v>77</v>
      </c>
      <c r="F43" s="118">
        <f>E40+G40</f>
        <v>310522.36</v>
      </c>
      <c r="K43" s="115" t="s">
        <v>77</v>
      </c>
      <c r="L43" s="118">
        <f>K40+M40</f>
        <v>271079.72</v>
      </c>
      <c r="Z43" s="1"/>
      <c r="AA43" s="1"/>
      <c r="AD43" s="13"/>
      <c r="AE43" s="58">
        <f>370+260</f>
        <v>630</v>
      </c>
    </row>
    <row r="44" ht="15.75" customHeight="1">
      <c r="C44" s="122" t="s">
        <v>29</v>
      </c>
      <c r="D44" s="124">
        <v>355000.0</v>
      </c>
      <c r="E44" s="2"/>
      <c r="F44" s="2"/>
      <c r="I44" s="126" t="s">
        <v>29</v>
      </c>
      <c r="J44" s="124">
        <v>300000.0</v>
      </c>
      <c r="K44" s="2"/>
      <c r="L44" s="2"/>
      <c r="O44" s="61"/>
      <c r="Z44" s="1"/>
      <c r="AA44" s="1"/>
    </row>
    <row r="45" ht="15.75" customHeight="1">
      <c r="E45" s="2"/>
      <c r="F45" s="2"/>
      <c r="K45" s="2"/>
      <c r="L45" s="2"/>
    </row>
    <row r="46" ht="15.75" customHeight="1">
      <c r="E46" s="2"/>
      <c r="F46" s="2"/>
      <c r="K46" s="2"/>
      <c r="L46" s="2"/>
    </row>
    <row r="47" ht="15.75" customHeight="1">
      <c r="E47" s="2"/>
      <c r="F47" s="2"/>
      <c r="J47" s="189">
        <f>F43+L43</f>
        <v>581602.08</v>
      </c>
      <c r="K47" s="2"/>
      <c r="L47" s="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Q9:T9"/>
    <mergeCell ref="Q19:T19"/>
    <mergeCell ref="V19:X19"/>
    <mergeCell ref="C4:G6"/>
    <mergeCell ref="I4:M6"/>
    <mergeCell ref="C7:G7"/>
    <mergeCell ref="V7:W7"/>
    <mergeCell ref="AA7:AC7"/>
    <mergeCell ref="AE7:AG7"/>
    <mergeCell ref="V9:X9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4.11"/>
    <col customWidth="1" min="4" max="4" width="11.0"/>
    <col customWidth="1" min="5" max="5" width="19.11"/>
    <col customWidth="1" min="6" max="6" width="17.67"/>
    <col customWidth="1" min="7" max="7" width="18.33"/>
    <col customWidth="1" min="8" max="8" width="11.11"/>
    <col customWidth="1" min="9" max="9" width="14.11"/>
    <col customWidth="1" min="10" max="10" width="11.11"/>
    <col customWidth="1" min="11" max="11" width="19.0"/>
    <col customWidth="1" min="12" max="12" width="17.78"/>
    <col customWidth="1" min="13" max="13" width="21.33"/>
    <col customWidth="1" min="14" max="14" width="11.11"/>
    <col customWidth="1" min="15" max="17" width="10.56"/>
    <col customWidth="1" min="18" max="18" width="11.11"/>
    <col customWidth="1" min="19" max="19" width="13.0"/>
    <col customWidth="1" min="20" max="20" width="14.78"/>
    <col customWidth="1" min="21" max="21" width="13.11"/>
    <col customWidth="1" min="22" max="22" width="14.33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136" t="s">
        <v>28</v>
      </c>
      <c r="K7" s="136"/>
      <c r="L7" s="136"/>
      <c r="M7" s="136"/>
      <c r="N7" s="136"/>
    </row>
    <row r="8" ht="15.75" customHeight="1">
      <c r="C8" s="58">
        <v>4364.8724999999995</v>
      </c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I8" s="61">
        <f>AVERAGE(M15,M22,M29,M36)</f>
        <v>3679.5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C9" s="61">
        <f t="shared" ref="C9:C11" si="1">AVERAGE(G9,G16,G23,G30,G37)</f>
        <v>4966.606</v>
      </c>
      <c r="D9" s="47">
        <v>1.0</v>
      </c>
      <c r="E9" s="47" t="s">
        <v>46</v>
      </c>
      <c r="F9" s="59">
        <f>6200</f>
        <v>6200</v>
      </c>
      <c r="G9" s="13">
        <f>5765.2</f>
        <v>5765.2</v>
      </c>
      <c r="H9" s="51">
        <f t="shared" ref="H9:H39" si="2">G9-F9</f>
        <v>-434.8</v>
      </c>
      <c r="I9" s="61">
        <f t="shared" ref="I9:I11" si="3">AVERAGE(M9,M16,M23,M30,M37)</f>
        <v>3819.04</v>
      </c>
      <c r="J9" s="47">
        <v>1.0</v>
      </c>
      <c r="K9" s="47" t="s">
        <v>46</v>
      </c>
      <c r="L9" s="183">
        <v>4000.0</v>
      </c>
      <c r="M9" s="59">
        <f>3299.38-293</f>
        <v>3006.38</v>
      </c>
      <c r="N9" s="51">
        <f t="shared" ref="N9:N39" si="4">M9-L9</f>
        <v>-993.62</v>
      </c>
    </row>
    <row r="10" ht="15.75" customHeight="1">
      <c r="C10" s="61">
        <f t="shared" si="1"/>
        <v>5873.394</v>
      </c>
      <c r="D10" s="47">
        <v>2.0</v>
      </c>
      <c r="E10" s="47" t="s">
        <v>40</v>
      </c>
      <c r="F10" s="59">
        <v>8500.0</v>
      </c>
      <c r="G10" s="59">
        <f>5721.6</f>
        <v>5721.6</v>
      </c>
      <c r="H10" s="51">
        <f t="shared" si="2"/>
        <v>-2778.4</v>
      </c>
      <c r="I10" s="61">
        <f t="shared" si="3"/>
        <v>4718.598</v>
      </c>
      <c r="J10" s="47">
        <v>2.0</v>
      </c>
      <c r="K10" s="47" t="s">
        <v>40</v>
      </c>
      <c r="L10" s="183">
        <v>4300.0</v>
      </c>
      <c r="M10" s="55">
        <f>3926.68-322</f>
        <v>3604.68</v>
      </c>
      <c r="N10" s="51">
        <f t="shared" si="4"/>
        <v>-695.32</v>
      </c>
    </row>
    <row r="11" ht="15.75" customHeight="1">
      <c r="C11" s="61">
        <f t="shared" si="1"/>
        <v>7715.46</v>
      </c>
      <c r="D11" s="47">
        <v>3.0</v>
      </c>
      <c r="E11" s="47" t="s">
        <v>47</v>
      </c>
      <c r="F11" s="59">
        <v>8500.0</v>
      </c>
      <c r="G11" s="59">
        <f>7560.5</f>
        <v>7560.5</v>
      </c>
      <c r="H11" s="51">
        <f t="shared" si="2"/>
        <v>-939.5</v>
      </c>
      <c r="I11" s="61">
        <f t="shared" si="3"/>
        <v>6288.026</v>
      </c>
      <c r="J11" s="47">
        <v>3.0</v>
      </c>
      <c r="K11" s="47" t="s">
        <v>47</v>
      </c>
      <c r="L11" s="183">
        <v>5000.0</v>
      </c>
      <c r="M11" s="55">
        <f>4260.38-338</f>
        <v>3922.38</v>
      </c>
      <c r="N11" s="51">
        <f t="shared" si="4"/>
        <v>-1077.62</v>
      </c>
    </row>
    <row r="12" ht="15.75" customHeight="1">
      <c r="C12" s="61">
        <f t="shared" ref="C12:C14" si="5">AVERAGE(G12,G19,G26,G33)</f>
        <v>11172.995</v>
      </c>
      <c r="D12" s="47">
        <v>4.0</v>
      </c>
      <c r="E12" s="47" t="s">
        <v>48</v>
      </c>
      <c r="F12" s="55">
        <v>12000.0</v>
      </c>
      <c r="G12" s="55">
        <f>6776.33-140</f>
        <v>6636.33</v>
      </c>
      <c r="H12" s="51">
        <f t="shared" si="2"/>
        <v>-5363.67</v>
      </c>
      <c r="I12" s="61">
        <f t="shared" ref="I12:I14" si="6">AVERAGE(M12,M19,M26,M33)</f>
        <v>9252.77</v>
      </c>
      <c r="J12" s="47">
        <v>4.0</v>
      </c>
      <c r="K12" s="47" t="s">
        <v>48</v>
      </c>
      <c r="L12" s="183">
        <v>10000.0</v>
      </c>
      <c r="M12" s="55">
        <f>7604.04-588</f>
        <v>7016.04</v>
      </c>
      <c r="N12" s="51">
        <f t="shared" si="4"/>
        <v>-2983.96</v>
      </c>
    </row>
    <row r="13" ht="15.75" customHeight="1">
      <c r="C13" s="61">
        <f t="shared" si="5"/>
        <v>21537.1875</v>
      </c>
      <c r="D13" s="47">
        <v>5.0</v>
      </c>
      <c r="E13" s="47" t="s">
        <v>41</v>
      </c>
      <c r="F13" s="55">
        <v>20000.0</v>
      </c>
      <c r="G13" s="55">
        <f>18688</f>
        <v>18688</v>
      </c>
      <c r="H13" s="51">
        <f t="shared" si="2"/>
        <v>-1312</v>
      </c>
      <c r="I13" s="61">
        <f t="shared" si="6"/>
        <v>15056.4125</v>
      </c>
      <c r="J13" s="47">
        <v>5.0</v>
      </c>
      <c r="K13" s="47" t="s">
        <v>41</v>
      </c>
      <c r="L13" s="183">
        <v>15000.0</v>
      </c>
      <c r="M13" s="55">
        <f>17404.89-1294</f>
        <v>16110.89</v>
      </c>
      <c r="N13" s="51">
        <f t="shared" si="4"/>
        <v>1110.89</v>
      </c>
    </row>
    <row r="14" ht="15.75" customHeight="1">
      <c r="C14" s="61">
        <f t="shared" si="5"/>
        <v>19904.07</v>
      </c>
      <c r="D14" s="47">
        <v>6.0</v>
      </c>
      <c r="E14" s="47" t="s">
        <v>44</v>
      </c>
      <c r="F14" s="55">
        <v>24000.0</v>
      </c>
      <c r="G14" s="55">
        <f>21903.6</f>
        <v>21903.6</v>
      </c>
      <c r="H14" s="51">
        <f t="shared" si="2"/>
        <v>-2096.4</v>
      </c>
      <c r="I14" s="61">
        <f t="shared" si="6"/>
        <v>21643.985</v>
      </c>
      <c r="J14" s="47">
        <v>6.0</v>
      </c>
      <c r="K14" s="47" t="s">
        <v>44</v>
      </c>
      <c r="L14" s="183">
        <v>20000.0</v>
      </c>
      <c r="M14" s="55">
        <f>23909.2-1853</f>
        <v>22056.2</v>
      </c>
      <c r="N14" s="51">
        <f t="shared" si="4"/>
        <v>2056.2</v>
      </c>
    </row>
    <row r="15" ht="15.75" customHeight="1">
      <c r="C15" s="61"/>
      <c r="D15" s="184">
        <v>7.0</v>
      </c>
      <c r="E15" s="184" t="s">
        <v>45</v>
      </c>
      <c r="F15" s="144">
        <v>5000.0</v>
      </c>
      <c r="G15" s="144">
        <v>3064.15</v>
      </c>
      <c r="H15" s="51">
        <f t="shared" si="2"/>
        <v>-1935.85</v>
      </c>
      <c r="J15" s="184">
        <v>7.0</v>
      </c>
      <c r="K15" s="184" t="s">
        <v>45</v>
      </c>
      <c r="L15" s="185">
        <v>3400.0</v>
      </c>
      <c r="M15" s="144">
        <f>2210.39-162</f>
        <v>2048.39</v>
      </c>
      <c r="N15" s="186">
        <f t="shared" si="4"/>
        <v>-1351.61</v>
      </c>
    </row>
    <row r="16" ht="15.75" customHeight="1">
      <c r="D16" s="184">
        <v>8.0</v>
      </c>
      <c r="E16" s="184" t="s">
        <v>46</v>
      </c>
      <c r="F16" s="144">
        <v>6500.0</v>
      </c>
      <c r="G16" s="144">
        <f>4150</f>
        <v>4150</v>
      </c>
      <c r="H16" s="51">
        <f t="shared" si="2"/>
        <v>-2350</v>
      </c>
      <c r="J16" s="184">
        <v>8.0</v>
      </c>
      <c r="K16" s="184" t="s">
        <v>46</v>
      </c>
      <c r="L16" s="185">
        <v>4000.0</v>
      </c>
      <c r="M16" s="144">
        <f>3541.21-320</f>
        <v>3221.21</v>
      </c>
      <c r="N16" s="186">
        <f t="shared" si="4"/>
        <v>-778.79</v>
      </c>
    </row>
    <row r="17" ht="15.75" customHeight="1">
      <c r="D17" s="184">
        <v>9.0</v>
      </c>
      <c r="E17" s="184" t="s">
        <v>40</v>
      </c>
      <c r="F17" s="144">
        <v>8500.0</v>
      </c>
      <c r="G17" s="144">
        <f>4839.9</f>
        <v>4839.9</v>
      </c>
      <c r="H17" s="51">
        <f t="shared" si="2"/>
        <v>-3660.1</v>
      </c>
      <c r="J17" s="184">
        <v>9.0</v>
      </c>
      <c r="K17" s="184" t="s">
        <v>40</v>
      </c>
      <c r="L17" s="185">
        <v>4300.0</v>
      </c>
      <c r="M17" s="144">
        <f>4892.26-403</f>
        <v>4489.26</v>
      </c>
      <c r="N17" s="186">
        <f t="shared" si="4"/>
        <v>189.26</v>
      </c>
      <c r="S17" s="70"/>
      <c r="T17" s="71" t="s">
        <v>52</v>
      </c>
      <c r="U17" s="72"/>
      <c r="V17" s="73" t="s">
        <v>53</v>
      </c>
    </row>
    <row r="18" ht="15.75" customHeight="1">
      <c r="D18" s="184">
        <v>10.0</v>
      </c>
      <c r="E18" s="184" t="s">
        <v>47</v>
      </c>
      <c r="F18" s="144">
        <v>8500.0</v>
      </c>
      <c r="G18" s="144">
        <f>7826.5</f>
        <v>7826.5</v>
      </c>
      <c r="H18" s="51">
        <f t="shared" si="2"/>
        <v>-673.5</v>
      </c>
      <c r="J18" s="184">
        <v>10.0</v>
      </c>
      <c r="K18" s="184" t="s">
        <v>47</v>
      </c>
      <c r="L18" s="185">
        <v>5000.0</v>
      </c>
      <c r="M18" s="144">
        <f>5391.79-376</f>
        <v>5015.79</v>
      </c>
      <c r="N18" s="186">
        <f t="shared" si="4"/>
        <v>15.79</v>
      </c>
      <c r="S18" s="74" t="s">
        <v>29</v>
      </c>
      <c r="T18" s="75">
        <v>370000.0</v>
      </c>
      <c r="U18" s="2" t="s">
        <v>29</v>
      </c>
      <c r="V18" s="76">
        <v>260000.0</v>
      </c>
    </row>
    <row r="19" ht="15.75" customHeight="1">
      <c r="D19" s="184">
        <v>11.0</v>
      </c>
      <c r="E19" s="184" t="s">
        <v>48</v>
      </c>
      <c r="F19" s="144">
        <v>15000.0</v>
      </c>
      <c r="G19" s="144">
        <f>13002.35-200</f>
        <v>12802.35</v>
      </c>
      <c r="H19" s="51">
        <f t="shared" si="2"/>
        <v>-2197.65</v>
      </c>
      <c r="J19" s="184">
        <v>11.0</v>
      </c>
      <c r="K19" s="184" t="s">
        <v>48</v>
      </c>
      <c r="L19" s="185">
        <v>10000.0</v>
      </c>
      <c r="M19" s="144">
        <f>10714.8-771</f>
        <v>9943.8</v>
      </c>
      <c r="N19" s="186">
        <f t="shared" si="4"/>
        <v>-56.2</v>
      </c>
      <c r="S19" s="74"/>
      <c r="T19" s="2"/>
      <c r="U19" s="2"/>
      <c r="V19" s="77"/>
    </row>
    <row r="20" ht="15.75" customHeight="1">
      <c r="D20" s="178">
        <v>12.0</v>
      </c>
      <c r="E20" s="178" t="s">
        <v>41</v>
      </c>
      <c r="F20" s="69">
        <v>27000.0</v>
      </c>
      <c r="G20" s="69">
        <f>27449.38</f>
        <v>27449.38</v>
      </c>
      <c r="H20" s="51">
        <f t="shared" si="2"/>
        <v>449.38</v>
      </c>
      <c r="J20" s="178">
        <v>12.0</v>
      </c>
      <c r="K20" s="178" t="s">
        <v>41</v>
      </c>
      <c r="L20" s="187">
        <v>15000.0</v>
      </c>
      <c r="M20" s="69">
        <f>18129.2-1170</f>
        <v>16959.2</v>
      </c>
      <c r="N20" s="51">
        <f t="shared" si="4"/>
        <v>1959.2</v>
      </c>
      <c r="S20" s="74" t="s">
        <v>58</v>
      </c>
      <c r="T20" s="75">
        <f>SUM(G9:G15)</f>
        <v>69339.38</v>
      </c>
      <c r="U20" s="58" t="s">
        <v>58</v>
      </c>
      <c r="V20" s="76">
        <f>SUM(M9:M15)</f>
        <v>57764.96</v>
      </c>
    </row>
    <row r="21" ht="15.75" customHeight="1">
      <c r="D21" s="184">
        <v>13.0</v>
      </c>
      <c r="E21" s="184" t="s">
        <v>44</v>
      </c>
      <c r="F21" s="144">
        <v>24000.0</v>
      </c>
      <c r="G21" s="144">
        <f>24410.08</f>
        <v>24410.08</v>
      </c>
      <c r="H21" s="51">
        <f t="shared" si="2"/>
        <v>410.08</v>
      </c>
      <c r="J21" s="184">
        <v>13.0</v>
      </c>
      <c r="K21" s="184" t="s">
        <v>44</v>
      </c>
      <c r="L21" s="185">
        <v>20000.0</v>
      </c>
      <c r="M21" s="144">
        <f>26244.57-1905.99</f>
        <v>24338.58</v>
      </c>
      <c r="N21" s="51">
        <f t="shared" si="4"/>
        <v>4338.58</v>
      </c>
      <c r="S21" s="74"/>
      <c r="T21" s="79">
        <f>T20/T18</f>
        <v>0.1874037297</v>
      </c>
      <c r="V21" s="80">
        <f>V20/V18</f>
        <v>0.2221729231</v>
      </c>
      <c r="W21" s="66"/>
    </row>
    <row r="22" ht="15.75" customHeight="1">
      <c r="D22" s="47">
        <v>14.0</v>
      </c>
      <c r="E22" s="47" t="s">
        <v>45</v>
      </c>
      <c r="F22" s="55">
        <v>5000.0</v>
      </c>
      <c r="G22" s="55">
        <f>5636.23</f>
        <v>5636.23</v>
      </c>
      <c r="H22" s="51">
        <f t="shared" si="2"/>
        <v>636.23</v>
      </c>
      <c r="J22" s="47">
        <v>14.0</v>
      </c>
      <c r="K22" s="47" t="s">
        <v>45</v>
      </c>
      <c r="L22" s="183">
        <v>3400.0</v>
      </c>
      <c r="M22" s="55">
        <f>3777.34-289</f>
        <v>3488.34</v>
      </c>
      <c r="N22" s="51">
        <f t="shared" si="4"/>
        <v>88.34</v>
      </c>
      <c r="S22" s="74"/>
      <c r="T22" s="81"/>
      <c r="V22" s="77"/>
    </row>
    <row r="23" ht="15.75" customHeight="1">
      <c r="D23" s="47">
        <v>15.0</v>
      </c>
      <c r="E23" s="47" t="s">
        <v>46</v>
      </c>
      <c r="F23" s="59">
        <v>6300.0</v>
      </c>
      <c r="G23" s="59">
        <f>6447.33</f>
        <v>6447.33</v>
      </c>
      <c r="H23" s="51">
        <f t="shared" si="2"/>
        <v>147.33</v>
      </c>
      <c r="J23" s="47">
        <v>15.0</v>
      </c>
      <c r="K23" s="47" t="s">
        <v>46</v>
      </c>
      <c r="L23" s="183">
        <v>4000.0</v>
      </c>
      <c r="M23" s="55">
        <f>4808.28-416</f>
        <v>4392.28</v>
      </c>
      <c r="N23" s="51">
        <f t="shared" si="4"/>
        <v>392.28</v>
      </c>
      <c r="S23" s="74" t="s">
        <v>62</v>
      </c>
      <c r="T23" s="75">
        <f>SUM(G16:G22)</f>
        <v>87114.44</v>
      </c>
      <c r="U23" s="58" t="s">
        <v>62</v>
      </c>
      <c r="V23" s="76">
        <f>SUM(M16:M22)</f>
        <v>67456.18</v>
      </c>
    </row>
    <row r="24" ht="15.75" customHeight="1">
      <c r="D24" s="47">
        <v>16.0</v>
      </c>
      <c r="E24" s="47" t="s">
        <v>40</v>
      </c>
      <c r="F24" s="55">
        <v>7000.0</v>
      </c>
      <c r="G24" s="55">
        <f>4023.75</f>
        <v>4023.75</v>
      </c>
      <c r="H24" s="51">
        <f t="shared" si="2"/>
        <v>-2976.25</v>
      </c>
      <c r="J24" s="47">
        <v>16.0</v>
      </c>
      <c r="K24" s="47" t="s">
        <v>40</v>
      </c>
      <c r="L24" s="183">
        <v>4200.0</v>
      </c>
      <c r="M24" s="55">
        <f>2684.39-187</f>
        <v>2497.39</v>
      </c>
      <c r="N24" s="51">
        <f t="shared" si="4"/>
        <v>-1702.61</v>
      </c>
      <c r="S24" s="74"/>
      <c r="T24" s="79">
        <f>T23/T18</f>
        <v>0.2354444324</v>
      </c>
      <c r="V24" s="80">
        <f>V23/V18</f>
        <v>0.2594468462</v>
      </c>
    </row>
    <row r="25" ht="15.75" customHeight="1">
      <c r="D25" s="47">
        <v>17.0</v>
      </c>
      <c r="E25" s="47" t="s">
        <v>47</v>
      </c>
      <c r="F25" s="55">
        <v>8500.0</v>
      </c>
      <c r="G25" s="55">
        <f>4588.75</f>
        <v>4588.75</v>
      </c>
      <c r="H25" s="51">
        <f t="shared" si="2"/>
        <v>-3911.25</v>
      </c>
      <c r="J25" s="47">
        <v>17.0</v>
      </c>
      <c r="K25" s="47" t="s">
        <v>47</v>
      </c>
      <c r="L25" s="183">
        <v>5000.0</v>
      </c>
      <c r="M25" s="55">
        <f>5178.76-360</f>
        <v>4818.76</v>
      </c>
      <c r="N25" s="51">
        <f t="shared" si="4"/>
        <v>-181.24</v>
      </c>
      <c r="S25" s="74"/>
      <c r="T25" s="81"/>
      <c r="V25" s="77"/>
    </row>
    <row r="26" ht="15.75" customHeight="1">
      <c r="D26" s="47">
        <v>18.0</v>
      </c>
      <c r="E26" s="47" t="s">
        <v>48</v>
      </c>
      <c r="F26" s="55">
        <v>12000.0</v>
      </c>
      <c r="G26" s="55">
        <f>861.75+11209.35-185</f>
        <v>11886.1</v>
      </c>
      <c r="H26" s="51">
        <f t="shared" si="2"/>
        <v>-113.9</v>
      </c>
      <c r="J26" s="47">
        <v>18.0</v>
      </c>
      <c r="K26" s="47" t="s">
        <v>48</v>
      </c>
      <c r="L26" s="183">
        <v>10000.0</v>
      </c>
      <c r="M26" s="55">
        <f>12242.35-879.48</f>
        <v>11362.87</v>
      </c>
      <c r="N26" s="51">
        <f t="shared" si="4"/>
        <v>1362.87</v>
      </c>
      <c r="S26" s="74" t="s">
        <v>63</v>
      </c>
      <c r="T26" s="75">
        <f>SUM(G23:G29)</f>
        <v>68836.21</v>
      </c>
      <c r="U26" s="58" t="s">
        <v>63</v>
      </c>
      <c r="V26" s="76">
        <f>SUM(M23:M29)</f>
        <v>60492.18</v>
      </c>
    </row>
    <row r="27" ht="15.75" customHeight="1">
      <c r="D27" s="47">
        <v>19.0</v>
      </c>
      <c r="E27" s="47" t="s">
        <v>41</v>
      </c>
      <c r="F27" s="55">
        <v>20000.0</v>
      </c>
      <c r="G27" s="55">
        <f>22422.12</f>
        <v>22422.12</v>
      </c>
      <c r="H27" s="51">
        <f t="shared" si="2"/>
        <v>2422.12</v>
      </c>
      <c r="J27" s="47">
        <v>19.0</v>
      </c>
      <c r="K27" s="47" t="s">
        <v>41</v>
      </c>
      <c r="L27" s="183">
        <v>15000.0</v>
      </c>
      <c r="M27" s="55">
        <f>14056.74-1151</f>
        <v>12905.74</v>
      </c>
      <c r="N27" s="51">
        <f t="shared" si="4"/>
        <v>-2094.26</v>
      </c>
      <c r="S27" s="74"/>
      <c r="T27" s="79">
        <f>T26/T18</f>
        <v>0.1860438108</v>
      </c>
      <c r="V27" s="80">
        <f>V26/V18</f>
        <v>0.2326622308</v>
      </c>
    </row>
    <row r="28" ht="15.75" customHeight="1">
      <c r="D28" s="47">
        <v>20.0</v>
      </c>
      <c r="E28" s="47" t="s">
        <v>44</v>
      </c>
      <c r="F28" s="55">
        <v>20000.0</v>
      </c>
      <c r="G28" s="55">
        <f>17155.2</f>
        <v>17155.2</v>
      </c>
      <c r="H28" s="51">
        <f t="shared" si="2"/>
        <v>-2844.8</v>
      </c>
      <c r="J28" s="47">
        <v>20.0</v>
      </c>
      <c r="K28" s="47" t="s">
        <v>44</v>
      </c>
      <c r="L28" s="183">
        <v>20000.0</v>
      </c>
      <c r="M28" s="55">
        <f>22882.83-1619</f>
        <v>21263.83</v>
      </c>
      <c r="N28" s="51">
        <f t="shared" si="4"/>
        <v>1263.83</v>
      </c>
      <c r="S28" s="74"/>
      <c r="V28" s="82"/>
    </row>
    <row r="29" ht="15.75" customHeight="1">
      <c r="D29" s="47">
        <v>21.0</v>
      </c>
      <c r="E29" s="47" t="s">
        <v>45</v>
      </c>
      <c r="F29" s="55">
        <v>5000.0</v>
      </c>
      <c r="G29" s="55">
        <f>2312.96</f>
        <v>2312.96</v>
      </c>
      <c r="H29" s="51">
        <f t="shared" si="2"/>
        <v>-2687.04</v>
      </c>
      <c r="J29" s="47">
        <v>21.0</v>
      </c>
      <c r="K29" s="47" t="s">
        <v>45</v>
      </c>
      <c r="L29" s="183">
        <v>3400.0</v>
      </c>
      <c r="M29" s="55">
        <f>3501.31-250</f>
        <v>3251.31</v>
      </c>
      <c r="N29" s="51">
        <f t="shared" si="4"/>
        <v>-148.69</v>
      </c>
      <c r="S29" s="74" t="s">
        <v>64</v>
      </c>
      <c r="T29" s="61">
        <f>SUM(G30:G36)</f>
        <v>78839.7</v>
      </c>
      <c r="U29" s="58" t="s">
        <v>64</v>
      </c>
      <c r="V29" s="83">
        <f>SUM(M30:M36)</f>
        <v>74769.78</v>
      </c>
    </row>
    <row r="30" ht="15.75" customHeight="1">
      <c r="D30" s="47">
        <v>22.0</v>
      </c>
      <c r="E30" s="47" t="s">
        <v>46</v>
      </c>
      <c r="F30" s="55">
        <v>7000.0</v>
      </c>
      <c r="G30" s="55">
        <f>4801.75</f>
        <v>4801.75</v>
      </c>
      <c r="H30" s="51">
        <f t="shared" si="2"/>
        <v>-2198.25</v>
      </c>
      <c r="J30" s="47">
        <v>22.0</v>
      </c>
      <c r="K30" s="47" t="s">
        <v>46</v>
      </c>
      <c r="L30" s="183">
        <v>4000.0</v>
      </c>
      <c r="M30" s="55">
        <f>5425.18-365</f>
        <v>5060.18</v>
      </c>
      <c r="N30" s="51">
        <f t="shared" si="4"/>
        <v>1060.18</v>
      </c>
      <c r="S30" s="74"/>
      <c r="T30" s="79">
        <f>T29/T18</f>
        <v>0.2130802703</v>
      </c>
      <c r="V30" s="80">
        <f>V29/V18</f>
        <v>0.2875760769</v>
      </c>
    </row>
    <row r="31" ht="15.75" customHeight="1">
      <c r="D31" s="47">
        <v>23.0</v>
      </c>
      <c r="E31" s="47" t="s">
        <v>40</v>
      </c>
      <c r="F31" s="55">
        <v>10000.0</v>
      </c>
      <c r="G31" s="55">
        <f>9794.2</f>
        <v>9794.2</v>
      </c>
      <c r="H31" s="51">
        <f t="shared" si="2"/>
        <v>-205.8</v>
      </c>
      <c r="J31" s="47">
        <v>23.0</v>
      </c>
      <c r="K31" s="47" t="s">
        <v>40</v>
      </c>
      <c r="L31" s="183">
        <v>4300.0</v>
      </c>
      <c r="M31" s="55">
        <f>9539.87-673+486.83</f>
        <v>9353.7</v>
      </c>
      <c r="N31" s="51">
        <f t="shared" si="4"/>
        <v>5053.7</v>
      </c>
      <c r="S31" s="74" t="s">
        <v>65</v>
      </c>
      <c r="T31" s="61">
        <f>SUM(G37:G39)</f>
        <v>16564.07</v>
      </c>
      <c r="U31" s="58" t="s">
        <v>65</v>
      </c>
      <c r="V31" s="83">
        <f>SUM(M37:M39)</f>
        <v>12175.89</v>
      </c>
    </row>
    <row r="32" ht="15.75" customHeight="1">
      <c r="D32" s="47">
        <v>24.0</v>
      </c>
      <c r="E32" s="47" t="s">
        <v>47</v>
      </c>
      <c r="F32" s="55">
        <v>12000.0</v>
      </c>
      <c r="G32" s="55">
        <f>10693.75</f>
        <v>10693.75</v>
      </c>
      <c r="H32" s="51">
        <f t="shared" si="2"/>
        <v>-1306.25</v>
      </c>
      <c r="J32" s="47">
        <v>24.0</v>
      </c>
      <c r="K32" s="47" t="s">
        <v>47</v>
      </c>
      <c r="L32" s="183">
        <v>5000.0</v>
      </c>
      <c r="M32" s="177">
        <f>13535.42-990+25</f>
        <v>12570.42</v>
      </c>
      <c r="N32" s="51">
        <f t="shared" si="4"/>
        <v>7570.42</v>
      </c>
      <c r="S32" s="84" t="s">
        <v>138</v>
      </c>
      <c r="T32" s="85">
        <f>T31/T18</f>
        <v>0.04476775676</v>
      </c>
      <c r="U32" s="84" t="s">
        <v>138</v>
      </c>
      <c r="V32" s="87">
        <f>V31/V18</f>
        <v>0.04683034615</v>
      </c>
    </row>
    <row r="33" ht="15.75" customHeight="1">
      <c r="D33" s="47">
        <v>25.0</v>
      </c>
      <c r="E33" s="47" t="s">
        <v>48</v>
      </c>
      <c r="F33" s="55">
        <v>11000.0</v>
      </c>
      <c r="G33" s="55">
        <f>13602.2-235</f>
        <v>13367.2</v>
      </c>
      <c r="H33" s="51">
        <f t="shared" si="2"/>
        <v>2367.2</v>
      </c>
      <c r="J33" s="47">
        <v>25.0</v>
      </c>
      <c r="K33" s="47" t="s">
        <v>48</v>
      </c>
      <c r="L33" s="183">
        <v>10000.0</v>
      </c>
      <c r="M33" s="55">
        <f>9364.37-676</f>
        <v>8688.37</v>
      </c>
      <c r="N33" s="51">
        <f t="shared" si="4"/>
        <v>-1311.63</v>
      </c>
    </row>
    <row r="34" ht="15.75" customHeight="1">
      <c r="D34" s="47">
        <v>26.0</v>
      </c>
      <c r="E34" s="47" t="s">
        <v>41</v>
      </c>
      <c r="F34" s="55">
        <v>20000.0</v>
      </c>
      <c r="G34" s="55">
        <f>17589.25</f>
        <v>17589.25</v>
      </c>
      <c r="H34" s="51">
        <f t="shared" si="2"/>
        <v>-2410.75</v>
      </c>
      <c r="J34" s="47">
        <v>26.0</v>
      </c>
      <c r="K34" s="47" t="s">
        <v>41</v>
      </c>
      <c r="L34" s="183">
        <v>15000.0</v>
      </c>
      <c r="M34" s="55">
        <f>15409.82-1160</f>
        <v>14249.82</v>
      </c>
      <c r="N34" s="51">
        <f t="shared" si="4"/>
        <v>-750.18</v>
      </c>
      <c r="R34" s="179" t="s">
        <v>72</v>
      </c>
      <c r="S34" s="93" t="s">
        <v>73</v>
      </c>
      <c r="T34" s="94">
        <f>T20+T23+T26+T29+T31</f>
        <v>320693.8</v>
      </c>
      <c r="U34" s="164" t="s">
        <v>74</v>
      </c>
      <c r="V34" s="96">
        <f>V20+V23+V26+V29+V31</f>
        <v>272658.99</v>
      </c>
      <c r="W34" s="92" t="s">
        <v>72</v>
      </c>
    </row>
    <row r="35" ht="15.75" customHeight="1">
      <c r="D35" s="47">
        <v>27.0</v>
      </c>
      <c r="E35" s="47" t="s">
        <v>44</v>
      </c>
      <c r="F35" s="55">
        <v>22000.0</v>
      </c>
      <c r="G35" s="55">
        <f>16147.4</f>
        <v>16147.4</v>
      </c>
      <c r="H35" s="51">
        <f t="shared" si="2"/>
        <v>-5852.6</v>
      </c>
      <c r="J35" s="47">
        <v>27.0</v>
      </c>
      <c r="K35" s="47" t="s">
        <v>44</v>
      </c>
      <c r="L35" s="183">
        <v>20000.0</v>
      </c>
      <c r="M35" s="55">
        <f>20571.33-1654</f>
        <v>18917.33</v>
      </c>
      <c r="N35" s="51">
        <f t="shared" si="4"/>
        <v>-1082.67</v>
      </c>
      <c r="R35" s="180">
        <f>T35-U35</f>
        <v>-0.13326</v>
      </c>
      <c r="S35" s="98"/>
      <c r="T35" s="99">
        <f>T34/T18</f>
        <v>0.86674</v>
      </c>
      <c r="U35" s="181">
        <f>31/31</f>
        <v>1</v>
      </c>
      <c r="V35" s="100">
        <f>V34/V18</f>
        <v>1.048688423</v>
      </c>
      <c r="W35" s="97">
        <f>V35-U35</f>
        <v>0.04868842308</v>
      </c>
    </row>
    <row r="36" ht="15.75" customHeight="1">
      <c r="D36" s="47">
        <v>28.0</v>
      </c>
      <c r="E36" s="47" t="s">
        <v>45</v>
      </c>
      <c r="F36" s="55">
        <v>10000.0</v>
      </c>
      <c r="G36" s="55">
        <f>6446.15</f>
        <v>6446.15</v>
      </c>
      <c r="H36" s="51">
        <f t="shared" si="2"/>
        <v>-3553.85</v>
      </c>
      <c r="J36" s="47">
        <v>28.0</v>
      </c>
      <c r="K36" s="47" t="s">
        <v>45</v>
      </c>
      <c r="L36" s="183">
        <v>3400.0</v>
      </c>
      <c r="M36" s="55">
        <f>6438.96-509</f>
        <v>5929.96</v>
      </c>
      <c r="N36" s="51">
        <f t="shared" si="4"/>
        <v>2529.96</v>
      </c>
      <c r="S36" s="98" t="s">
        <v>76</v>
      </c>
      <c r="T36" s="104">
        <f>T18-T34</f>
        <v>49306.2</v>
      </c>
      <c r="U36" s="99"/>
      <c r="V36" s="106">
        <f>V18-V34</f>
        <v>-12658.99</v>
      </c>
    </row>
    <row r="37" ht="15.75" customHeight="1">
      <c r="D37" s="47">
        <v>29.0</v>
      </c>
      <c r="E37" s="47" t="s">
        <v>46</v>
      </c>
      <c r="F37" s="55">
        <v>6500.0</v>
      </c>
      <c r="G37" s="55">
        <f>3668.75</f>
        <v>3668.75</v>
      </c>
      <c r="H37" s="51">
        <f t="shared" si="2"/>
        <v>-2831.25</v>
      </c>
      <c r="J37" s="47">
        <v>29.0</v>
      </c>
      <c r="K37" s="47" t="s">
        <v>46</v>
      </c>
      <c r="L37" s="183">
        <v>4000.0</v>
      </c>
      <c r="M37" s="55">
        <f>3736.15-321</f>
        <v>3415.15</v>
      </c>
      <c r="N37" s="51">
        <f t="shared" si="4"/>
        <v>-584.85</v>
      </c>
      <c r="S37" s="110"/>
      <c r="T37" s="112">
        <f>T36/T18</f>
        <v>0.13326</v>
      </c>
      <c r="U37" s="112"/>
      <c r="V37" s="113">
        <f>V36/V18</f>
        <v>-0.04868842308</v>
      </c>
    </row>
    <row r="38" ht="15.75" customHeight="1">
      <c r="D38" s="47">
        <v>30.0</v>
      </c>
      <c r="E38" s="47" t="s">
        <v>40</v>
      </c>
      <c r="F38" s="55">
        <v>6000.0</v>
      </c>
      <c r="G38" s="55">
        <f>4987.52</f>
        <v>4987.52</v>
      </c>
      <c r="H38" s="51">
        <f t="shared" si="2"/>
        <v>-1012.48</v>
      </c>
      <c r="J38" s="47">
        <v>30.0</v>
      </c>
      <c r="K38" s="47" t="s">
        <v>40</v>
      </c>
      <c r="L38" s="183">
        <v>4300.0</v>
      </c>
      <c r="M38" s="55">
        <f>4024.96-377</f>
        <v>3647.96</v>
      </c>
      <c r="N38" s="51">
        <f t="shared" si="4"/>
        <v>-652.04</v>
      </c>
    </row>
    <row r="39" ht="15.75" customHeight="1">
      <c r="D39" s="47">
        <v>31.0</v>
      </c>
      <c r="E39" s="47" t="s">
        <v>47</v>
      </c>
      <c r="F39" s="55">
        <v>8000.0</v>
      </c>
      <c r="G39" s="59">
        <f>710.35+7197.45</f>
        <v>7907.8</v>
      </c>
      <c r="H39" s="51">
        <f t="shared" si="2"/>
        <v>-92.2</v>
      </c>
      <c r="J39" s="47">
        <v>31.0</v>
      </c>
      <c r="K39" s="47" t="s">
        <v>47</v>
      </c>
      <c r="L39" s="183">
        <v>5000.0</v>
      </c>
      <c r="M39" s="55">
        <f>5570.78-458</f>
        <v>5112.78</v>
      </c>
      <c r="N39" s="51">
        <f t="shared" si="4"/>
        <v>112.78</v>
      </c>
    </row>
    <row r="40" ht="15.75" customHeight="1">
      <c r="D40" s="8"/>
      <c r="E40" s="8"/>
      <c r="F40" s="107">
        <f t="shared" ref="F40:H40" si="7">SUM(F9:F39)</f>
        <v>370000</v>
      </c>
      <c r="G40" s="107">
        <f t="shared" si="7"/>
        <v>320693.8</v>
      </c>
      <c r="H40" s="105">
        <f t="shared" si="7"/>
        <v>-49306.2</v>
      </c>
      <c r="J40" s="8"/>
      <c r="K40" s="8"/>
      <c r="L40" s="107">
        <f t="shared" ref="L40:N40" si="8">SUM(L9:L39)</f>
        <v>260000</v>
      </c>
      <c r="M40" s="107">
        <f t="shared" si="8"/>
        <v>272658.99</v>
      </c>
      <c r="N40" s="105">
        <f t="shared" si="8"/>
        <v>12658.99</v>
      </c>
    </row>
    <row r="41" ht="15.75" customHeight="1">
      <c r="G41" s="114">
        <f>G40/E44</f>
        <v>0.86674</v>
      </c>
      <c r="H41" s="1"/>
      <c r="J41" s="1"/>
      <c r="K41" s="1"/>
      <c r="L41" s="1"/>
      <c r="M41" s="114">
        <f>M40/K44</f>
        <v>1.048688423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320693.8</v>
      </c>
      <c r="L43" s="115" t="s">
        <v>77</v>
      </c>
      <c r="M43" s="118">
        <f>L40+N40</f>
        <v>272658.99</v>
      </c>
    </row>
    <row r="44" ht="15.75" customHeight="1">
      <c r="D44" s="122" t="s">
        <v>29</v>
      </c>
      <c r="E44" s="124">
        <v>370000.0</v>
      </c>
      <c r="F44" s="2"/>
      <c r="G44" s="2"/>
      <c r="J44" s="126" t="s">
        <v>29</v>
      </c>
      <c r="K44" s="124">
        <v>260000.0</v>
      </c>
      <c r="L44" s="2"/>
      <c r="M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4:H6"/>
    <mergeCell ref="J4:N6"/>
    <mergeCell ref="D7:H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9.44"/>
    <col customWidth="1" min="5" max="6" width="18.44"/>
    <col customWidth="1" min="7" max="7" width="11.44"/>
    <col customWidth="1" min="8" max="8" width="10.56"/>
    <col customWidth="1" min="9" max="9" width="11.11"/>
    <col customWidth="1" min="10" max="10" width="19.44"/>
    <col customWidth="1" min="11" max="12" width="18.67"/>
    <col customWidth="1" min="13" max="13" width="11.44"/>
    <col customWidth="1" min="14" max="16" width="10.56"/>
    <col customWidth="1" min="17" max="18" width="16.44"/>
    <col customWidth="1" min="19" max="19" width="15.11"/>
    <col customWidth="1" min="20" max="20" width="14.0"/>
    <col customWidth="1" min="21" max="22" width="10.56"/>
    <col customWidth="1" min="23" max="23" width="15.11"/>
    <col customWidth="1" min="24" max="24" width="15.33"/>
    <col customWidth="1" min="25" max="25" width="7.78"/>
    <col customWidth="1" hidden="1" min="26" max="26" width="10.78"/>
    <col customWidth="1" min="27" max="27" width="15.33"/>
    <col customWidth="1" min="28" max="28" width="17.11"/>
    <col customWidth="1" min="29" max="29" width="23.78"/>
    <col customWidth="1" min="30" max="30" width="10.56"/>
    <col customWidth="1" min="31" max="31" width="13.0"/>
    <col customWidth="1" min="32" max="32" width="16.78"/>
    <col customWidth="1" min="33" max="33" width="21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  <c r="O3" s="15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AG5" s="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Z6" s="1"/>
      <c r="AA6" s="1"/>
      <c r="AB6" s="1"/>
      <c r="AC6" s="1"/>
      <c r="AD6" s="1"/>
      <c r="AE6" s="1"/>
      <c r="AF6" s="1"/>
      <c r="AG6" s="8"/>
    </row>
    <row r="7" ht="15.75" customHeight="1">
      <c r="C7" s="40" t="s">
        <v>28</v>
      </c>
      <c r="D7" s="41"/>
      <c r="E7" s="41"/>
      <c r="F7" s="41"/>
      <c r="G7" s="6"/>
      <c r="I7" s="136" t="s">
        <v>28</v>
      </c>
      <c r="J7" s="136"/>
      <c r="K7" s="136"/>
      <c r="L7" s="136"/>
      <c r="M7" s="136"/>
      <c r="Q7" s="1"/>
      <c r="R7" s="3"/>
      <c r="S7" s="3"/>
      <c r="U7" s="1"/>
      <c r="V7" s="3"/>
      <c r="Z7" s="1"/>
      <c r="AA7" s="137" t="s">
        <v>124</v>
      </c>
      <c r="AB7" s="41"/>
      <c r="AC7" s="6"/>
      <c r="AE7" s="137" t="s">
        <v>125</v>
      </c>
      <c r="AF7" s="41"/>
      <c r="AG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1"/>
      <c r="R8" s="1"/>
      <c r="S8" s="3"/>
      <c r="T8" s="3"/>
      <c r="Z8" s="1"/>
      <c r="AA8" s="44" t="s">
        <v>32</v>
      </c>
      <c r="AB8" s="44" t="s">
        <v>33</v>
      </c>
      <c r="AC8" s="138" t="s">
        <v>129</v>
      </c>
      <c r="AE8" s="44" t="s">
        <v>32</v>
      </c>
      <c r="AF8" s="44" t="s">
        <v>33</v>
      </c>
      <c r="AG8" s="138" t="s">
        <v>130</v>
      </c>
    </row>
    <row r="9" ht="15.75" customHeight="1">
      <c r="C9" s="47">
        <v>1.0</v>
      </c>
      <c r="D9" s="47" t="s">
        <v>46</v>
      </c>
      <c r="E9" s="59">
        <f>6200</f>
        <v>6200</v>
      </c>
      <c r="F9" s="13">
        <f>5765.2</f>
        <v>5765.2</v>
      </c>
      <c r="G9" s="51">
        <f t="shared" ref="G9:G39" si="1">F9-E9</f>
        <v>-434.8</v>
      </c>
      <c r="I9" s="47">
        <v>1.0</v>
      </c>
      <c r="J9" s="47" t="s">
        <v>46</v>
      </c>
      <c r="K9" s="183">
        <v>4000.0</v>
      </c>
      <c r="L9" s="59">
        <f>3299.38-293</f>
        <v>3006.38</v>
      </c>
      <c r="M9" s="51">
        <f t="shared" ref="M9:M39" si="2">L9-K9</f>
        <v>-993.62</v>
      </c>
      <c r="Q9" s="139" t="s">
        <v>93</v>
      </c>
      <c r="R9" s="41"/>
      <c r="S9" s="41"/>
      <c r="T9" s="6"/>
      <c r="V9" s="139" t="s">
        <v>5</v>
      </c>
      <c r="W9" s="41"/>
      <c r="X9" s="6"/>
      <c r="Z9" s="1"/>
      <c r="AA9" s="47">
        <v>1.0</v>
      </c>
      <c r="AB9" s="47" t="s">
        <v>48</v>
      </c>
      <c r="AC9" s="59">
        <v>13480.519737460254</v>
      </c>
      <c r="AE9" s="47">
        <v>1.0</v>
      </c>
      <c r="AF9" s="47" t="s">
        <v>48</v>
      </c>
      <c r="AG9" s="183">
        <v>8815.939187410611</v>
      </c>
    </row>
    <row r="10" ht="15.75" customHeight="1">
      <c r="C10" s="47">
        <v>2.0</v>
      </c>
      <c r="D10" s="47" t="s">
        <v>40</v>
      </c>
      <c r="E10" s="59">
        <v>8500.0</v>
      </c>
      <c r="F10" s="59">
        <f>5721.6</f>
        <v>5721.6</v>
      </c>
      <c r="G10" s="51">
        <f t="shared" si="1"/>
        <v>-2778.4</v>
      </c>
      <c r="I10" s="47">
        <v>2.0</v>
      </c>
      <c r="J10" s="47" t="s">
        <v>40</v>
      </c>
      <c r="K10" s="183">
        <v>4300.0</v>
      </c>
      <c r="L10" s="55">
        <f>3926.68-322</f>
        <v>3604.68</v>
      </c>
      <c r="M10" s="51">
        <f t="shared" si="2"/>
        <v>-695.32</v>
      </c>
      <c r="Q10" s="140"/>
      <c r="R10" s="141">
        <v>45200.0</v>
      </c>
      <c r="S10" s="141">
        <v>45231.0</v>
      </c>
      <c r="T10" s="142" t="s">
        <v>90</v>
      </c>
      <c r="V10" s="140"/>
      <c r="W10" s="141">
        <v>45566.0</v>
      </c>
      <c r="X10" s="141" t="s">
        <v>131</v>
      </c>
      <c r="Z10" s="1"/>
      <c r="AA10" s="47">
        <v>2.0</v>
      </c>
      <c r="AB10" s="47" t="s">
        <v>41</v>
      </c>
      <c r="AC10" s="59">
        <v>18436.02</v>
      </c>
      <c r="AE10" s="47">
        <v>2.0</v>
      </c>
      <c r="AF10" s="47" t="s">
        <v>41</v>
      </c>
      <c r="AG10" s="183">
        <v>13363.079191265282</v>
      </c>
    </row>
    <row r="11" ht="15.75" customHeight="1">
      <c r="C11" s="47">
        <v>3.0</v>
      </c>
      <c r="D11" s="47" t="s">
        <v>47</v>
      </c>
      <c r="E11" s="59">
        <v>8500.0</v>
      </c>
      <c r="F11" s="59">
        <f>7560.5</f>
        <v>7560.5</v>
      </c>
      <c r="G11" s="51">
        <f t="shared" si="1"/>
        <v>-939.5</v>
      </c>
      <c r="I11" s="47">
        <v>3.0</v>
      </c>
      <c r="J11" s="47" t="s">
        <v>47</v>
      </c>
      <c r="K11" s="183">
        <v>5000.0</v>
      </c>
      <c r="L11" s="55">
        <f>4260.38-338</f>
        <v>3922.38</v>
      </c>
      <c r="M11" s="51">
        <f t="shared" si="2"/>
        <v>-1077.62</v>
      </c>
      <c r="Q11" s="140" t="s">
        <v>6</v>
      </c>
      <c r="R11" s="55">
        <v>3234.24</v>
      </c>
      <c r="S11" s="55">
        <f>5295.04</f>
        <v>5295.04</v>
      </c>
      <c r="T11" s="143">
        <f t="shared" ref="T11:T17" si="3">S11/R11-1</f>
        <v>0.637182151</v>
      </c>
      <c r="V11" s="140" t="s">
        <v>6</v>
      </c>
      <c r="W11" s="55">
        <f>AVERAGE(L15,L22,L29,L36)</f>
        <v>3679.5</v>
      </c>
      <c r="X11" s="144">
        <f t="shared" ref="X11:X17" si="4">W11*T11+W11</f>
        <v>6024.011725</v>
      </c>
      <c r="Z11" s="1"/>
      <c r="AA11" s="47">
        <v>3.0</v>
      </c>
      <c r="AB11" s="47" t="s">
        <v>44</v>
      </c>
      <c r="AC11" s="59">
        <v>17973.24128884717</v>
      </c>
      <c r="AE11" s="47">
        <v>3.0</v>
      </c>
      <c r="AF11" s="47" t="s">
        <v>44</v>
      </c>
      <c r="AG11" s="183">
        <v>20794.754345870708</v>
      </c>
    </row>
    <row r="12" ht="15.75" customHeight="1">
      <c r="C12" s="47">
        <v>4.0</v>
      </c>
      <c r="D12" s="47" t="s">
        <v>48</v>
      </c>
      <c r="E12" s="55">
        <v>12000.0</v>
      </c>
      <c r="F12" s="55">
        <f>6776.33-140</f>
        <v>6636.33</v>
      </c>
      <c r="G12" s="51">
        <f t="shared" si="1"/>
        <v>-5363.67</v>
      </c>
      <c r="I12" s="47">
        <v>4.0</v>
      </c>
      <c r="J12" s="47" t="s">
        <v>48</v>
      </c>
      <c r="K12" s="183">
        <v>10000.0</v>
      </c>
      <c r="L12" s="55">
        <f>7604.04-588</f>
        <v>7016.04</v>
      </c>
      <c r="M12" s="51">
        <f t="shared" si="2"/>
        <v>-2983.96</v>
      </c>
      <c r="Q12" s="140" t="s">
        <v>10</v>
      </c>
      <c r="R12" s="55">
        <v>5111.81</v>
      </c>
      <c r="S12" s="55">
        <v>4189.66</v>
      </c>
      <c r="T12" s="143">
        <f t="shared" si="3"/>
        <v>-0.180395985</v>
      </c>
      <c r="V12" s="140" t="s">
        <v>10</v>
      </c>
      <c r="W12" s="55">
        <f t="shared" ref="W12:W14" si="5">AVERAGE(L16,L23,L30,L37,L9)</f>
        <v>3819.04</v>
      </c>
      <c r="X12" s="144">
        <f t="shared" si="4"/>
        <v>3130.100518</v>
      </c>
      <c r="Z12" s="1"/>
      <c r="AA12" s="47">
        <v>4.0</v>
      </c>
      <c r="AB12" s="47" t="s">
        <v>45</v>
      </c>
      <c r="AC12" s="59">
        <v>3853.0742657918704</v>
      </c>
      <c r="AE12" s="47">
        <v>4.0</v>
      </c>
      <c r="AF12" s="47" t="s">
        <v>45</v>
      </c>
      <c r="AG12" s="183">
        <v>6024.011724547345</v>
      </c>
    </row>
    <row r="13" ht="15.75" customHeight="1">
      <c r="C13" s="47">
        <v>5.0</v>
      </c>
      <c r="D13" s="47" t="s">
        <v>41</v>
      </c>
      <c r="E13" s="55">
        <v>20000.0</v>
      </c>
      <c r="F13" s="55">
        <f>18688</f>
        <v>18688</v>
      </c>
      <c r="G13" s="51">
        <f t="shared" si="1"/>
        <v>-1312</v>
      </c>
      <c r="I13" s="47">
        <v>5.0</v>
      </c>
      <c r="J13" s="47" t="s">
        <v>41</v>
      </c>
      <c r="K13" s="183">
        <v>15000.0</v>
      </c>
      <c r="L13" s="55">
        <f>17404.89-1294</f>
        <v>16110.89</v>
      </c>
      <c r="M13" s="51">
        <f t="shared" si="2"/>
        <v>1110.89</v>
      </c>
      <c r="Q13" s="140" t="s">
        <v>12</v>
      </c>
      <c r="R13" s="55">
        <v>3986.35</v>
      </c>
      <c r="S13" s="55">
        <v>5312.74</v>
      </c>
      <c r="T13" s="143">
        <f t="shared" si="3"/>
        <v>0.3327329512</v>
      </c>
      <c r="V13" s="140" t="s">
        <v>12</v>
      </c>
      <c r="W13" s="55">
        <f t="shared" si="5"/>
        <v>4718.598</v>
      </c>
      <c r="X13" s="144">
        <f t="shared" si="4"/>
        <v>6288.631038</v>
      </c>
      <c r="Y13" s="61"/>
      <c r="Z13" s="1"/>
      <c r="AA13" s="47">
        <v>5.0</v>
      </c>
      <c r="AB13" s="47" t="s">
        <v>46</v>
      </c>
      <c r="AC13" s="59">
        <v>2416.82534645816</v>
      </c>
      <c r="AE13" s="47">
        <v>5.0</v>
      </c>
      <c r="AF13" s="47" t="s">
        <v>46</v>
      </c>
      <c r="AG13" s="183">
        <v>3130.100517507497</v>
      </c>
    </row>
    <row r="14" ht="15.75" customHeight="1">
      <c r="C14" s="47">
        <v>6.0</v>
      </c>
      <c r="D14" s="47" t="s">
        <v>44</v>
      </c>
      <c r="E14" s="55">
        <v>24000.0</v>
      </c>
      <c r="F14" s="55">
        <f>21903.6</f>
        <v>21903.6</v>
      </c>
      <c r="G14" s="51">
        <f t="shared" si="1"/>
        <v>-2096.4</v>
      </c>
      <c r="I14" s="47">
        <v>6.0</v>
      </c>
      <c r="J14" s="47" t="s">
        <v>44</v>
      </c>
      <c r="K14" s="183">
        <v>20000.0</v>
      </c>
      <c r="L14" s="55">
        <f>23909.2-1853</f>
        <v>22056.2</v>
      </c>
      <c r="M14" s="51">
        <f t="shared" si="2"/>
        <v>2056.2</v>
      </c>
      <c r="Q14" s="140" t="s">
        <v>15</v>
      </c>
      <c r="R14" s="55">
        <v>6195.18</v>
      </c>
      <c r="S14" s="55">
        <v>6771.72</v>
      </c>
      <c r="T14" s="143">
        <f t="shared" si="3"/>
        <v>0.0930626713</v>
      </c>
      <c r="V14" s="140" t="s">
        <v>15</v>
      </c>
      <c r="W14" s="55">
        <f t="shared" si="5"/>
        <v>6288.026</v>
      </c>
      <c r="X14" s="144">
        <f t="shared" si="4"/>
        <v>6873.206497</v>
      </c>
      <c r="Z14" s="1"/>
      <c r="AA14" s="47">
        <v>6.0</v>
      </c>
      <c r="AB14" s="47" t="s">
        <v>40</v>
      </c>
      <c r="AC14" s="59">
        <v>4179.13517782646</v>
      </c>
      <c r="AE14" s="47">
        <v>6.0</v>
      </c>
      <c r="AF14" s="47" t="s">
        <v>40</v>
      </c>
      <c r="AG14" s="183">
        <v>6288.631038047337</v>
      </c>
    </row>
    <row r="15" ht="15.75" customHeight="1">
      <c r="C15" s="47">
        <v>7.0</v>
      </c>
      <c r="D15" s="47" t="s">
        <v>45</v>
      </c>
      <c r="E15" s="55">
        <v>5000.0</v>
      </c>
      <c r="F15" s="55">
        <v>3064.15</v>
      </c>
      <c r="G15" s="51">
        <f t="shared" si="1"/>
        <v>-1935.85</v>
      </c>
      <c r="I15" s="47">
        <v>7.0</v>
      </c>
      <c r="J15" s="47" t="s">
        <v>45</v>
      </c>
      <c r="K15" s="183">
        <v>3400.0</v>
      </c>
      <c r="L15" s="55">
        <f>2210.39-162</f>
        <v>2048.39</v>
      </c>
      <c r="M15" s="51">
        <f t="shared" si="2"/>
        <v>-1351.61</v>
      </c>
      <c r="Q15" s="140" t="s">
        <v>17</v>
      </c>
      <c r="R15" s="55">
        <v>8257.43</v>
      </c>
      <c r="S15" s="55">
        <v>7867.59</v>
      </c>
      <c r="T15" s="143">
        <f t="shared" si="3"/>
        <v>-0.04721081499</v>
      </c>
      <c r="V15" s="140" t="s">
        <v>17</v>
      </c>
      <c r="W15" s="55">
        <f t="shared" ref="W15:W17" si="6">AVERAGE(L19,L26,L33,L12)</f>
        <v>9252.77</v>
      </c>
      <c r="X15" s="144">
        <f t="shared" si="4"/>
        <v>8815.939187</v>
      </c>
      <c r="Z15" s="1"/>
      <c r="AA15" s="47">
        <v>7.0</v>
      </c>
      <c r="AB15" s="47" t="s">
        <v>47</v>
      </c>
      <c r="AC15" s="59">
        <v>12391.864023447612</v>
      </c>
      <c r="AE15" s="47">
        <v>7.0</v>
      </c>
      <c r="AF15" s="47" t="s">
        <v>47</v>
      </c>
      <c r="AG15" s="183">
        <v>6873.206496779754</v>
      </c>
    </row>
    <row r="16" ht="15.75" customHeight="1">
      <c r="C16" s="47">
        <v>8.0</v>
      </c>
      <c r="D16" s="47" t="s">
        <v>46</v>
      </c>
      <c r="E16" s="59">
        <v>6500.0</v>
      </c>
      <c r="F16" s="59">
        <f>4150</f>
        <v>4150</v>
      </c>
      <c r="G16" s="51">
        <f t="shared" si="1"/>
        <v>-2350</v>
      </c>
      <c r="I16" s="47">
        <v>8.0</v>
      </c>
      <c r="J16" s="47" t="s">
        <v>46</v>
      </c>
      <c r="K16" s="183">
        <v>4000.0</v>
      </c>
      <c r="L16" s="55">
        <f>3541.21-320</f>
        <v>3221.21</v>
      </c>
      <c r="M16" s="51">
        <f t="shared" si="2"/>
        <v>-778.79</v>
      </c>
      <c r="Q16" s="140" t="s">
        <v>19</v>
      </c>
      <c r="R16" s="55">
        <v>11814.69</v>
      </c>
      <c r="S16" s="55">
        <v>10485.94</v>
      </c>
      <c r="T16" s="143">
        <f t="shared" si="3"/>
        <v>-0.1124659217</v>
      </c>
      <c r="V16" s="140" t="s">
        <v>19</v>
      </c>
      <c r="W16" s="55">
        <f t="shared" si="6"/>
        <v>15056.4125</v>
      </c>
      <c r="X16" s="144">
        <f t="shared" si="4"/>
        <v>13363.07919</v>
      </c>
      <c r="Z16" s="1"/>
      <c r="AA16" s="47">
        <v>8.0</v>
      </c>
      <c r="AB16" s="47" t="s">
        <v>48</v>
      </c>
      <c r="AC16" s="59">
        <v>13480.519737460254</v>
      </c>
      <c r="AE16" s="47">
        <v>8.0</v>
      </c>
      <c r="AF16" s="47" t="s">
        <v>48</v>
      </c>
      <c r="AG16" s="183">
        <v>8815.939187410611</v>
      </c>
    </row>
    <row r="17" ht="15.75" customHeight="1">
      <c r="C17" s="47">
        <v>9.0</v>
      </c>
      <c r="D17" s="47" t="s">
        <v>40</v>
      </c>
      <c r="E17" s="55">
        <v>8500.0</v>
      </c>
      <c r="F17" s="55">
        <f>4839.9</f>
        <v>4839.9</v>
      </c>
      <c r="G17" s="51">
        <f t="shared" si="1"/>
        <v>-3660.1</v>
      </c>
      <c r="I17" s="47">
        <v>9.0</v>
      </c>
      <c r="J17" s="47" t="s">
        <v>40</v>
      </c>
      <c r="K17" s="183">
        <v>4300.0</v>
      </c>
      <c r="L17" s="55">
        <f>4892.26-403</f>
        <v>4489.26</v>
      </c>
      <c r="M17" s="51">
        <f t="shared" si="2"/>
        <v>189.26</v>
      </c>
      <c r="Q17" s="140" t="s">
        <v>20</v>
      </c>
      <c r="R17" s="55">
        <v>16722.0</v>
      </c>
      <c r="S17" s="55">
        <v>16065.89</v>
      </c>
      <c r="T17" s="145">
        <f t="shared" si="3"/>
        <v>-0.03923633537</v>
      </c>
      <c r="V17" s="140" t="s">
        <v>20</v>
      </c>
      <c r="W17" s="55">
        <f t="shared" si="6"/>
        <v>21643.985</v>
      </c>
      <c r="X17" s="144">
        <f t="shared" si="4"/>
        <v>20794.75435</v>
      </c>
      <c r="Z17" s="1"/>
      <c r="AA17" s="47">
        <v>9.0</v>
      </c>
      <c r="AB17" s="47" t="s">
        <v>41</v>
      </c>
      <c r="AC17" s="59">
        <v>18436.02</v>
      </c>
      <c r="AE17" s="47">
        <v>9.0</v>
      </c>
      <c r="AF17" s="47" t="s">
        <v>41</v>
      </c>
      <c r="AG17" s="183">
        <v>13363.079191265282</v>
      </c>
    </row>
    <row r="18" ht="15.75" customHeight="1">
      <c r="C18" s="47">
        <v>10.0</v>
      </c>
      <c r="D18" s="47" t="s">
        <v>47</v>
      </c>
      <c r="E18" s="55">
        <v>8500.0</v>
      </c>
      <c r="F18" s="55">
        <f>7826.5</f>
        <v>7826.5</v>
      </c>
      <c r="G18" s="51">
        <f t="shared" si="1"/>
        <v>-673.5</v>
      </c>
      <c r="I18" s="47">
        <v>10.0</v>
      </c>
      <c r="J18" s="47" t="s">
        <v>47</v>
      </c>
      <c r="K18" s="183">
        <v>5000.0</v>
      </c>
      <c r="L18" s="55">
        <f>5391.79-376</f>
        <v>5015.79</v>
      </c>
      <c r="M18" s="51">
        <f t="shared" si="2"/>
        <v>15.79</v>
      </c>
      <c r="Q18" s="1"/>
      <c r="R18" s="8"/>
      <c r="U18" s="1"/>
      <c r="V18" s="8"/>
      <c r="W18" s="8"/>
      <c r="AA18" s="47">
        <v>10.0</v>
      </c>
      <c r="AB18" s="47" t="s">
        <v>44</v>
      </c>
      <c r="AC18" s="59">
        <v>17973.24128884717</v>
      </c>
      <c r="AE18" s="47">
        <v>10.0</v>
      </c>
      <c r="AF18" s="47" t="s">
        <v>44</v>
      </c>
      <c r="AG18" s="183">
        <v>20794.754345870708</v>
      </c>
    </row>
    <row r="19" ht="15.75" customHeight="1">
      <c r="C19" s="47">
        <v>11.0</v>
      </c>
      <c r="D19" s="47" t="s">
        <v>48</v>
      </c>
      <c r="E19" s="55">
        <v>15000.0</v>
      </c>
      <c r="F19" s="55">
        <f>13002.35-200</f>
        <v>12802.35</v>
      </c>
      <c r="G19" s="51">
        <f t="shared" si="1"/>
        <v>-2197.65</v>
      </c>
      <c r="I19" s="47">
        <v>11.0</v>
      </c>
      <c r="J19" s="47" t="s">
        <v>48</v>
      </c>
      <c r="K19" s="183">
        <v>10000.0</v>
      </c>
      <c r="L19" s="55">
        <f>10714.8-771</f>
        <v>9943.8</v>
      </c>
      <c r="M19" s="51">
        <f t="shared" si="2"/>
        <v>-56.2</v>
      </c>
      <c r="Q19" s="139" t="s">
        <v>89</v>
      </c>
      <c r="R19" s="41"/>
      <c r="S19" s="41"/>
      <c r="T19" s="6"/>
      <c r="V19" s="139" t="s">
        <v>1</v>
      </c>
      <c r="W19" s="41"/>
      <c r="X19" s="6"/>
      <c r="AA19" s="47">
        <v>11.0</v>
      </c>
      <c r="AB19" s="47" t="s">
        <v>45</v>
      </c>
      <c r="AC19" s="59">
        <v>3853.0742657918704</v>
      </c>
      <c r="AE19" s="47">
        <v>11.0</v>
      </c>
      <c r="AF19" s="47" t="s">
        <v>45</v>
      </c>
      <c r="AG19" s="183">
        <v>6024.011724547345</v>
      </c>
    </row>
    <row r="20" ht="15.75" customHeight="1">
      <c r="C20" s="47">
        <v>12.0</v>
      </c>
      <c r="D20" s="47" t="s">
        <v>41</v>
      </c>
      <c r="E20" s="55">
        <v>27000.0</v>
      </c>
      <c r="F20" s="55">
        <f>27449.38</f>
        <v>27449.38</v>
      </c>
      <c r="G20" s="51">
        <f t="shared" si="1"/>
        <v>449.38</v>
      </c>
      <c r="I20" s="47">
        <v>12.0</v>
      </c>
      <c r="J20" s="47" t="s">
        <v>41</v>
      </c>
      <c r="K20" s="183">
        <v>15000.0</v>
      </c>
      <c r="L20" s="55">
        <f>18129.2-1170</f>
        <v>16959.2</v>
      </c>
      <c r="M20" s="51">
        <f t="shared" si="2"/>
        <v>1959.2</v>
      </c>
      <c r="Q20" s="140"/>
      <c r="R20" s="141">
        <v>45200.0</v>
      </c>
      <c r="S20" s="141">
        <v>45231.0</v>
      </c>
      <c r="T20" s="142" t="s">
        <v>90</v>
      </c>
      <c r="V20" s="140"/>
      <c r="W20" s="141">
        <v>45566.0</v>
      </c>
      <c r="X20" s="141" t="s">
        <v>131</v>
      </c>
      <c r="AA20" s="47">
        <v>12.0</v>
      </c>
      <c r="AB20" s="47" t="s">
        <v>46</v>
      </c>
      <c r="AC20" s="59">
        <v>2416.82534645816</v>
      </c>
      <c r="AE20" s="47">
        <v>12.0</v>
      </c>
      <c r="AF20" s="47" t="s">
        <v>46</v>
      </c>
      <c r="AG20" s="183">
        <v>3130.100517507497</v>
      </c>
    </row>
    <row r="21" ht="15.75" customHeight="1">
      <c r="C21" s="47">
        <v>13.0</v>
      </c>
      <c r="D21" s="47" t="s">
        <v>44</v>
      </c>
      <c r="E21" s="55">
        <v>24000.0</v>
      </c>
      <c r="F21" s="55">
        <f>24410.08</f>
        <v>24410.08</v>
      </c>
      <c r="G21" s="51">
        <f t="shared" si="1"/>
        <v>410.08</v>
      </c>
      <c r="I21" s="47">
        <v>13.0</v>
      </c>
      <c r="J21" s="47" t="s">
        <v>44</v>
      </c>
      <c r="K21" s="183">
        <v>20000.0</v>
      </c>
      <c r="L21" s="55">
        <f>26244.57-1905.99</f>
        <v>24338.58</v>
      </c>
      <c r="M21" s="51">
        <f t="shared" si="2"/>
        <v>4338.58</v>
      </c>
      <c r="Q21" s="140" t="s">
        <v>6</v>
      </c>
      <c r="R21" s="55">
        <v>5423.36</v>
      </c>
      <c r="S21" s="55">
        <f>4787.45</f>
        <v>4787.45</v>
      </c>
      <c r="T21" s="143">
        <f t="shared" ref="T21:T27" si="7">S21/R21-1</f>
        <v>-0.1172538795</v>
      </c>
      <c r="V21" s="140" t="s">
        <v>6</v>
      </c>
      <c r="W21" s="55">
        <f>AVERAGE(F15,F22,F29,F36)</f>
        <v>4364.8725</v>
      </c>
      <c r="X21" s="144">
        <f t="shared" ref="X21:X27" si="8">W21*T21+W21</f>
        <v>3853.074266</v>
      </c>
      <c r="AA21" s="47">
        <v>13.0</v>
      </c>
      <c r="AB21" s="47" t="s">
        <v>40</v>
      </c>
      <c r="AC21" s="59">
        <v>4179.13517782646</v>
      </c>
      <c r="AE21" s="47">
        <v>13.0</v>
      </c>
      <c r="AF21" s="47" t="s">
        <v>40</v>
      </c>
      <c r="AG21" s="183">
        <v>6288.631038047337</v>
      </c>
    </row>
    <row r="22" ht="15.75" customHeight="1">
      <c r="C22" s="47">
        <v>14.0</v>
      </c>
      <c r="D22" s="47" t="s">
        <v>45</v>
      </c>
      <c r="E22" s="55">
        <v>5000.0</v>
      </c>
      <c r="F22" s="55">
        <f>5636.23</f>
        <v>5636.23</v>
      </c>
      <c r="G22" s="51">
        <f t="shared" si="1"/>
        <v>636.23</v>
      </c>
      <c r="I22" s="47">
        <v>14.0</v>
      </c>
      <c r="J22" s="47" t="s">
        <v>45</v>
      </c>
      <c r="K22" s="183">
        <v>3400.0</v>
      </c>
      <c r="L22" s="55">
        <f>3777.34-289</f>
        <v>3488.34</v>
      </c>
      <c r="M22" s="51">
        <f t="shared" si="2"/>
        <v>88.34</v>
      </c>
      <c r="Q22" s="140" t="s">
        <v>10</v>
      </c>
      <c r="R22" s="55">
        <v>8426.27</v>
      </c>
      <c r="S22" s="55">
        <v>4100.35</v>
      </c>
      <c r="T22" s="143">
        <f t="shared" si="7"/>
        <v>-0.513384926</v>
      </c>
      <c r="V22" s="140" t="s">
        <v>10</v>
      </c>
      <c r="W22" s="55">
        <f t="shared" ref="W22:W24" si="9">AVERAGE(F9,F16,F23,F30,F37)</f>
        <v>4966.606</v>
      </c>
      <c r="X22" s="144">
        <f t="shared" si="8"/>
        <v>2416.825346</v>
      </c>
      <c r="AA22" s="47">
        <v>14.0</v>
      </c>
      <c r="AB22" s="47" t="s">
        <v>47</v>
      </c>
      <c r="AC22" s="59">
        <v>12391.864023447612</v>
      </c>
      <c r="AE22" s="47">
        <v>14.0</v>
      </c>
      <c r="AF22" s="47" t="s">
        <v>47</v>
      </c>
      <c r="AG22" s="183">
        <v>6873.206496779754</v>
      </c>
    </row>
    <row r="23" ht="15.75" customHeight="1">
      <c r="C23" s="47">
        <v>15.0</v>
      </c>
      <c r="D23" s="47" t="s">
        <v>46</v>
      </c>
      <c r="E23" s="59">
        <v>6300.0</v>
      </c>
      <c r="F23" s="59">
        <f>6447.33</f>
        <v>6447.33</v>
      </c>
      <c r="G23" s="51">
        <f t="shared" si="1"/>
        <v>147.33</v>
      </c>
      <c r="I23" s="47">
        <v>15.0</v>
      </c>
      <c r="J23" s="47" t="s">
        <v>46</v>
      </c>
      <c r="K23" s="183">
        <v>4000.0</v>
      </c>
      <c r="L23" s="55">
        <f>4808.28-416</f>
        <v>4392.28</v>
      </c>
      <c r="M23" s="51">
        <f t="shared" si="2"/>
        <v>392.28</v>
      </c>
      <c r="Q23" s="140" t="s">
        <v>12</v>
      </c>
      <c r="R23" s="55">
        <v>9097.69</v>
      </c>
      <c r="S23" s="55">
        <v>6473.34</v>
      </c>
      <c r="T23" s="143">
        <f t="shared" si="7"/>
        <v>-0.2884633352</v>
      </c>
      <c r="V23" s="140" t="s">
        <v>12</v>
      </c>
      <c r="W23" s="55">
        <f t="shared" si="9"/>
        <v>5873.394</v>
      </c>
      <c r="X23" s="144">
        <f t="shared" si="8"/>
        <v>4179.135178</v>
      </c>
      <c r="AA23" s="47">
        <v>15.0</v>
      </c>
      <c r="AB23" s="47" t="s">
        <v>48</v>
      </c>
      <c r="AC23" s="59">
        <v>13480.519737460254</v>
      </c>
      <c r="AE23" s="47">
        <v>15.0</v>
      </c>
      <c r="AF23" s="47" t="s">
        <v>48</v>
      </c>
      <c r="AG23" s="183">
        <v>8815.939187410611</v>
      </c>
    </row>
    <row r="24" ht="15.75" customHeight="1">
      <c r="C24" s="47">
        <v>16.0</v>
      </c>
      <c r="D24" s="47" t="s">
        <v>40</v>
      </c>
      <c r="E24" s="55">
        <v>7000.0</v>
      </c>
      <c r="F24" s="55">
        <f>4023.75</f>
        <v>4023.75</v>
      </c>
      <c r="G24" s="51">
        <f t="shared" si="1"/>
        <v>-2976.25</v>
      </c>
      <c r="I24" s="47">
        <v>16.0</v>
      </c>
      <c r="J24" s="47" t="s">
        <v>40</v>
      </c>
      <c r="K24" s="183">
        <v>4200.0</v>
      </c>
      <c r="L24" s="55">
        <f>2684.39-187</f>
        <v>2497.39</v>
      </c>
      <c r="M24" s="51">
        <f t="shared" si="2"/>
        <v>-1702.61</v>
      </c>
      <c r="Q24" s="140" t="s">
        <v>15</v>
      </c>
      <c r="R24" s="55">
        <v>5487.98</v>
      </c>
      <c r="S24" s="55">
        <v>8814.29</v>
      </c>
      <c r="T24" s="143">
        <f t="shared" si="7"/>
        <v>0.6061082584</v>
      </c>
      <c r="V24" s="140" t="s">
        <v>15</v>
      </c>
      <c r="W24" s="55">
        <f t="shared" si="9"/>
        <v>7715.46</v>
      </c>
      <c r="X24" s="144">
        <f t="shared" si="8"/>
        <v>12391.86402</v>
      </c>
      <c r="AA24" s="47">
        <v>16.0</v>
      </c>
      <c r="AB24" s="47" t="s">
        <v>41</v>
      </c>
      <c r="AC24" s="59">
        <v>18436.02</v>
      </c>
      <c r="AE24" s="47">
        <v>16.0</v>
      </c>
      <c r="AF24" s="47" t="s">
        <v>41</v>
      </c>
      <c r="AG24" s="183">
        <v>13363.079191265282</v>
      </c>
    </row>
    <row r="25" ht="15.75" customHeight="1">
      <c r="C25" s="47">
        <v>17.0</v>
      </c>
      <c r="D25" s="47" t="s">
        <v>47</v>
      </c>
      <c r="E25" s="55">
        <v>8500.0</v>
      </c>
      <c r="F25" s="55">
        <f>4588.75</f>
        <v>4588.75</v>
      </c>
      <c r="G25" s="51">
        <f t="shared" si="1"/>
        <v>-3911.25</v>
      </c>
      <c r="I25" s="47">
        <v>17.0</v>
      </c>
      <c r="J25" s="47" t="s">
        <v>47</v>
      </c>
      <c r="K25" s="183">
        <v>5000.0</v>
      </c>
      <c r="L25" s="55">
        <f>5178.76-360</f>
        <v>4818.76</v>
      </c>
      <c r="M25" s="51">
        <f t="shared" si="2"/>
        <v>-181.24</v>
      </c>
      <c r="Q25" s="140" t="s">
        <v>17</v>
      </c>
      <c r="R25" s="55">
        <v>11004.81</v>
      </c>
      <c r="S25" s="55">
        <v>13277.6</v>
      </c>
      <c r="T25" s="143">
        <f t="shared" si="7"/>
        <v>0.2065269641</v>
      </c>
      <c r="V25" s="140" t="s">
        <v>17</v>
      </c>
      <c r="W25" s="55">
        <f>AVERAGE(F12,F19,F26,F33)</f>
        <v>11172.995</v>
      </c>
      <c r="X25" s="144">
        <f t="shared" si="8"/>
        <v>13480.51974</v>
      </c>
      <c r="AA25" s="47">
        <v>17.0</v>
      </c>
      <c r="AB25" s="47" t="s">
        <v>44</v>
      </c>
      <c r="AC25" s="59">
        <v>17973.24128884717</v>
      </c>
      <c r="AE25" s="47">
        <v>17.0</v>
      </c>
      <c r="AF25" s="47" t="s">
        <v>44</v>
      </c>
      <c r="AG25" s="183">
        <v>20794.754345870708</v>
      </c>
    </row>
    <row r="26" ht="15.75" customHeight="1">
      <c r="C26" s="47">
        <v>18.0</v>
      </c>
      <c r="D26" s="47" t="s">
        <v>48</v>
      </c>
      <c r="E26" s="55">
        <v>12000.0</v>
      </c>
      <c r="F26" s="55">
        <f>861.75+11209.35-185</f>
        <v>11886.1</v>
      </c>
      <c r="G26" s="51">
        <f t="shared" si="1"/>
        <v>-113.9</v>
      </c>
      <c r="I26" s="47">
        <v>18.0</v>
      </c>
      <c r="J26" s="47" t="s">
        <v>48</v>
      </c>
      <c r="K26" s="183">
        <v>10000.0</v>
      </c>
      <c r="L26" s="55">
        <f>12242.35-879.48</f>
        <v>11362.87</v>
      </c>
      <c r="M26" s="51">
        <f t="shared" si="2"/>
        <v>1362.87</v>
      </c>
      <c r="Q26" s="140" t="s">
        <v>19</v>
      </c>
      <c r="R26" s="55">
        <v>19164.37</v>
      </c>
      <c r="S26" s="55">
        <v>18057.16</v>
      </c>
      <c r="T26" s="143">
        <f t="shared" si="7"/>
        <v>-0.05777440114</v>
      </c>
      <c r="V26" s="140" t="s">
        <v>19</v>
      </c>
      <c r="W26" s="55">
        <f>AVERAGE(F13,F27,F34)</f>
        <v>19566.45667</v>
      </c>
      <c r="X26" s="144">
        <f t="shared" si="8"/>
        <v>18436.01635</v>
      </c>
      <c r="AA26" s="47">
        <v>18.0</v>
      </c>
      <c r="AB26" s="47" t="s">
        <v>45</v>
      </c>
      <c r="AC26" s="59">
        <v>3853.0742657918704</v>
      </c>
      <c r="AE26" s="47">
        <v>18.0</v>
      </c>
      <c r="AF26" s="47" t="s">
        <v>45</v>
      </c>
      <c r="AG26" s="183">
        <v>6024.011724547345</v>
      </c>
    </row>
    <row r="27" ht="15.75" customHeight="1">
      <c r="C27" s="47">
        <v>19.0</v>
      </c>
      <c r="D27" s="47" t="s">
        <v>41</v>
      </c>
      <c r="E27" s="55">
        <v>20000.0</v>
      </c>
      <c r="F27" s="55">
        <f>22422.12</f>
        <v>22422.12</v>
      </c>
      <c r="G27" s="51">
        <f t="shared" si="1"/>
        <v>2422.12</v>
      </c>
      <c r="I27" s="47">
        <v>19.0</v>
      </c>
      <c r="J27" s="47" t="s">
        <v>41</v>
      </c>
      <c r="K27" s="183">
        <v>15000.0</v>
      </c>
      <c r="L27" s="55">
        <f>14056.74-1151</f>
        <v>12905.74</v>
      </c>
      <c r="M27" s="51">
        <f t="shared" si="2"/>
        <v>-2094.26</v>
      </c>
      <c r="Q27" s="140" t="s">
        <v>20</v>
      </c>
      <c r="R27" s="55">
        <v>20593.52</v>
      </c>
      <c r="S27" s="55">
        <v>18595.81</v>
      </c>
      <c r="T27" s="145">
        <f t="shared" si="7"/>
        <v>-0.09700672833</v>
      </c>
      <c r="V27" s="140" t="s">
        <v>20</v>
      </c>
      <c r="W27" s="55">
        <f>AVERAGE(F14,F21,F28,F35)</f>
        <v>19904.07</v>
      </c>
      <c r="X27" s="144">
        <f t="shared" si="8"/>
        <v>17973.24129</v>
      </c>
      <c r="AA27" s="47">
        <v>19.0</v>
      </c>
      <c r="AB27" s="47" t="s">
        <v>46</v>
      </c>
      <c r="AC27" s="59">
        <v>2416.82534645816</v>
      </c>
      <c r="AE27" s="47">
        <v>19.0</v>
      </c>
      <c r="AF27" s="47" t="s">
        <v>46</v>
      </c>
      <c r="AG27" s="183">
        <v>3130.100517507497</v>
      </c>
    </row>
    <row r="28" ht="15.75" customHeight="1">
      <c r="C28" s="47">
        <v>20.0</v>
      </c>
      <c r="D28" s="47" t="s">
        <v>44</v>
      </c>
      <c r="E28" s="55">
        <v>20000.0</v>
      </c>
      <c r="F28" s="55">
        <f>17155.2</f>
        <v>17155.2</v>
      </c>
      <c r="G28" s="51">
        <f t="shared" si="1"/>
        <v>-2844.8</v>
      </c>
      <c r="I28" s="47">
        <v>20.0</v>
      </c>
      <c r="J28" s="47" t="s">
        <v>44</v>
      </c>
      <c r="K28" s="183">
        <v>20000.0</v>
      </c>
      <c r="L28" s="55">
        <f>22882.83-1619</f>
        <v>21263.83</v>
      </c>
      <c r="M28" s="51">
        <f t="shared" si="2"/>
        <v>1263.83</v>
      </c>
      <c r="Z28" s="1"/>
      <c r="AA28" s="47">
        <v>20.0</v>
      </c>
      <c r="AB28" s="47" t="s">
        <v>40</v>
      </c>
      <c r="AC28" s="59">
        <v>4179.13517782646</v>
      </c>
      <c r="AE28" s="47">
        <v>20.0</v>
      </c>
      <c r="AF28" s="47" t="s">
        <v>40</v>
      </c>
      <c r="AG28" s="183">
        <v>6288.631038047337</v>
      </c>
    </row>
    <row r="29" ht="15.75" customHeight="1">
      <c r="C29" s="47">
        <v>21.0</v>
      </c>
      <c r="D29" s="47" t="s">
        <v>45</v>
      </c>
      <c r="E29" s="55">
        <v>5000.0</v>
      </c>
      <c r="F29" s="55">
        <f>2312.96</f>
        <v>2312.96</v>
      </c>
      <c r="G29" s="51">
        <f t="shared" si="1"/>
        <v>-2687.04</v>
      </c>
      <c r="I29" s="47">
        <v>21.0</v>
      </c>
      <c r="J29" s="47" t="s">
        <v>45</v>
      </c>
      <c r="K29" s="183">
        <v>3400.0</v>
      </c>
      <c r="L29" s="55">
        <f>3501.31-250</f>
        <v>3251.31</v>
      </c>
      <c r="M29" s="51">
        <f t="shared" si="2"/>
        <v>-148.69</v>
      </c>
      <c r="Z29" s="1"/>
      <c r="AA29" s="47">
        <v>21.0</v>
      </c>
      <c r="AB29" s="47" t="s">
        <v>47</v>
      </c>
      <c r="AC29" s="59">
        <v>12391.864023447612</v>
      </c>
      <c r="AE29" s="47">
        <v>21.0</v>
      </c>
      <c r="AF29" s="47" t="s">
        <v>47</v>
      </c>
      <c r="AG29" s="183">
        <v>6873.206496779754</v>
      </c>
    </row>
    <row r="30" ht="15.75" customHeight="1">
      <c r="C30" s="47">
        <v>22.0</v>
      </c>
      <c r="D30" s="47" t="s">
        <v>46</v>
      </c>
      <c r="E30" s="55">
        <v>7000.0</v>
      </c>
      <c r="F30" s="55">
        <f>4801.75</f>
        <v>4801.75</v>
      </c>
      <c r="G30" s="51">
        <f t="shared" si="1"/>
        <v>-2198.25</v>
      </c>
      <c r="I30" s="47">
        <v>22.0</v>
      </c>
      <c r="J30" s="47" t="s">
        <v>46</v>
      </c>
      <c r="K30" s="183">
        <v>4000.0</v>
      </c>
      <c r="L30" s="55">
        <f>5425.18-365</f>
        <v>5060.18</v>
      </c>
      <c r="M30" s="51">
        <f t="shared" si="2"/>
        <v>1060.18</v>
      </c>
      <c r="Z30" s="1"/>
      <c r="AA30" s="47">
        <v>22.0</v>
      </c>
      <c r="AB30" s="47" t="s">
        <v>48</v>
      </c>
      <c r="AC30" s="59">
        <v>13480.519737460254</v>
      </c>
      <c r="AE30" s="47">
        <v>22.0</v>
      </c>
      <c r="AF30" s="47" t="s">
        <v>48</v>
      </c>
      <c r="AG30" s="183">
        <v>8815.939187410611</v>
      </c>
    </row>
    <row r="31" ht="15.75" customHeight="1">
      <c r="C31" s="47">
        <v>23.0</v>
      </c>
      <c r="D31" s="47" t="s">
        <v>40</v>
      </c>
      <c r="E31" s="55">
        <v>10000.0</v>
      </c>
      <c r="F31" s="55">
        <f>9794.2</f>
        <v>9794.2</v>
      </c>
      <c r="G31" s="51">
        <f t="shared" si="1"/>
        <v>-205.8</v>
      </c>
      <c r="I31" s="47">
        <v>23.0</v>
      </c>
      <c r="J31" s="47" t="s">
        <v>40</v>
      </c>
      <c r="K31" s="183">
        <v>4300.0</v>
      </c>
      <c r="L31" s="55">
        <f>9539.87-673+486.83</f>
        <v>9353.7</v>
      </c>
      <c r="M31" s="51">
        <f t="shared" si="2"/>
        <v>5053.7</v>
      </c>
      <c r="Z31" s="1"/>
      <c r="AA31" s="47">
        <v>23.0</v>
      </c>
      <c r="AB31" s="47" t="s">
        <v>41</v>
      </c>
      <c r="AC31" s="59">
        <v>18436.02</v>
      </c>
      <c r="AE31" s="47">
        <v>23.0</v>
      </c>
      <c r="AF31" s="47" t="s">
        <v>41</v>
      </c>
      <c r="AG31" s="183">
        <v>13363.079191265282</v>
      </c>
    </row>
    <row r="32" ht="15.75" customHeight="1">
      <c r="C32" s="47">
        <v>24.0</v>
      </c>
      <c r="D32" s="47" t="s">
        <v>47</v>
      </c>
      <c r="E32" s="55">
        <v>12000.0</v>
      </c>
      <c r="F32" s="55">
        <f>10693.75</f>
        <v>10693.75</v>
      </c>
      <c r="G32" s="51">
        <f t="shared" si="1"/>
        <v>-1306.25</v>
      </c>
      <c r="I32" s="47">
        <v>24.0</v>
      </c>
      <c r="J32" s="47" t="s">
        <v>47</v>
      </c>
      <c r="K32" s="183">
        <v>5000.0</v>
      </c>
      <c r="L32" s="59">
        <f>13535.42-990+25</f>
        <v>12570.42</v>
      </c>
      <c r="M32" s="51">
        <f t="shared" si="2"/>
        <v>7570.42</v>
      </c>
      <c r="Z32" s="1"/>
      <c r="AA32" s="47">
        <v>24.0</v>
      </c>
      <c r="AB32" s="47" t="s">
        <v>44</v>
      </c>
      <c r="AC32" s="59">
        <v>17973.24128884717</v>
      </c>
      <c r="AE32" s="47">
        <v>24.0</v>
      </c>
      <c r="AF32" s="47" t="s">
        <v>44</v>
      </c>
      <c r="AG32" s="183">
        <v>20794.754345870708</v>
      </c>
    </row>
    <row r="33" ht="15.75" customHeight="1">
      <c r="C33" s="47">
        <v>25.0</v>
      </c>
      <c r="D33" s="47" t="s">
        <v>48</v>
      </c>
      <c r="E33" s="55">
        <v>11000.0</v>
      </c>
      <c r="F33" s="55">
        <f>13602.2-235</f>
        <v>13367.2</v>
      </c>
      <c r="G33" s="51">
        <f t="shared" si="1"/>
        <v>2367.2</v>
      </c>
      <c r="I33" s="47">
        <v>25.0</v>
      </c>
      <c r="J33" s="47" t="s">
        <v>48</v>
      </c>
      <c r="K33" s="183">
        <v>10000.0</v>
      </c>
      <c r="L33" s="55">
        <f>9364.37-676</f>
        <v>8688.37</v>
      </c>
      <c r="M33" s="51">
        <f t="shared" si="2"/>
        <v>-1311.63</v>
      </c>
      <c r="Q33" s="188" t="s">
        <v>133</v>
      </c>
      <c r="R33" s="188" t="s">
        <v>141</v>
      </c>
      <c r="S33" s="190" t="s">
        <v>61</v>
      </c>
      <c r="Z33" s="1"/>
      <c r="AA33" s="47">
        <v>25.0</v>
      </c>
      <c r="AB33" s="47" t="s">
        <v>45</v>
      </c>
      <c r="AC33" s="59">
        <v>3853.0742657918704</v>
      </c>
      <c r="AE33" s="47">
        <v>25.0</v>
      </c>
      <c r="AF33" s="47" t="s">
        <v>45</v>
      </c>
      <c r="AG33" s="183">
        <v>6024.011724547345</v>
      </c>
    </row>
    <row r="34" ht="15.75" customHeight="1">
      <c r="C34" s="47">
        <v>26.0</v>
      </c>
      <c r="D34" s="47" t="s">
        <v>41</v>
      </c>
      <c r="E34" s="55">
        <v>20000.0</v>
      </c>
      <c r="F34" s="55">
        <f>17589.25</f>
        <v>17589.25</v>
      </c>
      <c r="G34" s="51">
        <f t="shared" si="1"/>
        <v>-2410.75</v>
      </c>
      <c r="I34" s="47">
        <v>26.0</v>
      </c>
      <c r="J34" s="47" t="s">
        <v>41</v>
      </c>
      <c r="K34" s="183">
        <v>15000.0</v>
      </c>
      <c r="L34" s="55">
        <f>15409.82-1160</f>
        <v>14249.82</v>
      </c>
      <c r="M34" s="51">
        <f t="shared" si="2"/>
        <v>-750.18</v>
      </c>
      <c r="Q34" s="191">
        <v>249.0</v>
      </c>
      <c r="R34" s="192">
        <v>237.0</v>
      </c>
      <c r="S34" s="193">
        <f>R34-Q34</f>
        <v>-12</v>
      </c>
      <c r="Z34" s="1"/>
      <c r="AA34" s="47">
        <v>26.0</v>
      </c>
      <c r="AB34" s="47" t="s">
        <v>46</v>
      </c>
      <c r="AC34" s="59">
        <v>2416.82534645816</v>
      </c>
      <c r="AE34" s="47">
        <v>26.0</v>
      </c>
      <c r="AF34" s="47" t="s">
        <v>46</v>
      </c>
      <c r="AG34" s="183">
        <v>3130.100517507497</v>
      </c>
    </row>
    <row r="35" ht="15.75" customHeight="1">
      <c r="C35" s="47">
        <v>27.0</v>
      </c>
      <c r="D35" s="47" t="s">
        <v>44</v>
      </c>
      <c r="E35" s="55">
        <v>22000.0</v>
      </c>
      <c r="F35" s="55">
        <f>16147.4</f>
        <v>16147.4</v>
      </c>
      <c r="G35" s="51">
        <f t="shared" si="1"/>
        <v>-5852.6</v>
      </c>
      <c r="I35" s="47">
        <v>27.0</v>
      </c>
      <c r="J35" s="47" t="s">
        <v>44</v>
      </c>
      <c r="K35" s="183">
        <v>20000.0</v>
      </c>
      <c r="L35" s="55">
        <f>20571.33-1654</f>
        <v>18917.33</v>
      </c>
      <c r="M35" s="51">
        <f t="shared" si="2"/>
        <v>-1082.67</v>
      </c>
      <c r="Q35" s="194" t="s">
        <v>135</v>
      </c>
      <c r="R35" s="194" t="s">
        <v>142</v>
      </c>
      <c r="S35" s="195"/>
      <c r="Z35" s="1"/>
      <c r="AA35" s="47">
        <v>27.0</v>
      </c>
      <c r="AB35" s="47" t="s">
        <v>40</v>
      </c>
      <c r="AC35" s="59">
        <v>4179.13517782646</v>
      </c>
      <c r="AE35" s="47">
        <v>27.0</v>
      </c>
      <c r="AF35" s="47" t="s">
        <v>40</v>
      </c>
      <c r="AG35" s="183">
        <v>6288.631038047337</v>
      </c>
    </row>
    <row r="36" ht="15.75" customHeight="1">
      <c r="C36" s="47">
        <v>28.0</v>
      </c>
      <c r="D36" s="47" t="s">
        <v>45</v>
      </c>
      <c r="E36" s="55">
        <v>10000.0</v>
      </c>
      <c r="F36" s="55">
        <f>6446.15</f>
        <v>6446.15</v>
      </c>
      <c r="G36" s="51">
        <f t="shared" si="1"/>
        <v>-3553.85</v>
      </c>
      <c r="I36" s="47">
        <v>28.0</v>
      </c>
      <c r="J36" s="47" t="s">
        <v>45</v>
      </c>
      <c r="K36" s="183">
        <v>3400.0</v>
      </c>
      <c r="L36" s="55">
        <f>6438.96-509</f>
        <v>5929.96</v>
      </c>
      <c r="M36" s="51">
        <f t="shared" si="2"/>
        <v>2529.96</v>
      </c>
      <c r="Q36" s="191">
        <v>369.0</v>
      </c>
      <c r="R36" s="192">
        <v>312.0</v>
      </c>
      <c r="S36" s="193">
        <f>R36-Q36</f>
        <v>-57</v>
      </c>
      <c r="Z36" s="1"/>
      <c r="AA36" s="47">
        <v>28.0</v>
      </c>
      <c r="AB36" s="47" t="s">
        <v>47</v>
      </c>
      <c r="AC36" s="59">
        <v>12391.864023447612</v>
      </c>
      <c r="AE36" s="47">
        <v>28.0</v>
      </c>
      <c r="AF36" s="47" t="s">
        <v>47</v>
      </c>
      <c r="AG36" s="183">
        <v>6873.206496779754</v>
      </c>
    </row>
    <row r="37" ht="15.75" customHeight="1">
      <c r="C37" s="47">
        <v>29.0</v>
      </c>
      <c r="D37" s="47" t="s">
        <v>46</v>
      </c>
      <c r="E37" s="55">
        <v>6500.0</v>
      </c>
      <c r="F37" s="55">
        <f>3668.75</f>
        <v>3668.75</v>
      </c>
      <c r="G37" s="51">
        <f t="shared" si="1"/>
        <v>-2831.25</v>
      </c>
      <c r="I37" s="47">
        <v>29.0</v>
      </c>
      <c r="J37" s="47" t="s">
        <v>46</v>
      </c>
      <c r="K37" s="183">
        <v>4000.0</v>
      </c>
      <c r="L37" s="55">
        <f>3736.15-321</f>
        <v>3415.15</v>
      </c>
      <c r="M37" s="51">
        <f t="shared" si="2"/>
        <v>-584.85</v>
      </c>
      <c r="Q37" s="58" t="s">
        <v>136</v>
      </c>
      <c r="R37" s="58" t="s">
        <v>137</v>
      </c>
      <c r="Z37" s="1"/>
      <c r="AA37" s="47">
        <v>29.0</v>
      </c>
      <c r="AB37" s="47" t="s">
        <v>48</v>
      </c>
      <c r="AC37" s="59">
        <v>13480.519737460254</v>
      </c>
      <c r="AE37" s="47">
        <v>29.0</v>
      </c>
      <c r="AF37" s="47" t="s">
        <v>48</v>
      </c>
      <c r="AG37" s="183">
        <v>8815.939187410611</v>
      </c>
    </row>
    <row r="38" ht="15.75" customHeight="1">
      <c r="C38" s="47">
        <v>30.0</v>
      </c>
      <c r="D38" s="47" t="s">
        <v>40</v>
      </c>
      <c r="E38" s="55">
        <v>6000.0</v>
      </c>
      <c r="F38" s="55">
        <f>4987.52</f>
        <v>4987.52</v>
      </c>
      <c r="G38" s="51">
        <f t="shared" si="1"/>
        <v>-1012.48</v>
      </c>
      <c r="I38" s="47">
        <v>30.0</v>
      </c>
      <c r="J38" s="47" t="s">
        <v>40</v>
      </c>
      <c r="K38" s="183">
        <v>4300.0</v>
      </c>
      <c r="L38" s="55">
        <f>4024.96-377</f>
        <v>3647.96</v>
      </c>
      <c r="M38" s="51">
        <f t="shared" si="2"/>
        <v>-652.04</v>
      </c>
      <c r="Z38" s="1"/>
      <c r="AA38" s="47">
        <v>30.0</v>
      </c>
      <c r="AB38" s="47" t="s">
        <v>41</v>
      </c>
      <c r="AC38" s="59">
        <v>18436.02</v>
      </c>
      <c r="AE38" s="47">
        <v>30.0</v>
      </c>
      <c r="AF38" s="47" t="s">
        <v>41</v>
      </c>
      <c r="AG38" s="183">
        <v>13363.079191265282</v>
      </c>
    </row>
    <row r="39" ht="15.75" customHeight="1">
      <c r="C39" s="47">
        <v>31.0</v>
      </c>
      <c r="D39" s="47" t="s">
        <v>47</v>
      </c>
      <c r="E39" s="55">
        <v>8000.0</v>
      </c>
      <c r="F39" s="59">
        <f>710.35+7197.45</f>
        <v>7907.8</v>
      </c>
      <c r="G39" s="51">
        <f t="shared" si="1"/>
        <v>-92.2</v>
      </c>
      <c r="I39" s="47">
        <v>31.0</v>
      </c>
      <c r="J39" s="47" t="s">
        <v>47</v>
      </c>
      <c r="K39" s="183">
        <v>5000.0</v>
      </c>
      <c r="L39" s="55">
        <f>5570.78-458</f>
        <v>5112.78</v>
      </c>
      <c r="M39" s="51">
        <f t="shared" si="2"/>
        <v>112.78</v>
      </c>
      <c r="Z39" s="1"/>
      <c r="AA39" s="47"/>
      <c r="AB39" s="47"/>
      <c r="AC39" s="59"/>
      <c r="AE39" s="47"/>
      <c r="AF39" s="47"/>
      <c r="AG39" s="183"/>
    </row>
    <row r="40" ht="15.75" customHeight="1">
      <c r="C40" s="8"/>
      <c r="D40" s="8"/>
      <c r="E40" s="107">
        <f t="shared" ref="E40:G40" si="10">SUM(E9:E39)</f>
        <v>370000</v>
      </c>
      <c r="F40" s="107">
        <f t="shared" si="10"/>
        <v>320693.8</v>
      </c>
      <c r="G40" s="105">
        <f t="shared" si="10"/>
        <v>-49306.2</v>
      </c>
      <c r="I40" s="8"/>
      <c r="J40" s="8"/>
      <c r="K40" s="107">
        <f t="shared" ref="K40:M40" si="11">SUM(K9:K39)</f>
        <v>260000</v>
      </c>
      <c r="L40" s="107">
        <f t="shared" si="11"/>
        <v>272658.99</v>
      </c>
      <c r="M40" s="105">
        <f t="shared" si="11"/>
        <v>12658.99</v>
      </c>
      <c r="Z40" s="1"/>
      <c r="AA40" s="8"/>
      <c r="AB40" s="8"/>
      <c r="AC40" s="107">
        <f>SUM(AC9:AC39)</f>
        <v>322839.2591</v>
      </c>
      <c r="AD40" s="107"/>
      <c r="AE40" s="8"/>
      <c r="AF40" s="8"/>
      <c r="AG40" s="107">
        <f>SUM(AG9:AG39)</f>
        <v>283337.9084</v>
      </c>
    </row>
    <row r="41" ht="15.75" customHeight="1">
      <c r="F41" s="114">
        <f>F40/D44</f>
        <v>0.86674</v>
      </c>
      <c r="G41" s="1"/>
      <c r="I41" s="1"/>
      <c r="J41" s="1"/>
      <c r="K41" s="1"/>
      <c r="L41" s="114">
        <f>L40/J44</f>
        <v>1.048688423</v>
      </c>
      <c r="M41" s="1"/>
      <c r="Z41" s="1"/>
      <c r="AA41" s="1"/>
      <c r="AB41" s="1"/>
      <c r="AC41" s="1"/>
      <c r="AD41" s="1"/>
      <c r="AE41" s="1"/>
    </row>
    <row r="42" ht="15.75" customHeight="1">
      <c r="C42" s="2"/>
      <c r="D42" s="2"/>
      <c r="E42" s="2"/>
      <c r="F42" s="2"/>
      <c r="J42" s="61"/>
      <c r="K42" s="2"/>
      <c r="L42" s="2"/>
      <c r="Z42" s="1"/>
      <c r="AA42" s="1"/>
      <c r="AC42" s="173" t="s">
        <v>143</v>
      </c>
      <c r="AG42" s="173" t="s">
        <v>144</v>
      </c>
    </row>
    <row r="43" ht="15.75" customHeight="1">
      <c r="C43" s="2"/>
      <c r="D43" s="2"/>
      <c r="E43" s="115" t="s">
        <v>77</v>
      </c>
      <c r="F43" s="118">
        <f>E40+G40</f>
        <v>320693.8</v>
      </c>
      <c r="K43" s="115" t="s">
        <v>77</v>
      </c>
      <c r="L43" s="118">
        <f>K40+M40</f>
        <v>272658.99</v>
      </c>
      <c r="Z43" s="1"/>
      <c r="AA43" s="1"/>
      <c r="AD43" s="13"/>
      <c r="AE43" s="196" t="s">
        <v>145</v>
      </c>
    </row>
    <row r="44" ht="15.75" customHeight="1">
      <c r="C44" s="122" t="s">
        <v>29</v>
      </c>
      <c r="D44" s="124">
        <v>370000.0</v>
      </c>
      <c r="E44" s="2"/>
      <c r="F44" s="2"/>
      <c r="I44" s="126" t="s">
        <v>29</v>
      </c>
      <c r="J44" s="124">
        <v>260000.0</v>
      </c>
      <c r="K44" s="2"/>
      <c r="L44" s="2"/>
      <c r="O44" s="61"/>
      <c r="Z44" s="1"/>
      <c r="AA44" s="1"/>
      <c r="AE44" s="58" t="s">
        <v>146</v>
      </c>
    </row>
    <row r="45" ht="15.75" customHeight="1"/>
    <row r="46" ht="15.75" customHeight="1">
      <c r="E46" s="2"/>
      <c r="F46" s="2"/>
      <c r="K46" s="2"/>
      <c r="L46" s="2"/>
    </row>
    <row r="47" ht="15.75" customHeight="1">
      <c r="E47" s="2"/>
      <c r="F47" s="2"/>
      <c r="J47" s="189"/>
      <c r="K47" s="2"/>
      <c r="L47" s="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Q9:T9"/>
    <mergeCell ref="Q19:T19"/>
    <mergeCell ref="V19:X19"/>
    <mergeCell ref="C4:G6"/>
    <mergeCell ref="I4:M6"/>
    <mergeCell ref="C7:G7"/>
    <mergeCell ref="V7:W7"/>
    <mergeCell ref="AA7:AC7"/>
    <mergeCell ref="AE7:AG7"/>
    <mergeCell ref="V9:X9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5" footer="0.0" header="0.0" left="0.25" right="0.25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1.0"/>
    <col customWidth="1" min="5" max="5" width="19.11"/>
    <col customWidth="1" min="6" max="6" width="17.67"/>
    <col customWidth="1" min="7" max="7" width="18.33"/>
    <col customWidth="1" min="8" max="8" width="11.11"/>
    <col customWidth="1" min="9" max="9" width="10.56"/>
    <col customWidth="1" min="10" max="10" width="11.11"/>
    <col customWidth="1" min="11" max="11" width="19.0"/>
    <col customWidth="1" min="12" max="12" width="17.78"/>
    <col customWidth="1" min="13" max="13" width="21.33"/>
    <col customWidth="1" min="14" max="14" width="11.11"/>
    <col customWidth="1" min="15" max="17" width="10.56"/>
    <col customWidth="1" min="18" max="18" width="11.11"/>
    <col customWidth="1" min="19" max="19" width="13.0"/>
    <col customWidth="1" min="20" max="20" width="14.78"/>
    <col customWidth="1" min="21" max="21" width="13.11"/>
    <col customWidth="1" min="22" max="22" width="14.33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D9" s="47">
        <v>1.0</v>
      </c>
      <c r="E9" s="47" t="s">
        <v>48</v>
      </c>
      <c r="F9" s="59">
        <v>13500.0</v>
      </c>
      <c r="G9" s="59">
        <f>413.5+18187.23-285</f>
        <v>18315.73</v>
      </c>
      <c r="H9" s="51">
        <f t="shared" ref="H9:H39" si="1">G9-F9</f>
        <v>4815.73</v>
      </c>
      <c r="J9" s="47">
        <v>1.0</v>
      </c>
      <c r="K9" s="47" t="s">
        <v>48</v>
      </c>
      <c r="L9" s="183">
        <v>9000.0</v>
      </c>
      <c r="M9" s="59">
        <f>10518.47-796</f>
        <v>9722.47</v>
      </c>
      <c r="N9" s="51">
        <f t="shared" ref="N9:N39" si="2">M9-L9</f>
        <v>722.47</v>
      </c>
    </row>
    <row r="10" ht="15.75" customHeight="1">
      <c r="D10" s="47">
        <v>2.0</v>
      </c>
      <c r="E10" s="47" t="s">
        <v>41</v>
      </c>
      <c r="F10" s="59">
        <v>20000.0</v>
      </c>
      <c r="G10" s="59">
        <f>21333.75</f>
        <v>21333.75</v>
      </c>
      <c r="H10" s="51">
        <f t="shared" si="1"/>
        <v>1333.75</v>
      </c>
      <c r="J10" s="47">
        <v>2.0</v>
      </c>
      <c r="K10" s="47" t="s">
        <v>41</v>
      </c>
      <c r="L10" s="183">
        <v>14000.0</v>
      </c>
      <c r="M10" s="55">
        <f>19018.44-1368-24</f>
        <v>17626.44</v>
      </c>
      <c r="N10" s="51">
        <f t="shared" si="2"/>
        <v>3626.44</v>
      </c>
    </row>
    <row r="11" ht="15.75" customHeight="1">
      <c r="D11" s="47">
        <v>3.0</v>
      </c>
      <c r="E11" s="47" t="s">
        <v>44</v>
      </c>
      <c r="F11" s="59">
        <v>19500.0</v>
      </c>
      <c r="G11" s="59">
        <f>20375.45</f>
        <v>20375.45</v>
      </c>
      <c r="H11" s="51">
        <f t="shared" si="1"/>
        <v>875.45</v>
      </c>
      <c r="J11" s="47">
        <v>3.0</v>
      </c>
      <c r="K11" s="47" t="s">
        <v>44</v>
      </c>
      <c r="L11" s="183">
        <v>20500.0</v>
      </c>
      <c r="M11" s="55">
        <f>22375.01-1743</f>
        <v>20632.01</v>
      </c>
      <c r="N11" s="51">
        <f t="shared" si="2"/>
        <v>132.01</v>
      </c>
    </row>
    <row r="12" ht="15.75" customHeight="1">
      <c r="D12" s="47">
        <v>4.0</v>
      </c>
      <c r="E12" s="47" t="s">
        <v>45</v>
      </c>
      <c r="F12" s="59">
        <v>3700.0</v>
      </c>
      <c r="G12" s="59">
        <f>4317.78</f>
        <v>4317.78</v>
      </c>
      <c r="H12" s="51">
        <f t="shared" si="1"/>
        <v>617.78</v>
      </c>
      <c r="J12" s="47">
        <v>4.0</v>
      </c>
      <c r="K12" s="47" t="s">
        <v>45</v>
      </c>
      <c r="L12" s="183">
        <v>5400.0</v>
      </c>
      <c r="M12" s="55">
        <f>4778.91-369</f>
        <v>4409.91</v>
      </c>
      <c r="N12" s="51">
        <f t="shared" si="2"/>
        <v>-990.09</v>
      </c>
    </row>
    <row r="13" ht="15.75" customHeight="1">
      <c r="D13" s="47">
        <v>5.0</v>
      </c>
      <c r="E13" s="47" t="s">
        <v>46</v>
      </c>
      <c r="F13" s="59">
        <v>3200.0</v>
      </c>
      <c r="G13" s="59">
        <f>4952.85</f>
        <v>4952.85</v>
      </c>
      <c r="H13" s="51">
        <f t="shared" si="1"/>
        <v>1752.85</v>
      </c>
      <c r="J13" s="47">
        <v>5.0</v>
      </c>
      <c r="K13" s="47" t="s">
        <v>46</v>
      </c>
      <c r="L13" s="183">
        <v>3200.0</v>
      </c>
      <c r="M13" s="55">
        <f>5293.07-391.99</f>
        <v>4901.08</v>
      </c>
      <c r="N13" s="51">
        <f t="shared" si="2"/>
        <v>1701.08</v>
      </c>
    </row>
    <row r="14" ht="15.75" customHeight="1">
      <c r="D14" s="47">
        <v>6.0</v>
      </c>
      <c r="E14" s="47" t="s">
        <v>40</v>
      </c>
      <c r="F14" s="59">
        <v>4500.0</v>
      </c>
      <c r="G14" s="59">
        <f>7137.35</f>
        <v>7137.35</v>
      </c>
      <c r="H14" s="51">
        <f t="shared" si="1"/>
        <v>2637.35</v>
      </c>
      <c r="J14" s="47">
        <v>6.0</v>
      </c>
      <c r="K14" s="47" t="s">
        <v>40</v>
      </c>
      <c r="L14" s="183">
        <v>6000.0</v>
      </c>
      <c r="M14" s="55">
        <f>6225.95-422</f>
        <v>5803.95</v>
      </c>
      <c r="N14" s="51">
        <f t="shared" si="2"/>
        <v>-196.05</v>
      </c>
    </row>
    <row r="15" ht="15.75" customHeight="1">
      <c r="D15" s="47">
        <v>7.0</v>
      </c>
      <c r="E15" s="47" t="s">
        <v>47</v>
      </c>
      <c r="F15" s="59">
        <v>8000.0</v>
      </c>
      <c r="G15" s="59">
        <f>13401.79-510</f>
        <v>12891.79</v>
      </c>
      <c r="H15" s="51">
        <f t="shared" si="1"/>
        <v>4891.79</v>
      </c>
      <c r="J15" s="47">
        <v>7.0</v>
      </c>
      <c r="K15" s="47" t="s">
        <v>47</v>
      </c>
      <c r="L15" s="183">
        <v>6900.0</v>
      </c>
      <c r="M15" s="55">
        <f>7083.93-604.99</f>
        <v>6478.94</v>
      </c>
      <c r="N15" s="51">
        <f t="shared" si="2"/>
        <v>-421.06</v>
      </c>
    </row>
    <row r="16" ht="15.75" customHeight="1">
      <c r="D16" s="47">
        <v>8.0</v>
      </c>
      <c r="E16" s="47" t="s">
        <v>48</v>
      </c>
      <c r="F16" s="59">
        <v>13500.0</v>
      </c>
      <c r="G16" s="59">
        <f>303.8+15526.7-175</f>
        <v>15655.5</v>
      </c>
      <c r="H16" s="51">
        <f t="shared" si="1"/>
        <v>2155.5</v>
      </c>
      <c r="J16" s="47">
        <v>8.0</v>
      </c>
      <c r="K16" s="47" t="s">
        <v>48</v>
      </c>
      <c r="L16" s="183">
        <v>9000.0</v>
      </c>
      <c r="M16" s="55">
        <f>11524.62-971.99</f>
        <v>10552.63</v>
      </c>
      <c r="N16" s="51">
        <f t="shared" si="2"/>
        <v>1552.63</v>
      </c>
    </row>
    <row r="17" ht="15.75" customHeight="1">
      <c r="D17" s="47">
        <v>9.0</v>
      </c>
      <c r="E17" s="47" t="s">
        <v>41</v>
      </c>
      <c r="F17" s="59">
        <v>20000.0</v>
      </c>
      <c r="G17" s="59">
        <f>23570.19</f>
        <v>23570.19</v>
      </c>
      <c r="H17" s="51">
        <f t="shared" si="1"/>
        <v>3570.19</v>
      </c>
      <c r="J17" s="47">
        <v>9.0</v>
      </c>
      <c r="K17" s="47" t="s">
        <v>41</v>
      </c>
      <c r="L17" s="183">
        <v>14000.0</v>
      </c>
      <c r="M17" s="55">
        <f>15818.77-1242</f>
        <v>14576.77</v>
      </c>
      <c r="N17" s="51">
        <f t="shared" si="2"/>
        <v>576.77</v>
      </c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44</v>
      </c>
      <c r="F18" s="59">
        <v>19500.0</v>
      </c>
      <c r="G18" s="59">
        <f>14433.6+2230</f>
        <v>16663.6</v>
      </c>
      <c r="H18" s="51">
        <f t="shared" si="1"/>
        <v>-2836.4</v>
      </c>
      <c r="J18" s="47">
        <v>10.0</v>
      </c>
      <c r="K18" s="47" t="s">
        <v>44</v>
      </c>
      <c r="L18" s="183">
        <v>20500.0</v>
      </c>
      <c r="M18" s="55">
        <f>18737.32-1576</f>
        <v>17161.32</v>
      </c>
      <c r="N18" s="51">
        <f t="shared" si="2"/>
        <v>-3338.68</v>
      </c>
      <c r="S18" s="74" t="s">
        <v>29</v>
      </c>
      <c r="T18" s="75">
        <v>323000.0</v>
      </c>
      <c r="U18" s="2" t="s">
        <v>29</v>
      </c>
      <c r="V18" s="76">
        <v>283000.0</v>
      </c>
    </row>
    <row r="19" ht="15.75" customHeight="1">
      <c r="D19" s="47">
        <v>11.0</v>
      </c>
      <c r="E19" s="47" t="s">
        <v>45</v>
      </c>
      <c r="F19" s="59">
        <v>3700.0</v>
      </c>
      <c r="G19" s="59">
        <f>6798.63</f>
        <v>6798.63</v>
      </c>
      <c r="H19" s="51">
        <f t="shared" si="1"/>
        <v>3098.63</v>
      </c>
      <c r="J19" s="47">
        <v>11.0</v>
      </c>
      <c r="K19" s="47" t="s">
        <v>45</v>
      </c>
      <c r="L19" s="183">
        <v>5400.0</v>
      </c>
      <c r="M19" s="55">
        <f>5010.97-364</f>
        <v>4646.97</v>
      </c>
      <c r="N19" s="51">
        <f t="shared" si="2"/>
        <v>-753.03</v>
      </c>
      <c r="S19" s="74"/>
      <c r="T19" s="2"/>
      <c r="U19" s="2"/>
      <c r="V19" s="77"/>
    </row>
    <row r="20" ht="15.75" customHeight="1">
      <c r="D20" s="47">
        <v>12.0</v>
      </c>
      <c r="E20" s="47" t="s">
        <v>46</v>
      </c>
      <c r="F20" s="59">
        <v>3200.0</v>
      </c>
      <c r="G20" s="59">
        <f>6781.8</f>
        <v>6781.8</v>
      </c>
      <c r="H20" s="51">
        <f t="shared" si="1"/>
        <v>3581.8</v>
      </c>
      <c r="J20" s="47">
        <v>12.0</v>
      </c>
      <c r="K20" s="47" t="s">
        <v>46</v>
      </c>
      <c r="L20" s="183">
        <v>3200.0</v>
      </c>
      <c r="M20" s="55">
        <f>5173.56-397</f>
        <v>4776.56</v>
      </c>
      <c r="N20" s="51">
        <f t="shared" si="2"/>
        <v>1576.56</v>
      </c>
      <c r="S20" s="74" t="s">
        <v>58</v>
      </c>
      <c r="T20" s="75">
        <f>SUM(G9:G15)</f>
        <v>89324.7</v>
      </c>
      <c r="U20" s="58" t="s">
        <v>58</v>
      </c>
      <c r="V20" s="76">
        <f>SUM(M9:M15)</f>
        <v>69574.8</v>
      </c>
    </row>
    <row r="21" ht="15.75" customHeight="1">
      <c r="D21" s="47">
        <v>13.0</v>
      </c>
      <c r="E21" s="47" t="s">
        <v>40</v>
      </c>
      <c r="F21" s="59">
        <v>4500.0</v>
      </c>
      <c r="G21" s="59">
        <f>3453.63</f>
        <v>3453.63</v>
      </c>
      <c r="H21" s="51">
        <f t="shared" si="1"/>
        <v>-1046.37</v>
      </c>
      <c r="J21" s="47">
        <v>13.0</v>
      </c>
      <c r="K21" s="47" t="s">
        <v>40</v>
      </c>
      <c r="L21" s="183">
        <v>6000.0</v>
      </c>
      <c r="M21" s="55">
        <f>6590.71-483</f>
        <v>6107.71</v>
      </c>
      <c r="N21" s="51">
        <f t="shared" si="2"/>
        <v>107.71</v>
      </c>
      <c r="S21" s="74"/>
      <c r="T21" s="79">
        <f>T20/T18</f>
        <v>0.2765470588</v>
      </c>
      <c r="V21" s="80">
        <f>V20/V18</f>
        <v>0.2458473498</v>
      </c>
      <c r="W21" s="66"/>
    </row>
    <row r="22" ht="15.75" customHeight="1">
      <c r="D22" s="47">
        <v>14.0</v>
      </c>
      <c r="E22" s="47" t="s">
        <v>47</v>
      </c>
      <c r="F22" s="59">
        <v>8000.0</v>
      </c>
      <c r="G22" s="59">
        <v>10664.4</v>
      </c>
      <c r="H22" s="51">
        <f t="shared" si="1"/>
        <v>2664.4</v>
      </c>
      <c r="J22" s="47">
        <v>14.0</v>
      </c>
      <c r="K22" s="47" t="s">
        <v>47</v>
      </c>
      <c r="L22" s="183">
        <v>6900.0</v>
      </c>
      <c r="M22" s="55">
        <f>10554.11-786.99+141.01</f>
        <v>9908.13</v>
      </c>
      <c r="N22" s="51">
        <f t="shared" si="2"/>
        <v>3008.13</v>
      </c>
      <c r="S22" s="74"/>
      <c r="T22" s="81"/>
      <c r="V22" s="77"/>
    </row>
    <row r="23" ht="15.75" customHeight="1">
      <c r="D23" s="47">
        <v>15.0</v>
      </c>
      <c r="E23" s="47" t="s">
        <v>48</v>
      </c>
      <c r="F23" s="59">
        <v>13500.0</v>
      </c>
      <c r="G23" s="59">
        <f>158.5+13484.55-150</f>
        <v>13493.05</v>
      </c>
      <c r="H23" s="51">
        <f t="shared" si="1"/>
        <v>-6.95</v>
      </c>
      <c r="J23" s="47">
        <v>15.0</v>
      </c>
      <c r="K23" s="47" t="s">
        <v>48</v>
      </c>
      <c r="L23" s="183">
        <v>9000.0</v>
      </c>
      <c r="M23" s="55">
        <f>15623.43-1285</f>
        <v>14338.43</v>
      </c>
      <c r="N23" s="51">
        <f t="shared" si="2"/>
        <v>5338.43</v>
      </c>
      <c r="S23" s="74" t="s">
        <v>62</v>
      </c>
      <c r="T23" s="75">
        <f>SUM(G16:G22)</f>
        <v>83587.75</v>
      </c>
      <c r="U23" s="58" t="s">
        <v>62</v>
      </c>
      <c r="V23" s="76">
        <f>SUM(M16:M22)</f>
        <v>67730.09</v>
      </c>
    </row>
    <row r="24" ht="15.75" customHeight="1">
      <c r="D24" s="47">
        <v>16.0</v>
      </c>
      <c r="E24" s="47" t="s">
        <v>41</v>
      </c>
      <c r="F24" s="59">
        <v>20000.0</v>
      </c>
      <c r="G24" s="59">
        <f>19377.84</f>
        <v>19377.84</v>
      </c>
      <c r="H24" s="51">
        <f t="shared" si="1"/>
        <v>-622.16</v>
      </c>
      <c r="J24" s="47">
        <v>16.0</v>
      </c>
      <c r="K24" s="47" t="s">
        <v>41</v>
      </c>
      <c r="L24" s="183">
        <v>14000.0</v>
      </c>
      <c r="M24" s="55">
        <f>14365.33-540.99</f>
        <v>13824.34</v>
      </c>
      <c r="N24" s="51">
        <f t="shared" si="2"/>
        <v>-175.66</v>
      </c>
      <c r="S24" s="74"/>
      <c r="T24" s="79">
        <f>T23/T18</f>
        <v>0.2587856037</v>
      </c>
      <c r="V24" s="80">
        <f>V23/V18</f>
        <v>0.2393289399</v>
      </c>
    </row>
    <row r="25" ht="15.75" customHeight="1">
      <c r="D25" s="47">
        <v>17.0</v>
      </c>
      <c r="E25" s="47" t="s">
        <v>44</v>
      </c>
      <c r="F25" s="59">
        <v>19500.0</v>
      </c>
      <c r="G25" s="59">
        <f>20142.05</f>
        <v>20142.05</v>
      </c>
      <c r="H25" s="51">
        <f t="shared" si="1"/>
        <v>642.05</v>
      </c>
      <c r="J25" s="47">
        <v>17.0</v>
      </c>
      <c r="K25" s="47" t="s">
        <v>44</v>
      </c>
      <c r="L25" s="183">
        <v>20500.0</v>
      </c>
      <c r="M25" s="55">
        <f>21065.74-1504</f>
        <v>19561.74</v>
      </c>
      <c r="N25" s="51">
        <f t="shared" si="2"/>
        <v>-938.26</v>
      </c>
      <c r="S25" s="74"/>
      <c r="T25" s="81"/>
      <c r="V25" s="77"/>
    </row>
    <row r="26" ht="15.75" customHeight="1">
      <c r="D26" s="47">
        <v>18.0</v>
      </c>
      <c r="E26" s="47" t="s">
        <v>45</v>
      </c>
      <c r="F26" s="59">
        <v>3700.0</v>
      </c>
      <c r="G26" s="59">
        <f>4466.87</f>
        <v>4466.87</v>
      </c>
      <c r="H26" s="51">
        <f t="shared" si="1"/>
        <v>766.87</v>
      </c>
      <c r="J26" s="47">
        <v>18.0</v>
      </c>
      <c r="K26" s="47" t="s">
        <v>45</v>
      </c>
      <c r="L26" s="183">
        <v>5400.0</v>
      </c>
      <c r="M26" s="55">
        <f>4855.43-422</f>
        <v>4433.43</v>
      </c>
      <c r="N26" s="51">
        <f t="shared" si="2"/>
        <v>-966.57</v>
      </c>
      <c r="S26" s="74" t="s">
        <v>63</v>
      </c>
      <c r="T26" s="75">
        <f>SUM(G23:G29)</f>
        <v>81348.51</v>
      </c>
      <c r="U26" s="58" t="s">
        <v>63</v>
      </c>
      <c r="V26" s="76">
        <f>SUM(M23:M29)</f>
        <v>78394.69</v>
      </c>
    </row>
    <row r="27" ht="15.75" customHeight="1">
      <c r="D27" s="47">
        <v>19.0</v>
      </c>
      <c r="E27" s="47" t="s">
        <v>46</v>
      </c>
      <c r="F27" s="59">
        <v>3100.0</v>
      </c>
      <c r="G27" s="59">
        <f>72+8240.5</f>
        <v>8312.5</v>
      </c>
      <c r="H27" s="51">
        <f t="shared" si="1"/>
        <v>5212.5</v>
      </c>
      <c r="J27" s="47">
        <v>19.0</v>
      </c>
      <c r="K27" s="47" t="s">
        <v>46</v>
      </c>
      <c r="L27" s="183">
        <v>3200.0</v>
      </c>
      <c r="M27" s="55">
        <f>11405.83-916.99</f>
        <v>10488.84</v>
      </c>
      <c r="N27" s="51">
        <f t="shared" si="2"/>
        <v>7288.84</v>
      </c>
      <c r="S27" s="74"/>
      <c r="T27" s="79">
        <f>T26/T18</f>
        <v>0.2518529721</v>
      </c>
      <c r="V27" s="80">
        <f>V26/V18</f>
        <v>0.2770130389</v>
      </c>
    </row>
    <row r="28" ht="15.75" customHeight="1">
      <c r="D28" s="47">
        <v>20.0</v>
      </c>
      <c r="E28" s="47" t="s">
        <v>40</v>
      </c>
      <c r="F28" s="59">
        <v>4500.0</v>
      </c>
      <c r="G28" s="59">
        <f>11723.2</f>
        <v>11723.2</v>
      </c>
      <c r="H28" s="51">
        <f t="shared" si="1"/>
        <v>7223.2</v>
      </c>
      <c r="J28" s="47">
        <v>20.0</v>
      </c>
      <c r="K28" s="47" t="s">
        <v>40</v>
      </c>
      <c r="L28" s="183">
        <v>6000.0</v>
      </c>
      <c r="M28" s="55">
        <f>11689.51-943.99</f>
        <v>10745.52</v>
      </c>
      <c r="N28" s="51">
        <f t="shared" si="2"/>
        <v>4745.52</v>
      </c>
      <c r="S28" s="74"/>
      <c r="V28" s="82"/>
    </row>
    <row r="29" ht="15.75" customHeight="1">
      <c r="D29" s="47">
        <v>21.0</v>
      </c>
      <c r="E29" s="47" t="s">
        <v>47</v>
      </c>
      <c r="F29" s="59">
        <v>8000.0</v>
      </c>
      <c r="G29" s="59">
        <f>3833</f>
        <v>3833</v>
      </c>
      <c r="H29" s="51">
        <f t="shared" si="1"/>
        <v>-4167</v>
      </c>
      <c r="J29" s="47">
        <v>21.0</v>
      </c>
      <c r="K29" s="47" t="s">
        <v>47</v>
      </c>
      <c r="L29" s="183">
        <v>6900.0</v>
      </c>
      <c r="M29" s="55">
        <f>5446.39-444</f>
        <v>5002.39</v>
      </c>
      <c r="N29" s="51">
        <f t="shared" si="2"/>
        <v>-1897.61</v>
      </c>
      <c r="S29" s="74" t="s">
        <v>64</v>
      </c>
      <c r="T29" s="61">
        <f>SUM(G30:G36)</f>
        <v>92462.01</v>
      </c>
      <c r="U29" s="58" t="s">
        <v>64</v>
      </c>
      <c r="V29" s="83">
        <f>SUM(M30:M36)</f>
        <v>63423.41</v>
      </c>
    </row>
    <row r="30" ht="15.75" customHeight="1">
      <c r="D30" s="47">
        <v>22.0</v>
      </c>
      <c r="E30" s="47" t="s">
        <v>48</v>
      </c>
      <c r="F30" s="59">
        <v>13500.0</v>
      </c>
      <c r="G30" s="59">
        <f>17010.05-120</f>
        <v>16890.05</v>
      </c>
      <c r="H30" s="51">
        <f t="shared" si="1"/>
        <v>3390.05</v>
      </c>
      <c r="J30" s="47">
        <v>22.0</v>
      </c>
      <c r="K30" s="47" t="s">
        <v>48</v>
      </c>
      <c r="L30" s="183">
        <v>9000.0</v>
      </c>
      <c r="M30" s="55">
        <f>10391.17-823.99</f>
        <v>9567.18</v>
      </c>
      <c r="N30" s="51">
        <f t="shared" si="2"/>
        <v>567.18</v>
      </c>
      <c r="S30" s="74"/>
      <c r="T30" s="79">
        <f>T29/T18</f>
        <v>0.2862600929</v>
      </c>
      <c r="V30" s="80">
        <f>V29/V18</f>
        <v>0.2241109894</v>
      </c>
    </row>
    <row r="31" ht="15.75" customHeight="1">
      <c r="D31" s="47">
        <v>23.0</v>
      </c>
      <c r="E31" s="47" t="s">
        <v>41</v>
      </c>
      <c r="F31" s="59">
        <v>20000.0</v>
      </c>
      <c r="G31" s="59">
        <f>16260.95</f>
        <v>16260.95</v>
      </c>
      <c r="H31" s="51">
        <f t="shared" si="1"/>
        <v>-3739.05</v>
      </c>
      <c r="J31" s="47">
        <v>23.0</v>
      </c>
      <c r="K31" s="47" t="s">
        <v>41</v>
      </c>
      <c r="L31" s="183">
        <v>14000.0</v>
      </c>
      <c r="M31" s="55">
        <f>14457.67-1188</f>
        <v>13269.67</v>
      </c>
      <c r="N31" s="51">
        <f t="shared" si="2"/>
        <v>-730.33</v>
      </c>
      <c r="S31" s="74" t="s">
        <v>65</v>
      </c>
      <c r="T31" s="61">
        <f>SUM(G37:G38)</f>
        <v>43261.42</v>
      </c>
      <c r="U31" s="58" t="s">
        <v>65</v>
      </c>
      <c r="V31" s="83">
        <f>SUM(M37:M38)</f>
        <v>22715.9</v>
      </c>
    </row>
    <row r="32" ht="15.75" customHeight="1">
      <c r="D32" s="47">
        <v>24.0</v>
      </c>
      <c r="E32" s="47" t="s">
        <v>44</v>
      </c>
      <c r="F32" s="59">
        <v>19500.0</v>
      </c>
      <c r="G32" s="59">
        <f>20441.5</f>
        <v>20441.5</v>
      </c>
      <c r="H32" s="51">
        <f t="shared" si="1"/>
        <v>941.5</v>
      </c>
      <c r="J32" s="47">
        <v>24.0</v>
      </c>
      <c r="K32" s="47" t="s">
        <v>44</v>
      </c>
      <c r="L32" s="183">
        <v>20500.0</v>
      </c>
      <c r="M32" s="59">
        <f>24400.04-1896</f>
        <v>22504.04</v>
      </c>
      <c r="N32" s="51">
        <f t="shared" si="2"/>
        <v>2004.04</v>
      </c>
      <c r="S32" s="84" t="s">
        <v>155</v>
      </c>
      <c r="T32" s="85">
        <f>T31/T18</f>
        <v>0.1339362848</v>
      </c>
      <c r="U32" s="84" t="s">
        <v>155</v>
      </c>
      <c r="V32" s="87">
        <f>V31/V18</f>
        <v>0.08026819788</v>
      </c>
    </row>
    <row r="33" ht="15.75" customHeight="1">
      <c r="D33" s="47">
        <v>25.0</v>
      </c>
      <c r="E33" s="47" t="s">
        <v>45</v>
      </c>
      <c r="F33" s="59">
        <v>3700.0</v>
      </c>
      <c r="G33" s="59">
        <f>549+11695.55</f>
        <v>12244.55</v>
      </c>
      <c r="H33" s="51">
        <f t="shared" si="1"/>
        <v>8544.55</v>
      </c>
      <c r="J33" s="47">
        <v>25.0</v>
      </c>
      <c r="K33" s="47" t="s">
        <v>45</v>
      </c>
      <c r="L33" s="183">
        <v>5400.0</v>
      </c>
      <c r="M33" s="55">
        <f>3861.59-313</f>
        <v>3548.59</v>
      </c>
      <c r="N33" s="51">
        <f t="shared" si="2"/>
        <v>-1851.41</v>
      </c>
    </row>
    <row r="34" ht="15.75" customHeight="1">
      <c r="D34" s="47">
        <v>26.0</v>
      </c>
      <c r="E34" s="47" t="s">
        <v>46</v>
      </c>
      <c r="F34" s="59">
        <v>3200.0</v>
      </c>
      <c r="G34" s="59">
        <f>8238.35</f>
        <v>8238.35</v>
      </c>
      <c r="H34" s="51">
        <f t="shared" si="1"/>
        <v>5038.35</v>
      </c>
      <c r="J34" s="47">
        <v>26.0</v>
      </c>
      <c r="K34" s="47" t="s">
        <v>46</v>
      </c>
      <c r="L34" s="183">
        <v>3200.0</v>
      </c>
      <c r="M34" s="55">
        <f>6791.27-461</f>
        <v>6330.27</v>
      </c>
      <c r="N34" s="51">
        <f t="shared" si="2"/>
        <v>3130.27</v>
      </c>
      <c r="R34" s="92" t="s">
        <v>72</v>
      </c>
      <c r="S34" s="93" t="s">
        <v>73</v>
      </c>
      <c r="T34" s="94">
        <f>T20+T23+T26+T29+T31</f>
        <v>389984.39</v>
      </c>
      <c r="U34" s="164" t="s">
        <v>74</v>
      </c>
      <c r="V34" s="96">
        <f>V20+V23+V26+V29+V31</f>
        <v>301838.89</v>
      </c>
      <c r="W34" s="92" t="s">
        <v>72</v>
      </c>
    </row>
    <row r="35" ht="15.75" customHeight="1">
      <c r="D35" s="47">
        <v>27.0</v>
      </c>
      <c r="E35" s="47" t="s">
        <v>40</v>
      </c>
      <c r="F35" s="59">
        <v>4500.0</v>
      </c>
      <c r="G35" s="59">
        <f>84+8892.76</f>
        <v>8976.76</v>
      </c>
      <c r="H35" s="51">
        <f t="shared" si="1"/>
        <v>4476.76</v>
      </c>
      <c r="J35" s="47">
        <v>27.0</v>
      </c>
      <c r="K35" s="47" t="s">
        <v>40</v>
      </c>
      <c r="L35" s="183">
        <v>6000.0</v>
      </c>
      <c r="M35" s="55">
        <f>5649.74-503</f>
        <v>5146.74</v>
      </c>
      <c r="N35" s="51">
        <f t="shared" si="2"/>
        <v>-853.26</v>
      </c>
      <c r="R35" s="97">
        <f>T35-U35</f>
        <v>0.2073820124</v>
      </c>
      <c r="S35" s="98"/>
      <c r="T35" s="99">
        <f>T34/T18</f>
        <v>1.207382012</v>
      </c>
      <c r="U35" s="181">
        <f>30/30</f>
        <v>1</v>
      </c>
      <c r="V35" s="100">
        <f>V34/V18</f>
        <v>1.066568516</v>
      </c>
      <c r="W35" s="97">
        <f>V35-U35</f>
        <v>0.0665685159</v>
      </c>
    </row>
    <row r="36" ht="15.75" customHeight="1">
      <c r="D36" s="47">
        <v>28.0</v>
      </c>
      <c r="E36" s="47" t="s">
        <v>47</v>
      </c>
      <c r="F36" s="59">
        <v>8000.0</v>
      </c>
      <c r="G36" s="59">
        <f>9409.85</f>
        <v>9409.85</v>
      </c>
      <c r="H36" s="51">
        <f t="shared" si="1"/>
        <v>1409.85</v>
      </c>
      <c r="J36" s="47">
        <v>28.0</v>
      </c>
      <c r="K36" s="47" t="s">
        <v>47</v>
      </c>
      <c r="L36" s="183">
        <v>6900.0</v>
      </c>
      <c r="M36" s="55">
        <f>3354.92-298</f>
        <v>3056.92</v>
      </c>
      <c r="N36" s="51">
        <f t="shared" si="2"/>
        <v>-3843.08</v>
      </c>
      <c r="S36" s="98" t="s">
        <v>76</v>
      </c>
      <c r="T36" s="104">
        <f>T18-T34</f>
        <v>-66984.39</v>
      </c>
      <c r="U36" s="99"/>
      <c r="V36" s="106">
        <f>V18-V34</f>
        <v>-18838.89</v>
      </c>
    </row>
    <row r="37" ht="15.75" customHeight="1">
      <c r="D37" s="47">
        <v>29.0</v>
      </c>
      <c r="E37" s="47" t="s">
        <v>48</v>
      </c>
      <c r="F37" s="59">
        <v>13500.0</v>
      </c>
      <c r="G37" s="59">
        <f>20179.19</f>
        <v>20179.19</v>
      </c>
      <c r="H37" s="51">
        <f t="shared" si="1"/>
        <v>6679.19</v>
      </c>
      <c r="J37" s="47">
        <v>29.0</v>
      </c>
      <c r="K37" s="47" t="s">
        <v>48</v>
      </c>
      <c r="L37" s="183">
        <v>9000.0</v>
      </c>
      <c r="M37" s="55">
        <f>11441.57-938</f>
        <v>10503.57</v>
      </c>
      <c r="N37" s="51">
        <f t="shared" si="2"/>
        <v>1503.57</v>
      </c>
      <c r="S37" s="110"/>
      <c r="T37" s="112">
        <f>T36/T18</f>
        <v>-0.2073820124</v>
      </c>
      <c r="U37" s="112"/>
      <c r="V37" s="113">
        <f>V36/V18</f>
        <v>-0.0665685159</v>
      </c>
    </row>
    <row r="38" ht="15.75" customHeight="1">
      <c r="D38" s="47">
        <v>30.0</v>
      </c>
      <c r="E38" s="47" t="s">
        <v>41</v>
      </c>
      <c r="F38" s="59">
        <v>20000.0</v>
      </c>
      <c r="G38" s="59">
        <v>23082.23</v>
      </c>
      <c r="H38" s="51">
        <f t="shared" si="1"/>
        <v>3082.23</v>
      </c>
      <c r="J38" s="47">
        <v>30.0</v>
      </c>
      <c r="K38" s="47" t="s">
        <v>41</v>
      </c>
      <c r="L38" s="183">
        <v>14000.0</v>
      </c>
      <c r="M38" s="55">
        <f>13206.33-994</f>
        <v>12212.33</v>
      </c>
      <c r="N38" s="51">
        <f t="shared" si="2"/>
        <v>-1787.67</v>
      </c>
    </row>
    <row r="39" ht="15.75" customHeight="1">
      <c r="D39" s="47"/>
      <c r="E39" s="47"/>
      <c r="F39" s="59"/>
      <c r="G39" s="59"/>
      <c r="H39" s="51">
        <f t="shared" si="1"/>
        <v>0</v>
      </c>
      <c r="J39" s="47"/>
      <c r="K39" s="47"/>
      <c r="L39" s="183"/>
      <c r="M39" s="55"/>
      <c r="N39" s="51">
        <f t="shared" si="2"/>
        <v>0</v>
      </c>
    </row>
    <row r="40" ht="15.75" customHeight="1">
      <c r="D40" s="8"/>
      <c r="E40" s="8"/>
      <c r="F40" s="107">
        <f t="shared" ref="F40:H40" si="3">SUM(F9:F39)</f>
        <v>323000</v>
      </c>
      <c r="G40" s="107">
        <f t="shared" si="3"/>
        <v>389984.39</v>
      </c>
      <c r="H40" s="105">
        <f t="shared" si="3"/>
        <v>66984.39</v>
      </c>
      <c r="J40" s="8"/>
      <c r="K40" s="8"/>
      <c r="L40" s="107">
        <f t="shared" ref="L40:N40" si="4">SUM(L9:L39)</f>
        <v>283000</v>
      </c>
      <c r="M40" s="107">
        <f t="shared" si="4"/>
        <v>301838.89</v>
      </c>
      <c r="N40" s="105">
        <f t="shared" si="4"/>
        <v>18838.89</v>
      </c>
    </row>
    <row r="41" ht="15.75" customHeight="1">
      <c r="G41" s="114">
        <f>G40/E44</f>
        <v>1.207382012</v>
      </c>
      <c r="H41" s="1"/>
      <c r="J41" s="1"/>
      <c r="K41" s="1"/>
      <c r="L41" s="1"/>
      <c r="M41" s="114">
        <f>M40/K44</f>
        <v>1.066568516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389984.39</v>
      </c>
      <c r="L43" s="115" t="s">
        <v>77</v>
      </c>
      <c r="M43" s="118">
        <f>L40+N40</f>
        <v>301838.89</v>
      </c>
    </row>
    <row r="44" ht="15.75" customHeight="1">
      <c r="D44" s="122" t="s">
        <v>29</v>
      </c>
      <c r="E44" s="124">
        <v>323000.0</v>
      </c>
      <c r="F44" s="2"/>
      <c r="G44" s="2"/>
      <c r="J44" s="126" t="s">
        <v>29</v>
      </c>
      <c r="K44" s="124">
        <v>283000.0</v>
      </c>
      <c r="L44" s="2"/>
      <c r="M44" s="2"/>
    </row>
    <row r="45" ht="15.75" customHeight="1"/>
    <row r="46" ht="15.75" customHeight="1"/>
    <row r="47" ht="15.75" customHeight="1"/>
    <row r="48" ht="15.75" customHeight="1">
      <c r="J48" s="121">
        <f>G40+M40</f>
        <v>691823.28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4:H6"/>
    <mergeCell ref="J4:N6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9.44"/>
    <col customWidth="1" min="5" max="6" width="18.44"/>
    <col customWidth="1" min="7" max="7" width="11.44"/>
    <col customWidth="1" min="8" max="8" width="10.56"/>
    <col customWidth="1" min="9" max="9" width="11.11"/>
    <col customWidth="1" min="10" max="10" width="19.44"/>
    <col customWidth="1" min="11" max="12" width="18.67"/>
    <col customWidth="1" min="13" max="13" width="11.44"/>
    <col customWidth="1" min="14" max="16" width="10.56"/>
    <col customWidth="1" min="17" max="18" width="16.44"/>
    <col customWidth="1" min="19" max="19" width="15.11"/>
    <col customWidth="1" min="20" max="20" width="14.0"/>
    <col customWidth="1" min="21" max="22" width="10.56"/>
    <col customWidth="1" min="23" max="23" width="15.11"/>
    <col customWidth="1" min="24" max="24" width="15.33"/>
    <col customWidth="1" min="25" max="25" width="7.78"/>
    <col customWidth="1" hidden="1" min="26" max="26" width="10.78"/>
    <col customWidth="1" min="27" max="27" width="15.33"/>
    <col customWidth="1" min="28" max="28" width="17.11"/>
    <col customWidth="1" min="29" max="29" width="23.78"/>
    <col customWidth="1" min="30" max="30" width="10.56"/>
    <col customWidth="1" min="31" max="31" width="13.0"/>
    <col customWidth="1" min="32" max="32" width="16.78"/>
    <col customWidth="1" min="33" max="33" width="21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  <c r="O3" s="15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AG5" s="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Z6" s="1"/>
      <c r="AA6" s="1"/>
      <c r="AB6" s="1"/>
      <c r="AC6" s="1"/>
      <c r="AD6" s="1"/>
      <c r="AE6" s="1"/>
      <c r="AF6" s="1"/>
      <c r="AG6" s="8"/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Q7" s="1"/>
      <c r="R7" s="3"/>
      <c r="S7" s="3"/>
      <c r="U7" s="1"/>
      <c r="V7" s="3"/>
      <c r="Z7" s="1"/>
      <c r="AA7" s="137" t="s">
        <v>147</v>
      </c>
      <c r="AB7" s="41"/>
      <c r="AC7" s="6"/>
      <c r="AE7" s="137" t="s">
        <v>148</v>
      </c>
      <c r="AF7" s="41"/>
      <c r="AG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1"/>
      <c r="R8" s="1"/>
      <c r="S8" s="3"/>
      <c r="T8" s="3"/>
      <c r="Z8" s="1"/>
      <c r="AA8" s="44" t="s">
        <v>32</v>
      </c>
      <c r="AB8" s="44" t="s">
        <v>33</v>
      </c>
      <c r="AC8" s="138" t="s">
        <v>149</v>
      </c>
      <c r="AE8" s="44" t="s">
        <v>32</v>
      </c>
      <c r="AF8" s="44" t="s">
        <v>33</v>
      </c>
      <c r="AG8" s="138" t="s">
        <v>150</v>
      </c>
    </row>
    <row r="9" ht="15.75" customHeight="1">
      <c r="C9" s="47">
        <v>1.0</v>
      </c>
      <c r="D9" s="47" t="s">
        <v>48</v>
      </c>
      <c r="E9" s="59">
        <v>13500.0</v>
      </c>
      <c r="F9" s="59">
        <f>413.5+18187.23-285</f>
        <v>18315.73</v>
      </c>
      <c r="G9" s="51">
        <f t="shared" ref="G9:G39" si="1">F9-E9</f>
        <v>4815.73</v>
      </c>
      <c r="I9" s="47">
        <v>1.0</v>
      </c>
      <c r="J9" s="47" t="s">
        <v>48</v>
      </c>
      <c r="K9" s="183">
        <v>9000.0</v>
      </c>
      <c r="L9" s="59">
        <f>10518.47-796</f>
        <v>9722.47</v>
      </c>
      <c r="M9" s="51">
        <f t="shared" ref="M9:M39" si="2">L9-K9</f>
        <v>722.47</v>
      </c>
      <c r="Q9" s="139" t="s">
        <v>93</v>
      </c>
      <c r="R9" s="41"/>
      <c r="S9" s="41"/>
      <c r="T9" s="6"/>
      <c r="V9" s="139" t="s">
        <v>5</v>
      </c>
      <c r="W9" s="41"/>
      <c r="X9" s="6"/>
      <c r="Z9" s="1"/>
      <c r="AA9" s="47">
        <v>1.0</v>
      </c>
      <c r="AB9" s="47" t="s">
        <v>44</v>
      </c>
      <c r="AC9" s="55">
        <v>26681.7</v>
      </c>
      <c r="AE9" s="47">
        <v>1.0</v>
      </c>
      <c r="AF9" s="47" t="s">
        <v>44</v>
      </c>
      <c r="AG9" s="13">
        <f>21428.94-1609.49</f>
        <v>19819.45</v>
      </c>
    </row>
    <row r="10" ht="15.75" customHeight="1">
      <c r="C10" s="47">
        <v>2.0</v>
      </c>
      <c r="D10" s="47" t="s">
        <v>41</v>
      </c>
      <c r="E10" s="59">
        <v>20000.0</v>
      </c>
      <c r="F10" s="59">
        <f>21333.75</f>
        <v>21333.75</v>
      </c>
      <c r="G10" s="51">
        <f t="shared" si="1"/>
        <v>1333.75</v>
      </c>
      <c r="I10" s="47">
        <v>2.0</v>
      </c>
      <c r="J10" s="47" t="s">
        <v>41</v>
      </c>
      <c r="K10" s="183">
        <v>14000.0</v>
      </c>
      <c r="L10" s="55">
        <f>19018.44-1368-24</f>
        <v>17626.44</v>
      </c>
      <c r="M10" s="51">
        <f t="shared" si="2"/>
        <v>3626.44</v>
      </c>
      <c r="Q10" s="140"/>
      <c r="R10" s="141">
        <v>45231.0</v>
      </c>
      <c r="S10" s="141">
        <v>45261.0</v>
      </c>
      <c r="T10" s="142" t="s">
        <v>90</v>
      </c>
      <c r="V10" s="140"/>
      <c r="W10" s="141">
        <v>45597.0</v>
      </c>
      <c r="X10" s="141" t="s">
        <v>151</v>
      </c>
      <c r="Z10" s="1"/>
      <c r="AA10" s="47">
        <v>2.0</v>
      </c>
      <c r="AB10" s="47" t="s">
        <v>45</v>
      </c>
      <c r="AC10" s="59">
        <v>17546.8434524277</v>
      </c>
      <c r="AE10" s="47">
        <v>2.0</v>
      </c>
      <c r="AF10" s="47" t="s">
        <v>45</v>
      </c>
      <c r="AG10" s="55">
        <v>8023.507520245363</v>
      </c>
    </row>
    <row r="11" ht="15.75" customHeight="1">
      <c r="C11" s="47">
        <v>3.0</v>
      </c>
      <c r="D11" s="47" t="s">
        <v>44</v>
      </c>
      <c r="E11" s="59">
        <v>19500.0</v>
      </c>
      <c r="F11" s="59">
        <f>20375.45</f>
        <v>20375.45</v>
      </c>
      <c r="G11" s="51">
        <f t="shared" si="1"/>
        <v>875.45</v>
      </c>
      <c r="I11" s="47">
        <v>3.0</v>
      </c>
      <c r="J11" s="47" t="s">
        <v>44</v>
      </c>
      <c r="K11" s="183">
        <v>20500.0</v>
      </c>
      <c r="L11" s="55">
        <f>22375.01-1743</f>
        <v>20632.01</v>
      </c>
      <c r="M11" s="51">
        <f t="shared" si="2"/>
        <v>132.01</v>
      </c>
      <c r="Q11" s="140" t="s">
        <v>6</v>
      </c>
      <c r="R11" s="55">
        <f>5295.04</f>
        <v>5295.04</v>
      </c>
      <c r="S11" s="55">
        <v>9973.6</v>
      </c>
      <c r="T11" s="143">
        <f t="shared" ref="T11:T17" si="3">S11/R11-1</f>
        <v>0.8835740618</v>
      </c>
      <c r="V11" s="140" t="s">
        <v>6</v>
      </c>
      <c r="W11" s="55">
        <f t="shared" ref="W11:W14" si="4">AVERAGE(L12,L19,L26,L33)</f>
        <v>4259.725</v>
      </c>
      <c r="X11" s="144">
        <f t="shared" ref="X11:X17" si="5">W11*T11+W11</f>
        <v>8023.50752</v>
      </c>
      <c r="Z11" s="1"/>
      <c r="AA11" s="47">
        <v>3.0</v>
      </c>
      <c r="AB11" s="47" t="s">
        <v>46</v>
      </c>
      <c r="AC11" s="59">
        <v>22379.922745619275</v>
      </c>
      <c r="AE11" s="47">
        <v>3.0</v>
      </c>
      <c r="AF11" s="47" t="s">
        <v>46</v>
      </c>
      <c r="AG11" s="55">
        <v>8594.592599697828</v>
      </c>
    </row>
    <row r="12" ht="15.75" customHeight="1">
      <c r="C12" s="47">
        <v>4.0</v>
      </c>
      <c r="D12" s="47" t="s">
        <v>45</v>
      </c>
      <c r="E12" s="59">
        <v>3700.0</v>
      </c>
      <c r="F12" s="59">
        <f>4317.78</f>
        <v>4317.78</v>
      </c>
      <c r="G12" s="51">
        <f t="shared" si="1"/>
        <v>617.78</v>
      </c>
      <c r="I12" s="47">
        <v>4.0</v>
      </c>
      <c r="J12" s="47" t="s">
        <v>45</v>
      </c>
      <c r="K12" s="183">
        <v>5400.0</v>
      </c>
      <c r="L12" s="55">
        <f>4778.91-369</f>
        <v>4409.91</v>
      </c>
      <c r="M12" s="51">
        <f t="shared" si="2"/>
        <v>-990.09</v>
      </c>
      <c r="Q12" s="140" t="s">
        <v>10</v>
      </c>
      <c r="R12" s="55">
        <v>4189.66</v>
      </c>
      <c r="S12" s="55">
        <v>5435.9</v>
      </c>
      <c r="T12" s="143">
        <f t="shared" si="3"/>
        <v>0.2974561182</v>
      </c>
      <c r="V12" s="140" t="s">
        <v>10</v>
      </c>
      <c r="W12" s="55">
        <f t="shared" si="4"/>
        <v>6624.1875</v>
      </c>
      <c r="X12" s="144">
        <f t="shared" si="5"/>
        <v>8594.5926</v>
      </c>
      <c r="Z12" s="1"/>
      <c r="AA12" s="47">
        <v>4.0</v>
      </c>
      <c r="AB12" s="47" t="s">
        <v>40</v>
      </c>
      <c r="AC12" s="59">
        <v>17711.008280300433</v>
      </c>
      <c r="AE12" s="47">
        <v>4.0</v>
      </c>
      <c r="AF12" s="47" t="s">
        <v>40</v>
      </c>
      <c r="AG12" s="55">
        <v>7971.200389968266</v>
      </c>
    </row>
    <row r="13" ht="15.75" customHeight="1">
      <c r="C13" s="47">
        <v>5.0</v>
      </c>
      <c r="D13" s="47" t="s">
        <v>46</v>
      </c>
      <c r="E13" s="59">
        <v>3200.0</v>
      </c>
      <c r="F13" s="59">
        <f>4952.85</f>
        <v>4952.85</v>
      </c>
      <c r="G13" s="51">
        <f t="shared" si="1"/>
        <v>1752.85</v>
      </c>
      <c r="I13" s="47">
        <v>5.0</v>
      </c>
      <c r="J13" s="47" t="s">
        <v>46</v>
      </c>
      <c r="K13" s="183">
        <v>3200.0</v>
      </c>
      <c r="L13" s="55">
        <f>5293.07-391.99</f>
        <v>4901.08</v>
      </c>
      <c r="M13" s="51">
        <f t="shared" si="2"/>
        <v>1701.08</v>
      </c>
      <c r="Q13" s="140" t="s">
        <v>12</v>
      </c>
      <c r="R13" s="55">
        <v>5312.74</v>
      </c>
      <c r="S13" s="55">
        <f>6092.51</f>
        <v>6092.51</v>
      </c>
      <c r="T13" s="143">
        <f t="shared" si="3"/>
        <v>0.1467736046</v>
      </c>
      <c r="V13" s="140" t="s">
        <v>12</v>
      </c>
      <c r="W13" s="55">
        <f t="shared" si="4"/>
        <v>6950.98</v>
      </c>
      <c r="X13" s="144">
        <f t="shared" si="5"/>
        <v>7971.20039</v>
      </c>
      <c r="Y13" s="61"/>
      <c r="Z13" s="1"/>
      <c r="AA13" s="47">
        <v>5.0</v>
      </c>
      <c r="AB13" s="47" t="s">
        <v>47</v>
      </c>
      <c r="AC13" s="59">
        <v>16224.861808540449</v>
      </c>
      <c r="AE13" s="47">
        <v>5.0</v>
      </c>
      <c r="AF13" s="47" t="s">
        <v>47</v>
      </c>
      <c r="AG13" s="55">
        <v>6512.39394377647</v>
      </c>
    </row>
    <row r="14" ht="15.75" customHeight="1">
      <c r="C14" s="47">
        <v>6.0</v>
      </c>
      <c r="D14" s="47" t="s">
        <v>40</v>
      </c>
      <c r="E14" s="59">
        <v>4500.0</v>
      </c>
      <c r="F14" s="59">
        <f>7137.35</f>
        <v>7137.35</v>
      </c>
      <c r="G14" s="51">
        <f t="shared" si="1"/>
        <v>2637.35</v>
      </c>
      <c r="I14" s="47">
        <v>6.0</v>
      </c>
      <c r="J14" s="47" t="s">
        <v>40</v>
      </c>
      <c r="K14" s="183">
        <v>6000.0</v>
      </c>
      <c r="L14" s="55">
        <f>6225.95-422</f>
        <v>5803.95</v>
      </c>
      <c r="M14" s="51">
        <f t="shared" si="2"/>
        <v>-196.05</v>
      </c>
      <c r="Q14" s="140" t="s">
        <v>15</v>
      </c>
      <c r="R14" s="55">
        <v>6771.72</v>
      </c>
      <c r="S14" s="55">
        <v>7215.81</v>
      </c>
      <c r="T14" s="143">
        <f t="shared" si="3"/>
        <v>0.06558008896</v>
      </c>
      <c r="V14" s="140" t="s">
        <v>15</v>
      </c>
      <c r="W14" s="55">
        <f t="shared" si="4"/>
        <v>6111.595</v>
      </c>
      <c r="X14" s="144">
        <f t="shared" si="5"/>
        <v>6512.393944</v>
      </c>
      <c r="Z14" s="1"/>
      <c r="AA14" s="47">
        <v>6.0</v>
      </c>
      <c r="AB14" s="47" t="s">
        <v>48</v>
      </c>
      <c r="AC14" s="59">
        <v>22151.938373778394</v>
      </c>
      <c r="AE14" s="47">
        <v>6.0</v>
      </c>
      <c r="AF14" s="47" t="s">
        <v>48</v>
      </c>
      <c r="AG14" s="55">
        <v>12569.490631158971</v>
      </c>
    </row>
    <row r="15" ht="15.75" customHeight="1">
      <c r="C15" s="47">
        <v>7.0</v>
      </c>
      <c r="D15" s="47" t="s">
        <v>47</v>
      </c>
      <c r="E15" s="59">
        <v>8000.0</v>
      </c>
      <c r="F15" s="59">
        <f>13401.79-510</f>
        <v>12891.79</v>
      </c>
      <c r="G15" s="51">
        <f t="shared" si="1"/>
        <v>4891.79</v>
      </c>
      <c r="I15" s="47">
        <v>7.0</v>
      </c>
      <c r="J15" s="47" t="s">
        <v>47</v>
      </c>
      <c r="K15" s="183">
        <v>6900.0</v>
      </c>
      <c r="L15" s="55">
        <f>7083.93-604.99</f>
        <v>6478.94</v>
      </c>
      <c r="M15" s="51">
        <f t="shared" si="2"/>
        <v>-421.06</v>
      </c>
      <c r="Q15" s="140" t="s">
        <v>17</v>
      </c>
      <c r="R15" s="55">
        <v>7867.59</v>
      </c>
      <c r="S15" s="55">
        <f>9042.05</f>
        <v>9042.05</v>
      </c>
      <c r="T15" s="143">
        <f t="shared" si="3"/>
        <v>0.1492782415</v>
      </c>
      <c r="V15" s="140" t="s">
        <v>17</v>
      </c>
      <c r="W15" s="55">
        <f t="shared" ref="W15:W16" si="6">AVERAGE(L16,L23,L30,L37,L9)</f>
        <v>10936.856</v>
      </c>
      <c r="X15" s="144">
        <f t="shared" si="5"/>
        <v>12569.49063</v>
      </c>
      <c r="Z15" s="1"/>
      <c r="AA15" s="47">
        <v>7.0</v>
      </c>
      <c r="AB15" s="47" t="s">
        <v>41</v>
      </c>
      <c r="AC15" s="59">
        <v>16966.544503113444</v>
      </c>
      <c r="AE15" s="47">
        <v>7.0</v>
      </c>
      <c r="AF15" s="47" t="s">
        <v>41</v>
      </c>
      <c r="AG15" s="55">
        <v>15100.112811507599</v>
      </c>
    </row>
    <row r="16" ht="15.75" customHeight="1">
      <c r="C16" s="47">
        <v>8.0</v>
      </c>
      <c r="D16" s="47" t="s">
        <v>48</v>
      </c>
      <c r="E16" s="59">
        <v>13500.0</v>
      </c>
      <c r="F16" s="59">
        <f>303.8+15526.7-175</f>
        <v>15655.5</v>
      </c>
      <c r="G16" s="51">
        <f t="shared" si="1"/>
        <v>2155.5</v>
      </c>
      <c r="I16" s="47">
        <v>8.0</v>
      </c>
      <c r="J16" s="47" t="s">
        <v>48</v>
      </c>
      <c r="K16" s="183">
        <v>9000.0</v>
      </c>
      <c r="L16" s="55">
        <f>11524.62-971.99</f>
        <v>10552.63</v>
      </c>
      <c r="M16" s="51">
        <f t="shared" si="2"/>
        <v>1552.63</v>
      </c>
      <c r="Q16" s="140" t="s">
        <v>19</v>
      </c>
      <c r="R16" s="55">
        <v>10485.94</v>
      </c>
      <c r="S16" s="55">
        <f>11071.17</f>
        <v>11071.17</v>
      </c>
      <c r="T16" s="143">
        <f t="shared" si="3"/>
        <v>0.05581092396</v>
      </c>
      <c r="V16" s="140" t="s">
        <v>19</v>
      </c>
      <c r="W16" s="55">
        <f t="shared" si="6"/>
        <v>14289.11</v>
      </c>
      <c r="X16" s="144">
        <f t="shared" si="5"/>
        <v>15086.59843</v>
      </c>
      <c r="Z16" s="1"/>
      <c r="AA16" s="47">
        <v>8.0</v>
      </c>
      <c r="AB16" s="47" t="s">
        <v>44</v>
      </c>
      <c r="AC16" s="59">
        <v>25710.901880826917</v>
      </c>
      <c r="AE16" s="47">
        <v>8.0</v>
      </c>
      <c r="AF16" s="47" t="s">
        <v>44</v>
      </c>
      <c r="AG16" s="55">
        <v>20850.486011346093</v>
      </c>
    </row>
    <row r="17" ht="15.75" customHeight="1">
      <c r="C17" s="47">
        <v>9.0</v>
      </c>
      <c r="D17" s="47" t="s">
        <v>41</v>
      </c>
      <c r="E17" s="59">
        <v>20000.0</v>
      </c>
      <c r="F17" s="59">
        <f>23570.19</f>
        <v>23570.19</v>
      </c>
      <c r="G17" s="51">
        <f t="shared" si="1"/>
        <v>3570.19</v>
      </c>
      <c r="I17" s="47">
        <v>9.0</v>
      </c>
      <c r="J17" s="47" t="s">
        <v>41</v>
      </c>
      <c r="K17" s="183">
        <v>14000.0</v>
      </c>
      <c r="L17" s="55">
        <f>15818.77-1242</f>
        <v>14576.77</v>
      </c>
      <c r="M17" s="51">
        <f t="shared" si="2"/>
        <v>576.77</v>
      </c>
      <c r="Q17" s="140" t="s">
        <v>20</v>
      </c>
      <c r="R17" s="55">
        <v>16065.89</v>
      </c>
      <c r="S17" s="55">
        <f>16778.63</f>
        <v>16778.63</v>
      </c>
      <c r="T17" s="145">
        <f t="shared" si="3"/>
        <v>0.04436355533</v>
      </c>
      <c r="V17" s="140" t="s">
        <v>20</v>
      </c>
      <c r="W17" s="55">
        <f>AVERAGE(L18,L25,L32,L11)</f>
        <v>19964.7775</v>
      </c>
      <c r="X17" s="144">
        <f t="shared" si="5"/>
        <v>20850.48601</v>
      </c>
      <c r="Z17" s="1"/>
      <c r="AA17" s="47">
        <v>9.0</v>
      </c>
      <c r="AB17" s="47" t="s">
        <v>45</v>
      </c>
      <c r="AC17" s="59">
        <v>17546.8434524277</v>
      </c>
      <c r="AE17" s="47">
        <v>9.0</v>
      </c>
      <c r="AF17" s="47" t="s">
        <v>45</v>
      </c>
      <c r="AG17" s="55">
        <v>8023.507520245363</v>
      </c>
    </row>
    <row r="18" ht="15.75" customHeight="1">
      <c r="C18" s="47">
        <v>10.0</v>
      </c>
      <c r="D18" s="47" t="s">
        <v>44</v>
      </c>
      <c r="E18" s="59">
        <v>19500.0</v>
      </c>
      <c r="F18" s="59">
        <f>14433.6+2230</f>
        <v>16663.6</v>
      </c>
      <c r="G18" s="51">
        <f t="shared" si="1"/>
        <v>-2836.4</v>
      </c>
      <c r="I18" s="47">
        <v>10.0</v>
      </c>
      <c r="J18" s="47" t="s">
        <v>44</v>
      </c>
      <c r="K18" s="183">
        <v>20500.0</v>
      </c>
      <c r="L18" s="55">
        <f>18737.32-1576</f>
        <v>17161.32</v>
      </c>
      <c r="M18" s="51">
        <f t="shared" si="2"/>
        <v>-3338.68</v>
      </c>
      <c r="Q18" s="1"/>
      <c r="R18" s="8"/>
      <c r="U18" s="1"/>
      <c r="V18" s="8"/>
      <c r="W18" s="8"/>
      <c r="AA18" s="47">
        <v>10.0</v>
      </c>
      <c r="AB18" s="47" t="s">
        <v>46</v>
      </c>
      <c r="AC18" s="59">
        <v>22379.922745619275</v>
      </c>
      <c r="AE18" s="47">
        <v>10.0</v>
      </c>
      <c r="AF18" s="47" t="s">
        <v>46</v>
      </c>
      <c r="AG18" s="55">
        <v>8594.592599697828</v>
      </c>
    </row>
    <row r="19" ht="15.75" customHeight="1">
      <c r="C19" s="47">
        <v>11.0</v>
      </c>
      <c r="D19" s="47" t="s">
        <v>45</v>
      </c>
      <c r="E19" s="59">
        <v>3700.0</v>
      </c>
      <c r="F19" s="59">
        <f>6798.63</f>
        <v>6798.63</v>
      </c>
      <c r="G19" s="51">
        <f t="shared" si="1"/>
        <v>3098.63</v>
      </c>
      <c r="I19" s="47">
        <v>11.0</v>
      </c>
      <c r="J19" s="47" t="s">
        <v>45</v>
      </c>
      <c r="K19" s="183">
        <v>5400.0</v>
      </c>
      <c r="L19" s="55">
        <f>5010.97-364</f>
        <v>4646.97</v>
      </c>
      <c r="M19" s="51">
        <f t="shared" si="2"/>
        <v>-753.03</v>
      </c>
      <c r="Q19" s="139" t="s">
        <v>89</v>
      </c>
      <c r="R19" s="41"/>
      <c r="S19" s="41"/>
      <c r="T19" s="6"/>
      <c r="V19" s="139" t="s">
        <v>1</v>
      </c>
      <c r="W19" s="41"/>
      <c r="X19" s="6"/>
      <c r="AA19" s="47">
        <v>11.0</v>
      </c>
      <c r="AB19" s="47" t="s">
        <v>40</v>
      </c>
      <c r="AC19" s="59">
        <v>17711.008280300433</v>
      </c>
      <c r="AE19" s="47">
        <v>11.0</v>
      </c>
      <c r="AF19" s="47" t="s">
        <v>40</v>
      </c>
      <c r="AG19" s="55">
        <v>7971.200389968266</v>
      </c>
    </row>
    <row r="20" ht="15.75" customHeight="1">
      <c r="C20" s="47">
        <v>12.0</v>
      </c>
      <c r="D20" s="47" t="s">
        <v>46</v>
      </c>
      <c r="E20" s="59">
        <v>3200.0</v>
      </c>
      <c r="F20" s="59">
        <f>6781.8</f>
        <v>6781.8</v>
      </c>
      <c r="G20" s="51">
        <f t="shared" si="1"/>
        <v>3581.8</v>
      </c>
      <c r="I20" s="47">
        <v>12.0</v>
      </c>
      <c r="J20" s="47" t="s">
        <v>46</v>
      </c>
      <c r="K20" s="183">
        <v>3200.0</v>
      </c>
      <c r="L20" s="55">
        <f>5173.56-397</f>
        <v>4776.56</v>
      </c>
      <c r="M20" s="51">
        <f t="shared" si="2"/>
        <v>1576.56</v>
      </c>
      <c r="Q20" s="140"/>
      <c r="R20" s="141">
        <v>45231.0</v>
      </c>
      <c r="S20" s="141">
        <v>45261.0</v>
      </c>
      <c r="T20" s="142" t="s">
        <v>90</v>
      </c>
      <c r="V20" s="140"/>
      <c r="W20" s="141">
        <v>45597.0</v>
      </c>
      <c r="X20" s="141" t="s">
        <v>151</v>
      </c>
      <c r="AA20" s="47">
        <v>12.0</v>
      </c>
      <c r="AB20" s="47" t="s">
        <v>47</v>
      </c>
      <c r="AC20" s="59">
        <v>16224.861808540449</v>
      </c>
      <c r="AE20" s="47">
        <v>12.0</v>
      </c>
      <c r="AF20" s="47" t="s">
        <v>47</v>
      </c>
      <c r="AG20" s="55">
        <v>6512.39394377647</v>
      </c>
    </row>
    <row r="21" ht="15.75" customHeight="1">
      <c r="C21" s="47">
        <v>13.0</v>
      </c>
      <c r="D21" s="47" t="s">
        <v>40</v>
      </c>
      <c r="E21" s="59">
        <v>4500.0</v>
      </c>
      <c r="F21" s="59">
        <f>3453.63</f>
        <v>3453.63</v>
      </c>
      <c r="G21" s="51">
        <f t="shared" si="1"/>
        <v>-1046.37</v>
      </c>
      <c r="I21" s="47">
        <v>13.0</v>
      </c>
      <c r="J21" s="47" t="s">
        <v>40</v>
      </c>
      <c r="K21" s="183">
        <v>6000.0</v>
      </c>
      <c r="L21" s="55">
        <f>6590.71-483</f>
        <v>6107.71</v>
      </c>
      <c r="M21" s="51">
        <f t="shared" si="2"/>
        <v>107.71</v>
      </c>
      <c r="Q21" s="140" t="s">
        <v>6</v>
      </c>
      <c r="R21" s="55">
        <f>4787.45</f>
        <v>4787.45</v>
      </c>
      <c r="S21" s="55">
        <v>12074.91</v>
      </c>
      <c r="T21" s="143">
        <f t="shared" ref="T21:T27" si="7">S21/R21-1</f>
        <v>1.522200754</v>
      </c>
      <c r="V21" s="140" t="s">
        <v>6</v>
      </c>
      <c r="W21" s="55">
        <f t="shared" ref="W21:W24" si="8">AVERAGE(F12,F19,F26,F33)</f>
        <v>6956.9575</v>
      </c>
      <c r="X21" s="144">
        <f t="shared" ref="X21:X27" si="9">W21*T21+W21</f>
        <v>17546.84345</v>
      </c>
      <c r="AA21" s="47">
        <v>13.0</v>
      </c>
      <c r="AB21" s="47" t="s">
        <v>48</v>
      </c>
      <c r="AC21" s="59">
        <v>22151.938373778394</v>
      </c>
      <c r="AE21" s="47">
        <v>13.0</v>
      </c>
      <c r="AF21" s="47" t="s">
        <v>48</v>
      </c>
      <c r="AG21" s="55">
        <v>12569.490631158971</v>
      </c>
    </row>
    <row r="22" ht="15.75" customHeight="1">
      <c r="C22" s="47">
        <v>14.0</v>
      </c>
      <c r="D22" s="47" t="s">
        <v>47</v>
      </c>
      <c r="E22" s="59">
        <v>8000.0</v>
      </c>
      <c r="F22" s="59">
        <v>10664.4</v>
      </c>
      <c r="G22" s="51">
        <f t="shared" si="1"/>
        <v>2664.4</v>
      </c>
      <c r="I22" s="47">
        <v>14.0</v>
      </c>
      <c r="J22" s="47" t="s">
        <v>47</v>
      </c>
      <c r="K22" s="183">
        <v>6900.0</v>
      </c>
      <c r="L22" s="55">
        <f>10554.11-786.99+141.01</f>
        <v>9908.13</v>
      </c>
      <c r="M22" s="51">
        <f t="shared" si="2"/>
        <v>3008.13</v>
      </c>
      <c r="Q22" s="140" t="s">
        <v>10</v>
      </c>
      <c r="R22" s="55">
        <v>4100.35</v>
      </c>
      <c r="S22" s="55">
        <v>12977.04</v>
      </c>
      <c r="T22" s="143">
        <f t="shared" si="7"/>
        <v>2.164861536</v>
      </c>
      <c r="V22" s="140" t="s">
        <v>10</v>
      </c>
      <c r="W22" s="55">
        <f t="shared" si="8"/>
        <v>7071.375</v>
      </c>
      <c r="X22" s="144">
        <f t="shared" si="9"/>
        <v>22379.92275</v>
      </c>
      <c r="AA22" s="47">
        <v>14.0</v>
      </c>
      <c r="AB22" s="47" t="s">
        <v>41</v>
      </c>
      <c r="AC22" s="59">
        <v>16966.544503113444</v>
      </c>
      <c r="AE22" s="47">
        <v>14.0</v>
      </c>
      <c r="AF22" s="47" t="s">
        <v>41</v>
      </c>
      <c r="AG22" s="55">
        <v>15100.112811507599</v>
      </c>
    </row>
    <row r="23" ht="15.75" customHeight="1">
      <c r="C23" s="47">
        <v>15.0</v>
      </c>
      <c r="D23" s="47" t="s">
        <v>48</v>
      </c>
      <c r="E23" s="59">
        <v>13500.0</v>
      </c>
      <c r="F23" s="59">
        <f>158.5+13484.55-150</f>
        <v>13493.05</v>
      </c>
      <c r="G23" s="51">
        <f t="shared" si="1"/>
        <v>-6.95</v>
      </c>
      <c r="I23" s="47">
        <v>15.0</v>
      </c>
      <c r="J23" s="47" t="s">
        <v>48</v>
      </c>
      <c r="K23" s="183">
        <v>9000.0</v>
      </c>
      <c r="L23" s="55">
        <f>15623.43-1285</f>
        <v>14338.43</v>
      </c>
      <c r="M23" s="51">
        <f t="shared" si="2"/>
        <v>5338.43</v>
      </c>
      <c r="Q23" s="140" t="s">
        <v>12</v>
      </c>
      <c r="R23" s="55">
        <v>6473.34</v>
      </c>
      <c r="S23" s="55">
        <v>14655.92</v>
      </c>
      <c r="T23" s="143">
        <f t="shared" si="7"/>
        <v>1.264042982</v>
      </c>
      <c r="V23" s="140" t="s">
        <v>12</v>
      </c>
      <c r="W23" s="55">
        <f t="shared" si="8"/>
        <v>7822.735</v>
      </c>
      <c r="X23" s="144">
        <f t="shared" si="9"/>
        <v>17711.00828</v>
      </c>
      <c r="AA23" s="47">
        <v>15.0</v>
      </c>
      <c r="AB23" s="47" t="s">
        <v>44</v>
      </c>
      <c r="AC23" s="59">
        <v>25710.901880826917</v>
      </c>
      <c r="AE23" s="47">
        <v>15.0</v>
      </c>
      <c r="AF23" s="47" t="s">
        <v>44</v>
      </c>
      <c r="AG23" s="55">
        <v>20850.486011346093</v>
      </c>
    </row>
    <row r="24" ht="15.75" customHeight="1">
      <c r="C24" s="47">
        <v>16.0</v>
      </c>
      <c r="D24" s="47" t="s">
        <v>41</v>
      </c>
      <c r="E24" s="59">
        <v>20000.0</v>
      </c>
      <c r="F24" s="59">
        <f>19377.84</f>
        <v>19377.84</v>
      </c>
      <c r="G24" s="51">
        <f t="shared" si="1"/>
        <v>-622.16</v>
      </c>
      <c r="I24" s="47">
        <v>16.0</v>
      </c>
      <c r="J24" s="47" t="s">
        <v>41</v>
      </c>
      <c r="K24" s="183">
        <v>14000.0</v>
      </c>
      <c r="L24" s="55">
        <f>14365.33-540.99</f>
        <v>13824.34</v>
      </c>
      <c r="M24" s="51">
        <f t="shared" si="2"/>
        <v>-175.66</v>
      </c>
      <c r="Q24" s="140" t="s">
        <v>15</v>
      </c>
      <c r="R24" s="55">
        <v>8814.29</v>
      </c>
      <c r="S24" s="55">
        <f>15545.04</f>
        <v>15545.04</v>
      </c>
      <c r="T24" s="143">
        <f t="shared" si="7"/>
        <v>0.7636179431</v>
      </c>
      <c r="V24" s="140" t="s">
        <v>15</v>
      </c>
      <c r="W24" s="55">
        <f t="shared" si="8"/>
        <v>9199.76</v>
      </c>
      <c r="X24" s="144">
        <f t="shared" si="9"/>
        <v>16224.86181</v>
      </c>
      <c r="AA24" s="47">
        <v>16.0</v>
      </c>
      <c r="AB24" s="47" t="s">
        <v>45</v>
      </c>
      <c r="AC24" s="59">
        <v>17546.8434524277</v>
      </c>
      <c r="AE24" s="47">
        <v>16.0</v>
      </c>
      <c r="AF24" s="47" t="s">
        <v>45</v>
      </c>
      <c r="AG24" s="55">
        <v>8023.507520245363</v>
      </c>
    </row>
    <row r="25" ht="15.75" customHeight="1">
      <c r="C25" s="47">
        <v>17.0</v>
      </c>
      <c r="D25" s="47" t="s">
        <v>44</v>
      </c>
      <c r="E25" s="59">
        <v>19500.0</v>
      </c>
      <c r="F25" s="59">
        <f>20142.05</f>
        <v>20142.05</v>
      </c>
      <c r="G25" s="51">
        <f t="shared" si="1"/>
        <v>642.05</v>
      </c>
      <c r="I25" s="47">
        <v>17.0</v>
      </c>
      <c r="J25" s="47" t="s">
        <v>44</v>
      </c>
      <c r="K25" s="183">
        <v>20500.0</v>
      </c>
      <c r="L25" s="55">
        <f>21065.74-1504</f>
        <v>19561.74</v>
      </c>
      <c r="M25" s="51">
        <f t="shared" si="2"/>
        <v>-938.26</v>
      </c>
      <c r="Q25" s="140" t="s">
        <v>17</v>
      </c>
      <c r="R25" s="55">
        <v>13277.6</v>
      </c>
      <c r="S25" s="55">
        <f>17396.92</f>
        <v>17396.92</v>
      </c>
      <c r="T25" s="143">
        <f t="shared" si="7"/>
        <v>0.3102458276</v>
      </c>
      <c r="V25" s="140" t="s">
        <v>17</v>
      </c>
      <c r="W25" s="55">
        <f t="shared" ref="W25:W26" si="10">AVERAGE(F9,F16,F23,F30,F37)</f>
        <v>16865.704</v>
      </c>
      <c r="X25" s="144">
        <f t="shared" si="9"/>
        <v>22098.21829</v>
      </c>
      <c r="AA25" s="47">
        <v>17.0</v>
      </c>
      <c r="AB25" s="47" t="s">
        <v>46</v>
      </c>
      <c r="AC25" s="59">
        <v>22379.922745619275</v>
      </c>
      <c r="AE25" s="47">
        <v>17.0</v>
      </c>
      <c r="AF25" s="47" t="s">
        <v>46</v>
      </c>
      <c r="AG25" s="55">
        <v>8594.592599697828</v>
      </c>
    </row>
    <row r="26" ht="15.75" customHeight="1">
      <c r="C26" s="47">
        <v>18.0</v>
      </c>
      <c r="D26" s="47" t="s">
        <v>45</v>
      </c>
      <c r="E26" s="59">
        <v>3700.0</v>
      </c>
      <c r="F26" s="59">
        <f>4466.87</f>
        <v>4466.87</v>
      </c>
      <c r="G26" s="51">
        <f t="shared" si="1"/>
        <v>766.87</v>
      </c>
      <c r="I26" s="47">
        <v>18.0</v>
      </c>
      <c r="J26" s="47" t="s">
        <v>45</v>
      </c>
      <c r="K26" s="183">
        <v>5400.0</v>
      </c>
      <c r="L26" s="55">
        <f>4855.43-422</f>
        <v>4433.43</v>
      </c>
      <c r="M26" s="51">
        <f t="shared" si="2"/>
        <v>-966.57</v>
      </c>
      <c r="Q26" s="140" t="s">
        <v>19</v>
      </c>
      <c r="R26" s="55">
        <v>18057.16</v>
      </c>
      <c r="S26" s="55">
        <f>14782.52</f>
        <v>14782.52</v>
      </c>
      <c r="T26" s="143">
        <f t="shared" si="7"/>
        <v>-0.181348562</v>
      </c>
      <c r="V26" s="140" t="s">
        <v>19</v>
      </c>
      <c r="W26" s="55">
        <f t="shared" si="10"/>
        <v>20724.992</v>
      </c>
      <c r="X26" s="144">
        <f t="shared" si="9"/>
        <v>16966.5445</v>
      </c>
      <c r="AA26" s="47">
        <v>18.0</v>
      </c>
      <c r="AB26" s="47" t="s">
        <v>40</v>
      </c>
      <c r="AC26" s="59">
        <v>17711.008280300433</v>
      </c>
      <c r="AE26" s="47">
        <v>18.0</v>
      </c>
      <c r="AF26" s="47" t="s">
        <v>40</v>
      </c>
      <c r="AG26" s="55">
        <v>7971.200389968266</v>
      </c>
    </row>
    <row r="27" ht="15.75" customHeight="1">
      <c r="C27" s="47">
        <v>19.0</v>
      </c>
      <c r="D27" s="47" t="s">
        <v>46</v>
      </c>
      <c r="E27" s="59">
        <v>3100.0</v>
      </c>
      <c r="F27" s="59">
        <f>72+8240.5</f>
        <v>8312.5</v>
      </c>
      <c r="G27" s="51">
        <f t="shared" si="1"/>
        <v>5212.5</v>
      </c>
      <c r="I27" s="47">
        <v>19.0</v>
      </c>
      <c r="J27" s="47" t="s">
        <v>46</v>
      </c>
      <c r="K27" s="183">
        <v>3200.0</v>
      </c>
      <c r="L27" s="55">
        <f>11405.83-916.99</f>
        <v>10488.84</v>
      </c>
      <c r="M27" s="51">
        <f t="shared" si="2"/>
        <v>7288.84</v>
      </c>
      <c r="Q27" s="140" t="s">
        <v>20</v>
      </c>
      <c r="R27" s="55">
        <v>18595.81</v>
      </c>
      <c r="S27" s="55">
        <f>24637.93</f>
        <v>24637.93</v>
      </c>
      <c r="T27" s="145">
        <f t="shared" si="7"/>
        <v>0.3249183553</v>
      </c>
      <c r="V27" s="140" t="s">
        <v>20</v>
      </c>
      <c r="W27" s="55">
        <f>AVERAGE(F11,F18,F25,F32)</f>
        <v>19405.65</v>
      </c>
      <c r="X27" s="144">
        <f t="shared" si="9"/>
        <v>25710.90188</v>
      </c>
      <c r="AA27" s="47">
        <v>19.0</v>
      </c>
      <c r="AB27" s="47" t="s">
        <v>47</v>
      </c>
      <c r="AC27" s="59">
        <v>16224.861808540449</v>
      </c>
      <c r="AE27" s="47">
        <v>19.0</v>
      </c>
      <c r="AF27" s="47" t="s">
        <v>47</v>
      </c>
      <c r="AG27" s="55">
        <v>6512.39394377647</v>
      </c>
    </row>
    <row r="28" ht="15.75" customHeight="1">
      <c r="C28" s="47">
        <v>20.0</v>
      </c>
      <c r="D28" s="47" t="s">
        <v>40</v>
      </c>
      <c r="E28" s="59">
        <v>4500.0</v>
      </c>
      <c r="F28" s="59">
        <f>11723.2</f>
        <v>11723.2</v>
      </c>
      <c r="G28" s="51">
        <f t="shared" si="1"/>
        <v>7223.2</v>
      </c>
      <c r="I28" s="47">
        <v>20.0</v>
      </c>
      <c r="J28" s="47" t="s">
        <v>40</v>
      </c>
      <c r="K28" s="183">
        <v>6000.0</v>
      </c>
      <c r="L28" s="55">
        <f>11689.51-943.99</f>
        <v>10745.52</v>
      </c>
      <c r="M28" s="51">
        <f t="shared" si="2"/>
        <v>4745.52</v>
      </c>
      <c r="Z28" s="1"/>
      <c r="AA28" s="47">
        <v>20.0</v>
      </c>
      <c r="AB28" s="47" t="s">
        <v>48</v>
      </c>
      <c r="AC28" s="59">
        <v>22151.938373778394</v>
      </c>
      <c r="AE28" s="47">
        <v>20.0</v>
      </c>
      <c r="AF28" s="47" t="s">
        <v>48</v>
      </c>
      <c r="AG28" s="55">
        <v>12569.490631158971</v>
      </c>
    </row>
    <row r="29" ht="15.75" customHeight="1">
      <c r="C29" s="47">
        <v>21.0</v>
      </c>
      <c r="D29" s="47" t="s">
        <v>47</v>
      </c>
      <c r="E29" s="59">
        <v>8000.0</v>
      </c>
      <c r="F29" s="59">
        <f>3833</f>
        <v>3833</v>
      </c>
      <c r="G29" s="51">
        <f t="shared" si="1"/>
        <v>-4167</v>
      </c>
      <c r="I29" s="47">
        <v>21.0</v>
      </c>
      <c r="J29" s="47" t="s">
        <v>47</v>
      </c>
      <c r="K29" s="183">
        <v>6900.0</v>
      </c>
      <c r="L29" s="55">
        <f>5446.39-444</f>
        <v>5002.39</v>
      </c>
      <c r="M29" s="51">
        <f t="shared" si="2"/>
        <v>-1897.61</v>
      </c>
      <c r="Z29" s="1"/>
      <c r="AA29" s="47">
        <v>21.0</v>
      </c>
      <c r="AB29" s="47" t="s">
        <v>41</v>
      </c>
      <c r="AC29" s="59">
        <v>16966.544503113444</v>
      </c>
      <c r="AE29" s="47">
        <v>21.0</v>
      </c>
      <c r="AF29" s="47" t="s">
        <v>41</v>
      </c>
      <c r="AG29" s="55">
        <v>15100.112811507599</v>
      </c>
    </row>
    <row r="30" ht="15.75" customHeight="1">
      <c r="C30" s="47">
        <v>22.0</v>
      </c>
      <c r="D30" s="47" t="s">
        <v>48</v>
      </c>
      <c r="E30" s="59">
        <v>13500.0</v>
      </c>
      <c r="F30" s="59">
        <f>17010.05-120</f>
        <v>16890.05</v>
      </c>
      <c r="G30" s="51">
        <f t="shared" si="1"/>
        <v>3390.05</v>
      </c>
      <c r="I30" s="47">
        <v>22.0</v>
      </c>
      <c r="J30" s="47" t="s">
        <v>48</v>
      </c>
      <c r="K30" s="183">
        <v>9000.0</v>
      </c>
      <c r="L30" s="55">
        <f>10391.17-823.99</f>
        <v>9567.18</v>
      </c>
      <c r="M30" s="51">
        <f t="shared" si="2"/>
        <v>567.18</v>
      </c>
      <c r="Z30" s="1"/>
      <c r="AA30" s="47">
        <v>22.0</v>
      </c>
      <c r="AB30" s="47" t="s">
        <v>44</v>
      </c>
      <c r="AC30" s="59">
        <v>25710.901880826917</v>
      </c>
      <c r="AE30" s="47">
        <v>22.0</v>
      </c>
      <c r="AF30" s="47" t="s">
        <v>44</v>
      </c>
      <c r="AG30" s="55">
        <v>20850.486011346093</v>
      </c>
    </row>
    <row r="31" ht="15.75" customHeight="1">
      <c r="C31" s="47">
        <v>23.0</v>
      </c>
      <c r="D31" s="47" t="s">
        <v>41</v>
      </c>
      <c r="E31" s="59">
        <v>20000.0</v>
      </c>
      <c r="F31" s="59">
        <f>16260.95</f>
        <v>16260.95</v>
      </c>
      <c r="G31" s="51">
        <f t="shared" si="1"/>
        <v>-3739.05</v>
      </c>
      <c r="I31" s="47">
        <v>23.0</v>
      </c>
      <c r="J31" s="47" t="s">
        <v>41</v>
      </c>
      <c r="K31" s="183">
        <v>14000.0</v>
      </c>
      <c r="L31" s="55">
        <f>14457.67-1188</f>
        <v>13269.67</v>
      </c>
      <c r="M31" s="51">
        <f t="shared" si="2"/>
        <v>-730.33</v>
      </c>
      <c r="Z31" s="1"/>
      <c r="AA31" s="47">
        <v>23.0</v>
      </c>
      <c r="AB31" s="47" t="s">
        <v>45</v>
      </c>
      <c r="AC31" s="59">
        <v>17546.8434524277</v>
      </c>
      <c r="AE31" s="47">
        <v>23.0</v>
      </c>
      <c r="AF31" s="47" t="s">
        <v>45</v>
      </c>
      <c r="AG31" s="55">
        <v>8023.507520245363</v>
      </c>
    </row>
    <row r="32" ht="15.75" customHeight="1">
      <c r="C32" s="47">
        <v>24.0</v>
      </c>
      <c r="D32" s="47" t="s">
        <v>44</v>
      </c>
      <c r="E32" s="59">
        <v>19500.0</v>
      </c>
      <c r="F32" s="59">
        <f>20441.5</f>
        <v>20441.5</v>
      </c>
      <c r="G32" s="51">
        <f t="shared" si="1"/>
        <v>941.5</v>
      </c>
      <c r="I32" s="47">
        <v>24.0</v>
      </c>
      <c r="J32" s="47" t="s">
        <v>44</v>
      </c>
      <c r="K32" s="183">
        <v>20500.0</v>
      </c>
      <c r="L32" s="59">
        <f>24400.04-1896</f>
        <v>22504.04</v>
      </c>
      <c r="M32" s="51">
        <f t="shared" si="2"/>
        <v>2004.04</v>
      </c>
      <c r="Z32" s="1"/>
      <c r="AA32" s="47">
        <v>24.0</v>
      </c>
      <c r="AB32" s="47" t="s">
        <v>46</v>
      </c>
      <c r="AC32" s="59"/>
      <c r="AE32" s="47">
        <v>24.0</v>
      </c>
      <c r="AF32" s="47" t="s">
        <v>46</v>
      </c>
      <c r="AG32" s="55"/>
    </row>
    <row r="33" ht="15.75" customHeight="1">
      <c r="C33" s="47">
        <v>25.0</v>
      </c>
      <c r="D33" s="47" t="s">
        <v>45</v>
      </c>
      <c r="E33" s="59">
        <v>3700.0</v>
      </c>
      <c r="F33" s="59">
        <f>549+11695.55</f>
        <v>12244.55</v>
      </c>
      <c r="G33" s="51">
        <f t="shared" si="1"/>
        <v>8544.55</v>
      </c>
      <c r="I33" s="47">
        <v>25.0</v>
      </c>
      <c r="J33" s="47" t="s">
        <v>45</v>
      </c>
      <c r="K33" s="183">
        <v>5400.0</v>
      </c>
      <c r="L33" s="55">
        <f>3861.59-313</f>
        <v>3548.59</v>
      </c>
      <c r="M33" s="51">
        <f t="shared" si="2"/>
        <v>-1851.41</v>
      </c>
      <c r="Q33" s="188" t="s">
        <v>141</v>
      </c>
      <c r="R33" s="188" t="s">
        <v>156</v>
      </c>
      <c r="S33" s="188" t="s">
        <v>61</v>
      </c>
      <c r="Z33" s="1"/>
      <c r="AA33" s="47">
        <v>25.0</v>
      </c>
      <c r="AB33" s="47" t="s">
        <v>40</v>
      </c>
      <c r="AC33" s="59">
        <v>17711.008280300433</v>
      </c>
      <c r="AE33" s="47">
        <v>25.0</v>
      </c>
      <c r="AF33" s="47" t="s">
        <v>40</v>
      </c>
      <c r="AG33" s="55">
        <v>7971.200389968266</v>
      </c>
    </row>
    <row r="34" ht="15.75" customHeight="1">
      <c r="C34" s="47">
        <v>26.0</v>
      </c>
      <c r="D34" s="47" t="s">
        <v>46</v>
      </c>
      <c r="E34" s="59">
        <v>3200.0</v>
      </c>
      <c r="F34" s="59">
        <f>8238.35</f>
        <v>8238.35</v>
      </c>
      <c r="G34" s="51">
        <f t="shared" si="1"/>
        <v>5038.35</v>
      </c>
      <c r="I34" s="47">
        <v>26.0</v>
      </c>
      <c r="J34" s="47" t="s">
        <v>46</v>
      </c>
      <c r="K34" s="183">
        <v>3200.0</v>
      </c>
      <c r="L34" s="55">
        <f>6791.27-461</f>
        <v>6330.27</v>
      </c>
      <c r="M34" s="51">
        <f t="shared" si="2"/>
        <v>3130.27</v>
      </c>
      <c r="Q34" s="191">
        <v>237.0</v>
      </c>
      <c r="R34" s="192">
        <v>261.0</v>
      </c>
      <c r="S34" s="198">
        <f>R34-Q34</f>
        <v>24</v>
      </c>
      <c r="Z34" s="1"/>
      <c r="AA34" s="47">
        <v>26.0</v>
      </c>
      <c r="AB34" s="47" t="s">
        <v>47</v>
      </c>
      <c r="AC34" s="59">
        <v>16224.861808540449</v>
      </c>
      <c r="AE34" s="47">
        <v>26.0</v>
      </c>
      <c r="AF34" s="47" t="s">
        <v>47</v>
      </c>
      <c r="AG34" s="55">
        <v>6512.39394377647</v>
      </c>
    </row>
    <row r="35" ht="15.75" customHeight="1">
      <c r="C35" s="47">
        <v>27.0</v>
      </c>
      <c r="D35" s="47" t="s">
        <v>40</v>
      </c>
      <c r="E35" s="59">
        <v>4500.0</v>
      </c>
      <c r="F35" s="59">
        <f>84+8892.76</f>
        <v>8976.76</v>
      </c>
      <c r="G35" s="51">
        <f t="shared" si="1"/>
        <v>4476.76</v>
      </c>
      <c r="I35" s="47">
        <v>27.0</v>
      </c>
      <c r="J35" s="47" t="s">
        <v>40</v>
      </c>
      <c r="K35" s="183">
        <v>6000.0</v>
      </c>
      <c r="L35" s="55">
        <f>5649.74-503</f>
        <v>5146.74</v>
      </c>
      <c r="M35" s="51">
        <f t="shared" si="2"/>
        <v>-853.26</v>
      </c>
      <c r="Q35" s="194" t="s">
        <v>142</v>
      </c>
      <c r="R35" s="194" t="s">
        <v>157</v>
      </c>
      <c r="S35" s="195"/>
      <c r="Z35" s="1"/>
      <c r="AA35" s="47">
        <v>27.0</v>
      </c>
      <c r="AB35" s="47" t="s">
        <v>48</v>
      </c>
      <c r="AC35" s="59">
        <v>22151.938373778394</v>
      </c>
      <c r="AE35" s="47">
        <v>27.0</v>
      </c>
      <c r="AF35" s="47" t="s">
        <v>48</v>
      </c>
      <c r="AG35" s="55">
        <v>12569.490631158971</v>
      </c>
    </row>
    <row r="36" ht="15.75" customHeight="1">
      <c r="C36" s="47">
        <v>28.0</v>
      </c>
      <c r="D36" s="47" t="s">
        <v>47</v>
      </c>
      <c r="E36" s="59">
        <v>8000.0</v>
      </c>
      <c r="F36" s="59">
        <f>9409.85</f>
        <v>9409.85</v>
      </c>
      <c r="G36" s="51">
        <f t="shared" si="1"/>
        <v>1409.85</v>
      </c>
      <c r="I36" s="47">
        <v>28.0</v>
      </c>
      <c r="J36" s="47" t="s">
        <v>47</v>
      </c>
      <c r="K36" s="183">
        <v>6900.0</v>
      </c>
      <c r="L36" s="55">
        <f>3354.92-298</f>
        <v>3056.92</v>
      </c>
      <c r="M36" s="51">
        <f t="shared" si="2"/>
        <v>-3843.08</v>
      </c>
      <c r="Q36" s="191">
        <v>312.0</v>
      </c>
      <c r="R36" s="192">
        <v>450.0</v>
      </c>
      <c r="S36" s="198">
        <f>R36-Q36</f>
        <v>138</v>
      </c>
      <c r="Z36" s="1"/>
      <c r="AA36" s="47">
        <v>28.0</v>
      </c>
      <c r="AB36" s="47" t="s">
        <v>41</v>
      </c>
      <c r="AC36" s="59">
        <v>16966.544503113444</v>
      </c>
      <c r="AE36" s="47">
        <v>28.0</v>
      </c>
      <c r="AF36" s="47" t="s">
        <v>41</v>
      </c>
      <c r="AG36" s="55">
        <v>15100.112811507599</v>
      </c>
    </row>
    <row r="37" ht="15.75" customHeight="1">
      <c r="C37" s="47">
        <v>29.0</v>
      </c>
      <c r="D37" s="47" t="s">
        <v>48</v>
      </c>
      <c r="E37" s="59">
        <v>13500.0</v>
      </c>
      <c r="F37" s="59">
        <f>20179.19-205</f>
        <v>19974.19</v>
      </c>
      <c r="G37" s="51">
        <f t="shared" si="1"/>
        <v>6474.19</v>
      </c>
      <c r="I37" s="47">
        <v>29.0</v>
      </c>
      <c r="J37" s="47" t="s">
        <v>48</v>
      </c>
      <c r="K37" s="183">
        <v>9000.0</v>
      </c>
      <c r="L37" s="55">
        <f>11441.57-938</f>
        <v>10503.57</v>
      </c>
      <c r="M37" s="51">
        <f t="shared" si="2"/>
        <v>1503.57</v>
      </c>
      <c r="Z37" s="1"/>
      <c r="AA37" s="47">
        <v>29.0</v>
      </c>
      <c r="AB37" s="47" t="s">
        <v>44</v>
      </c>
      <c r="AC37" s="59">
        <v>25710.901880826917</v>
      </c>
      <c r="AE37" s="47">
        <v>29.0</v>
      </c>
      <c r="AF37" s="47" t="s">
        <v>44</v>
      </c>
      <c r="AG37" s="55">
        <v>20850.486011346093</v>
      </c>
    </row>
    <row r="38" ht="15.75" customHeight="1">
      <c r="C38" s="47">
        <v>30.0</v>
      </c>
      <c r="D38" s="47" t="s">
        <v>41</v>
      </c>
      <c r="E38" s="59">
        <v>20000.0</v>
      </c>
      <c r="F38" s="59">
        <v>23082.23</v>
      </c>
      <c r="G38" s="51">
        <f t="shared" si="1"/>
        <v>3082.23</v>
      </c>
      <c r="I38" s="47">
        <v>30.0</v>
      </c>
      <c r="J38" s="47" t="s">
        <v>41</v>
      </c>
      <c r="K38" s="183">
        <v>14000.0</v>
      </c>
      <c r="L38" s="55">
        <f>13206.33-994-64</f>
        <v>12148.33</v>
      </c>
      <c r="M38" s="51">
        <f t="shared" si="2"/>
        <v>-1851.67</v>
      </c>
      <c r="Z38" s="1"/>
      <c r="AA38" s="47">
        <v>30.0</v>
      </c>
      <c r="AB38" s="47" t="s">
        <v>45</v>
      </c>
      <c r="AC38" s="59">
        <v>17546.8434524277</v>
      </c>
      <c r="AE38" s="47">
        <v>30.0</v>
      </c>
      <c r="AF38" s="47" t="s">
        <v>45</v>
      </c>
      <c r="AG38" s="55">
        <v>8023.507520245363</v>
      </c>
    </row>
    <row r="39" ht="15.75" customHeight="1">
      <c r="C39" s="47"/>
      <c r="D39" s="47"/>
      <c r="E39" s="59"/>
      <c r="F39" s="59"/>
      <c r="G39" s="51">
        <f t="shared" si="1"/>
        <v>0</v>
      </c>
      <c r="I39" s="47"/>
      <c r="J39" s="47"/>
      <c r="K39" s="183"/>
      <c r="L39" s="55"/>
      <c r="M39" s="51">
        <f t="shared" si="2"/>
        <v>0</v>
      </c>
      <c r="Z39" s="1"/>
      <c r="AA39" s="47">
        <v>31.0</v>
      </c>
      <c r="AB39" s="47" t="s">
        <v>46</v>
      </c>
      <c r="AC39" s="59"/>
      <c r="AE39" s="47">
        <v>31.0</v>
      </c>
      <c r="AF39" s="47" t="s">
        <v>46</v>
      </c>
      <c r="AG39" s="55"/>
    </row>
    <row r="40" ht="15.75" customHeight="1">
      <c r="C40" s="8"/>
      <c r="D40" s="8"/>
      <c r="E40" s="107">
        <f t="shared" ref="E40:G40" si="11">SUM(E9:E39)</f>
        <v>323000</v>
      </c>
      <c r="F40" s="107">
        <f t="shared" si="11"/>
        <v>389779.39</v>
      </c>
      <c r="G40" s="105">
        <f t="shared" si="11"/>
        <v>66779.39</v>
      </c>
      <c r="I40" s="8"/>
      <c r="J40" s="8"/>
      <c r="K40" s="107">
        <f t="shared" ref="K40:M40" si="12">SUM(K9:K39)</f>
        <v>283000</v>
      </c>
      <c r="L40" s="107">
        <f t="shared" si="12"/>
        <v>301774.89</v>
      </c>
      <c r="M40" s="105">
        <f t="shared" si="12"/>
        <v>18774.89</v>
      </c>
      <c r="Z40" s="1"/>
      <c r="AA40" s="8"/>
      <c r="AB40" s="8"/>
      <c r="AC40" s="107">
        <f>SUM(AC9:AC39)</f>
        <v>576616.7049</v>
      </c>
      <c r="AD40" s="107"/>
      <c r="AE40" s="8"/>
      <c r="AF40" s="8"/>
      <c r="AG40" s="107">
        <f>SUM(AG9:AG39)</f>
        <v>337735.5006</v>
      </c>
    </row>
    <row r="41" ht="15.75" customHeight="1">
      <c r="F41" s="114">
        <f>F40/D44</f>
        <v>1.206747337</v>
      </c>
      <c r="G41" s="1"/>
      <c r="I41" s="1"/>
      <c r="J41" s="1"/>
      <c r="K41" s="1"/>
      <c r="L41" s="114">
        <f>L40/J44</f>
        <v>1.066342367</v>
      </c>
      <c r="M41" s="1"/>
      <c r="Z41" s="1"/>
      <c r="AA41" s="1"/>
      <c r="AB41" s="1"/>
      <c r="AC41" s="1"/>
      <c r="AD41" s="1"/>
      <c r="AE41" s="1"/>
    </row>
    <row r="42" ht="15.75" customHeight="1">
      <c r="C42" s="2"/>
      <c r="D42" s="2"/>
      <c r="E42" s="2"/>
      <c r="F42" s="2"/>
      <c r="J42" s="61"/>
      <c r="K42" s="2"/>
      <c r="L42" s="2"/>
      <c r="Z42" s="1"/>
      <c r="AA42" s="1"/>
      <c r="AC42" s="173" t="s">
        <v>158</v>
      </c>
      <c r="AG42" s="173" t="s">
        <v>159</v>
      </c>
    </row>
    <row r="43" ht="15.75" customHeight="1">
      <c r="C43" s="2"/>
      <c r="D43" s="2"/>
      <c r="E43" s="115" t="s">
        <v>77</v>
      </c>
      <c r="F43" s="118">
        <f>E40+G40</f>
        <v>389779.39</v>
      </c>
      <c r="K43" s="115" t="s">
        <v>77</v>
      </c>
      <c r="L43" s="118">
        <f>K40+M40</f>
        <v>301774.89</v>
      </c>
      <c r="Z43" s="1"/>
      <c r="AA43" s="1"/>
      <c r="AD43" s="13"/>
      <c r="AE43" s="196"/>
    </row>
    <row r="44" ht="15.75" customHeight="1">
      <c r="C44" s="122" t="s">
        <v>29</v>
      </c>
      <c r="D44" s="124">
        <v>323000.0</v>
      </c>
      <c r="E44" s="2"/>
      <c r="F44" s="2"/>
      <c r="I44" s="126" t="s">
        <v>29</v>
      </c>
      <c r="J44" s="124">
        <v>283000.0</v>
      </c>
      <c r="K44" s="2"/>
      <c r="L44" s="2"/>
      <c r="O44" s="61"/>
      <c r="Z44" s="1"/>
      <c r="AA44" s="1"/>
      <c r="AD44" s="196" t="s">
        <v>160</v>
      </c>
    </row>
    <row r="45" ht="15.75" customHeight="1"/>
    <row r="46" ht="15.75" customHeight="1">
      <c r="E46" s="2"/>
      <c r="F46" s="2"/>
      <c r="K46" s="2"/>
      <c r="L46" s="2"/>
    </row>
    <row r="47" ht="15.75" customHeight="1">
      <c r="E47" s="2"/>
      <c r="F47" s="2"/>
      <c r="J47" s="189"/>
      <c r="K47" s="2"/>
      <c r="L47" s="2"/>
      <c r="AB47" s="201"/>
      <c r="AC47" s="61"/>
      <c r="AF47" s="201"/>
      <c r="AG47" s="6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Q9:T9"/>
    <mergeCell ref="V9:X9"/>
    <mergeCell ref="Q19:T19"/>
    <mergeCell ref="V19:X19"/>
    <mergeCell ref="C4:G6"/>
    <mergeCell ref="I4:M6"/>
    <mergeCell ref="C7:G7"/>
    <mergeCell ref="I7:M7"/>
    <mergeCell ref="V7:W7"/>
    <mergeCell ref="AA7:AC7"/>
    <mergeCell ref="AE7:AG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1.0"/>
    <col customWidth="1" min="5" max="5" width="19.11"/>
    <col customWidth="1" min="6" max="6" width="17.67"/>
    <col customWidth="1" min="7" max="7" width="18.33"/>
    <col customWidth="1" min="8" max="8" width="11.11"/>
    <col customWidth="1" min="9" max="9" width="10.56"/>
    <col customWidth="1" min="10" max="10" width="11.11"/>
    <col customWidth="1" min="11" max="11" width="19.0"/>
    <col customWidth="1" min="12" max="12" width="17.78"/>
    <col customWidth="1" min="13" max="13" width="21.33"/>
    <col customWidth="1" min="14" max="14" width="11.11"/>
    <col customWidth="1" min="15" max="17" width="10.56"/>
    <col customWidth="1" min="18" max="18" width="11.11"/>
    <col customWidth="1" min="19" max="19" width="13.0"/>
    <col customWidth="1" min="20" max="20" width="14.78"/>
    <col customWidth="1" min="21" max="21" width="13.11"/>
    <col customWidth="1" min="22" max="22" width="15.33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D9" s="47">
        <v>1.0</v>
      </c>
      <c r="E9" s="47" t="s">
        <v>44</v>
      </c>
      <c r="F9" s="55">
        <v>29000.0</v>
      </c>
      <c r="G9" s="55">
        <f>26681.7</f>
        <v>26681.7</v>
      </c>
      <c r="H9" s="51">
        <f t="shared" ref="H9:H38" si="1">G9-F9</f>
        <v>-2318.3</v>
      </c>
      <c r="J9" s="47">
        <v>1.0</v>
      </c>
      <c r="K9" s="47" t="s">
        <v>44</v>
      </c>
      <c r="L9" s="13">
        <v>22000.0</v>
      </c>
      <c r="M9" s="13">
        <f>21428.94-1609.49</f>
        <v>19819.45</v>
      </c>
      <c r="N9" s="51">
        <f t="shared" ref="N9:N38" si="2">M9-L9</f>
        <v>-2180.55</v>
      </c>
    </row>
    <row r="10" ht="15.75" customHeight="1">
      <c r="D10" s="47">
        <v>2.0</v>
      </c>
      <c r="E10" s="47" t="s">
        <v>45</v>
      </c>
      <c r="F10" s="59">
        <v>10500.0</v>
      </c>
      <c r="G10" s="59">
        <f>6637.4</f>
        <v>6637.4</v>
      </c>
      <c r="H10" s="51">
        <f t="shared" si="1"/>
        <v>-3862.6</v>
      </c>
      <c r="J10" s="47">
        <v>2.0</v>
      </c>
      <c r="K10" s="47" t="s">
        <v>45</v>
      </c>
      <c r="L10" s="55">
        <v>8000.0</v>
      </c>
      <c r="M10" s="55">
        <f>5125.55-334</f>
        <v>4791.55</v>
      </c>
      <c r="N10" s="51">
        <f t="shared" si="2"/>
        <v>-3208.45</v>
      </c>
    </row>
    <row r="11" ht="15.75" customHeight="1">
      <c r="D11" s="47">
        <v>3.0</v>
      </c>
      <c r="E11" s="47" t="s">
        <v>46</v>
      </c>
      <c r="F11" s="59">
        <v>17200.0</v>
      </c>
      <c r="G11" s="59">
        <f>11247.8</f>
        <v>11247.8</v>
      </c>
      <c r="H11" s="51">
        <f t="shared" si="1"/>
        <v>-5952.2</v>
      </c>
      <c r="J11" s="47">
        <v>3.0</v>
      </c>
      <c r="K11" s="47" t="s">
        <v>46</v>
      </c>
      <c r="L11" s="55">
        <v>8000.0</v>
      </c>
      <c r="M11" s="55">
        <f>5969.82-466</f>
        <v>5503.82</v>
      </c>
      <c r="N11" s="51">
        <f t="shared" si="2"/>
        <v>-2496.18</v>
      </c>
    </row>
    <row r="12" ht="15.75" customHeight="1">
      <c r="D12" s="47">
        <v>4.0</v>
      </c>
      <c r="E12" s="47" t="s">
        <v>40</v>
      </c>
      <c r="F12" s="59">
        <v>15500.0</v>
      </c>
      <c r="G12" s="59">
        <f>909.5+8760.4</f>
        <v>9669.9</v>
      </c>
      <c r="H12" s="51">
        <f t="shared" si="1"/>
        <v>-5830.1</v>
      </c>
      <c r="J12" s="47">
        <v>4.0</v>
      </c>
      <c r="K12" s="47" t="s">
        <v>40</v>
      </c>
      <c r="L12" s="55">
        <v>7400.0</v>
      </c>
      <c r="M12" s="55">
        <f>6915.74-585.99</f>
        <v>6329.75</v>
      </c>
      <c r="N12" s="51">
        <f t="shared" si="2"/>
        <v>-1070.25</v>
      </c>
    </row>
    <row r="13" ht="15.75" customHeight="1">
      <c r="D13" s="47">
        <v>5.0</v>
      </c>
      <c r="E13" s="47" t="s">
        <v>47</v>
      </c>
      <c r="F13" s="59">
        <v>14600.0</v>
      </c>
      <c r="G13" s="59">
        <f>11293.35</f>
        <v>11293.35</v>
      </c>
      <c r="H13" s="51">
        <f t="shared" si="1"/>
        <v>-3306.65</v>
      </c>
      <c r="J13" s="47">
        <v>5.0</v>
      </c>
      <c r="K13" s="47" t="s">
        <v>47</v>
      </c>
      <c r="L13" s="55">
        <v>6000.0</v>
      </c>
      <c r="M13" s="55">
        <f>7338.65-573</f>
        <v>6765.65</v>
      </c>
      <c r="N13" s="51">
        <f t="shared" si="2"/>
        <v>765.65</v>
      </c>
    </row>
    <row r="14" ht="15.75" customHeight="1">
      <c r="D14" s="47">
        <v>6.0</v>
      </c>
      <c r="E14" s="47" t="s">
        <v>48</v>
      </c>
      <c r="F14" s="59">
        <v>22500.0</v>
      </c>
      <c r="G14" s="59">
        <f>18090.35-225</f>
        <v>17865.35</v>
      </c>
      <c r="H14" s="51">
        <f t="shared" si="1"/>
        <v>-4634.65</v>
      </c>
      <c r="J14" s="47">
        <v>6.0</v>
      </c>
      <c r="K14" s="47" t="s">
        <v>48</v>
      </c>
      <c r="L14" s="55">
        <v>12500.0</v>
      </c>
      <c r="M14" s="55">
        <f>12948.9-996.99</f>
        <v>11951.91</v>
      </c>
      <c r="N14" s="51">
        <f t="shared" si="2"/>
        <v>-548.09</v>
      </c>
    </row>
    <row r="15" ht="15.75" customHeight="1">
      <c r="D15" s="47">
        <v>7.0</v>
      </c>
      <c r="E15" s="47" t="s">
        <v>41</v>
      </c>
      <c r="F15" s="59">
        <v>24000.0</v>
      </c>
      <c r="G15" s="59">
        <f>24011.5</f>
        <v>24011.5</v>
      </c>
      <c r="H15" s="51">
        <f t="shared" si="1"/>
        <v>11.5</v>
      </c>
      <c r="J15" s="47">
        <v>7.0</v>
      </c>
      <c r="K15" s="47" t="s">
        <v>41</v>
      </c>
      <c r="L15" s="55">
        <v>15100.0</v>
      </c>
      <c r="M15" s="55">
        <f>15257.84-923</f>
        <v>14334.84</v>
      </c>
      <c r="N15" s="51">
        <f t="shared" si="2"/>
        <v>-765.16</v>
      </c>
    </row>
    <row r="16" ht="15.75" customHeight="1">
      <c r="D16" s="47">
        <v>8.0</v>
      </c>
      <c r="E16" s="47" t="s">
        <v>44</v>
      </c>
      <c r="F16" s="55">
        <v>29000.0</v>
      </c>
      <c r="G16" s="59">
        <f>31053.46</f>
        <v>31053.46</v>
      </c>
      <c r="H16" s="51">
        <f t="shared" si="1"/>
        <v>2053.46</v>
      </c>
      <c r="J16" s="47">
        <v>8.0</v>
      </c>
      <c r="K16" s="47" t="s">
        <v>44</v>
      </c>
      <c r="L16" s="13">
        <v>22000.0</v>
      </c>
      <c r="M16" s="55">
        <f>26460.23-1992</f>
        <v>24468.23</v>
      </c>
      <c r="N16" s="51">
        <f t="shared" si="2"/>
        <v>2468.23</v>
      </c>
    </row>
    <row r="17" ht="15.75" customHeight="1">
      <c r="D17" s="47">
        <v>9.0</v>
      </c>
      <c r="E17" s="47" t="s">
        <v>45</v>
      </c>
      <c r="F17" s="59">
        <v>10500.0</v>
      </c>
      <c r="G17" s="59">
        <f>9502.85</f>
        <v>9502.85</v>
      </c>
      <c r="H17" s="51">
        <f t="shared" si="1"/>
        <v>-997.15</v>
      </c>
      <c r="J17" s="47">
        <v>9.0</v>
      </c>
      <c r="K17" s="47" t="s">
        <v>45</v>
      </c>
      <c r="L17" s="55">
        <v>8000.0</v>
      </c>
      <c r="M17" s="55">
        <f>4861.85-315</f>
        <v>4546.85</v>
      </c>
      <c r="N17" s="51">
        <f t="shared" si="2"/>
        <v>-3453.15</v>
      </c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46</v>
      </c>
      <c r="F18" s="59">
        <v>17200.0</v>
      </c>
      <c r="G18" s="59">
        <f>20031.6</f>
        <v>20031.6</v>
      </c>
      <c r="H18" s="51">
        <f t="shared" si="1"/>
        <v>2831.6</v>
      </c>
      <c r="J18" s="47">
        <v>10.0</v>
      </c>
      <c r="K18" s="47" t="s">
        <v>46</v>
      </c>
      <c r="L18" s="55">
        <v>8000.0</v>
      </c>
      <c r="M18" s="55">
        <f>6767.28-590</f>
        <v>6177.28</v>
      </c>
      <c r="N18" s="51">
        <f t="shared" si="2"/>
        <v>-1822.72</v>
      </c>
      <c r="S18" s="74" t="s">
        <v>29</v>
      </c>
      <c r="T18" s="75">
        <v>560000.0</v>
      </c>
      <c r="U18" s="2" t="s">
        <v>29</v>
      </c>
      <c r="V18" s="76">
        <v>338000.0</v>
      </c>
    </row>
    <row r="19" ht="15.75" customHeight="1">
      <c r="D19" s="47">
        <v>11.0</v>
      </c>
      <c r="E19" s="47" t="s">
        <v>40</v>
      </c>
      <c r="F19" s="59">
        <v>15500.0</v>
      </c>
      <c r="G19" s="59">
        <f>11312.25</f>
        <v>11312.25</v>
      </c>
      <c r="H19" s="51">
        <f t="shared" si="1"/>
        <v>-4187.75</v>
      </c>
      <c r="J19" s="47">
        <v>11.0</v>
      </c>
      <c r="K19" s="47" t="s">
        <v>40</v>
      </c>
      <c r="L19" s="55">
        <v>7400.0</v>
      </c>
      <c r="M19" s="55">
        <f>5619.21-463</f>
        <v>5156.21</v>
      </c>
      <c r="N19" s="51">
        <f t="shared" si="2"/>
        <v>-2243.79</v>
      </c>
      <c r="S19" s="74"/>
      <c r="T19" s="2"/>
      <c r="U19" s="2"/>
      <c r="V19" s="77"/>
    </row>
    <row r="20" ht="15.75" customHeight="1">
      <c r="D20" s="47">
        <v>12.0</v>
      </c>
      <c r="E20" s="47" t="s">
        <v>47</v>
      </c>
      <c r="F20" s="59">
        <v>14600.0</v>
      </c>
      <c r="G20" s="59">
        <f>936.5+13345.2-1230</f>
        <v>13051.7</v>
      </c>
      <c r="H20" s="51">
        <f t="shared" si="1"/>
        <v>-1548.3</v>
      </c>
      <c r="J20" s="47">
        <v>12.0</v>
      </c>
      <c r="K20" s="47" t="s">
        <v>47</v>
      </c>
      <c r="L20" s="55">
        <v>6000.0</v>
      </c>
      <c r="M20" s="55">
        <f>7056.46-612</f>
        <v>6444.46</v>
      </c>
      <c r="N20" s="51">
        <f t="shared" si="2"/>
        <v>444.46</v>
      </c>
      <c r="S20" s="74" t="s">
        <v>58</v>
      </c>
      <c r="T20" s="75">
        <f>SUM(G9:G15)</f>
        <v>107407</v>
      </c>
      <c r="U20" s="58" t="s">
        <v>58</v>
      </c>
      <c r="V20" s="76">
        <f>SUM(M9:M15)</f>
        <v>69496.97</v>
      </c>
    </row>
    <row r="21" ht="15.75" customHeight="1">
      <c r="D21" s="47">
        <v>13.0</v>
      </c>
      <c r="E21" s="47" t="s">
        <v>48</v>
      </c>
      <c r="F21" s="59">
        <v>22500.0</v>
      </c>
      <c r="G21" s="59">
        <f>23207.43-285</f>
        <v>22922.43</v>
      </c>
      <c r="H21" s="51">
        <f t="shared" si="1"/>
        <v>422.43</v>
      </c>
      <c r="J21" s="47">
        <v>13.0</v>
      </c>
      <c r="K21" s="47" t="s">
        <v>48</v>
      </c>
      <c r="L21" s="55">
        <v>12500.0</v>
      </c>
      <c r="M21" s="55">
        <f>10336.11-873.99</f>
        <v>9462.12</v>
      </c>
      <c r="N21" s="51">
        <f t="shared" si="2"/>
        <v>-3037.88</v>
      </c>
      <c r="S21" s="74"/>
      <c r="T21" s="79">
        <f>T20/T18</f>
        <v>0.1917982143</v>
      </c>
      <c r="V21" s="80">
        <f>V20/V18</f>
        <v>0.2056123373</v>
      </c>
      <c r="W21" s="66"/>
    </row>
    <row r="22" ht="15.75" customHeight="1">
      <c r="D22" s="47">
        <v>14.0</v>
      </c>
      <c r="E22" s="47" t="s">
        <v>41</v>
      </c>
      <c r="F22" s="59">
        <v>24000.0</v>
      </c>
      <c r="G22" s="59">
        <f>27302.95</f>
        <v>27302.95</v>
      </c>
      <c r="H22" s="51">
        <f t="shared" si="1"/>
        <v>3302.95</v>
      </c>
      <c r="J22" s="47">
        <v>14.0</v>
      </c>
      <c r="K22" s="47" t="s">
        <v>41</v>
      </c>
      <c r="L22" s="55">
        <v>15100.0</v>
      </c>
      <c r="M22" s="55">
        <f>14812.45-1245.99</f>
        <v>13566.46</v>
      </c>
      <c r="N22" s="51">
        <f t="shared" si="2"/>
        <v>-1533.54</v>
      </c>
      <c r="S22" s="74"/>
      <c r="T22" s="81"/>
      <c r="V22" s="77"/>
    </row>
    <row r="23" ht="15.75" customHeight="1">
      <c r="D23" s="47">
        <v>15.0</v>
      </c>
      <c r="E23" s="47" t="s">
        <v>44</v>
      </c>
      <c r="F23" s="55">
        <v>29000.0</v>
      </c>
      <c r="G23" s="59">
        <f>24895.25</f>
        <v>24895.25</v>
      </c>
      <c r="H23" s="51">
        <f t="shared" si="1"/>
        <v>-4104.75</v>
      </c>
      <c r="J23" s="47">
        <v>15.0</v>
      </c>
      <c r="K23" s="47" t="s">
        <v>44</v>
      </c>
      <c r="L23" s="13">
        <v>22000.0</v>
      </c>
      <c r="M23" s="55">
        <f>25635.46-1660</f>
        <v>23975.46</v>
      </c>
      <c r="N23" s="51">
        <f t="shared" si="2"/>
        <v>1975.46</v>
      </c>
      <c r="S23" s="74" t="s">
        <v>62</v>
      </c>
      <c r="T23" s="75">
        <f>SUM(G16:G22)</f>
        <v>135177.24</v>
      </c>
      <c r="U23" s="58" t="s">
        <v>62</v>
      </c>
      <c r="V23" s="76">
        <f>SUM(M16:M22)</f>
        <v>69821.61</v>
      </c>
    </row>
    <row r="24" ht="15.75" customHeight="1">
      <c r="D24" s="47">
        <v>16.0</v>
      </c>
      <c r="E24" s="47" t="s">
        <v>45</v>
      </c>
      <c r="F24" s="59">
        <v>10500.0</v>
      </c>
      <c r="G24" s="59">
        <f>13315.25-8256</f>
        <v>5059.25</v>
      </c>
      <c r="H24" s="51">
        <f t="shared" si="1"/>
        <v>-5440.75</v>
      </c>
      <c r="J24" s="47">
        <v>16.0</v>
      </c>
      <c r="K24" s="47" t="s">
        <v>45</v>
      </c>
      <c r="L24" s="55">
        <v>8000.0</v>
      </c>
      <c r="M24" s="55">
        <f>4168.64-389</f>
        <v>3779.64</v>
      </c>
      <c r="N24" s="51">
        <f t="shared" si="2"/>
        <v>-4220.36</v>
      </c>
      <c r="S24" s="74"/>
      <c r="T24" s="79">
        <f>T23/T18</f>
        <v>0.2413879286</v>
      </c>
      <c r="V24" s="80">
        <f>V23/V18</f>
        <v>0.2065728107</v>
      </c>
    </row>
    <row r="25" ht="15.75" customHeight="1">
      <c r="D25" s="47">
        <v>17.0</v>
      </c>
      <c r="E25" s="47" t="s">
        <v>46</v>
      </c>
      <c r="F25" s="59">
        <v>17200.0</v>
      </c>
      <c r="G25" s="59">
        <f>9248.45</f>
        <v>9248.45</v>
      </c>
      <c r="H25" s="51">
        <f t="shared" si="1"/>
        <v>-7951.55</v>
      </c>
      <c r="J25" s="47">
        <v>17.0</v>
      </c>
      <c r="K25" s="47" t="s">
        <v>46</v>
      </c>
      <c r="L25" s="55">
        <v>8000.0</v>
      </c>
      <c r="M25" s="55">
        <f>6310.37-491</f>
        <v>5819.37</v>
      </c>
      <c r="N25" s="51">
        <f t="shared" si="2"/>
        <v>-2180.63</v>
      </c>
      <c r="S25" s="74"/>
      <c r="T25" s="81"/>
      <c r="V25" s="77"/>
    </row>
    <row r="26" ht="15.75" customHeight="1">
      <c r="D26" s="47">
        <v>18.0</v>
      </c>
      <c r="E26" s="47" t="s">
        <v>40</v>
      </c>
      <c r="F26" s="59">
        <v>15500.0</v>
      </c>
      <c r="G26" s="59">
        <f>15725.46</f>
        <v>15725.46</v>
      </c>
      <c r="H26" s="51">
        <f t="shared" si="1"/>
        <v>225.46</v>
      </c>
      <c r="J26" s="47">
        <v>18.0</v>
      </c>
      <c r="K26" s="47" t="s">
        <v>40</v>
      </c>
      <c r="L26" s="55">
        <v>7400.0</v>
      </c>
      <c r="M26" s="55">
        <f>6385.66-456.99</f>
        <v>5928.67</v>
      </c>
      <c r="N26" s="51">
        <f t="shared" si="2"/>
        <v>-1471.33</v>
      </c>
      <c r="S26" s="74" t="s">
        <v>63</v>
      </c>
      <c r="T26" s="75">
        <f>SUM(G23:G29)</f>
        <v>114706.19</v>
      </c>
      <c r="U26" s="58" t="s">
        <v>63</v>
      </c>
      <c r="V26" s="76">
        <f>SUM(M23:M29)</f>
        <v>74994.09</v>
      </c>
    </row>
    <row r="27" ht="15.75" customHeight="1">
      <c r="D27" s="47">
        <v>19.0</v>
      </c>
      <c r="E27" s="47" t="s">
        <v>47</v>
      </c>
      <c r="F27" s="59">
        <v>14600.0</v>
      </c>
      <c r="G27" s="59">
        <f>2199.5+13397.35</f>
        <v>15596.85</v>
      </c>
      <c r="H27" s="51">
        <f t="shared" si="1"/>
        <v>996.85</v>
      </c>
      <c r="J27" s="47">
        <v>19.0</v>
      </c>
      <c r="K27" s="47" t="s">
        <v>47</v>
      </c>
      <c r="L27" s="55">
        <v>6000.0</v>
      </c>
      <c r="M27" s="55">
        <f>10053.48-619</f>
        <v>9434.48</v>
      </c>
      <c r="N27" s="51">
        <f t="shared" si="2"/>
        <v>3434.48</v>
      </c>
      <c r="S27" s="74"/>
      <c r="T27" s="79">
        <f>T26/T18</f>
        <v>0.2048324821</v>
      </c>
      <c r="V27" s="80">
        <f>V26/V18</f>
        <v>0.2218760059</v>
      </c>
    </row>
    <row r="28" ht="15.75" customHeight="1">
      <c r="D28" s="47">
        <v>20.0</v>
      </c>
      <c r="E28" s="47" t="s">
        <v>48</v>
      </c>
      <c r="F28" s="59">
        <v>22500.0</v>
      </c>
      <c r="G28" s="59">
        <f>22077.7-240</f>
        <v>21837.7</v>
      </c>
      <c r="H28" s="51">
        <f t="shared" si="1"/>
        <v>-662.3</v>
      </c>
      <c r="J28" s="47">
        <v>20.0</v>
      </c>
      <c r="K28" s="47" t="s">
        <v>48</v>
      </c>
      <c r="L28" s="55">
        <v>12500.0</v>
      </c>
      <c r="M28" s="55">
        <f>13398.34-914-9</f>
        <v>12475.34</v>
      </c>
      <c r="N28" s="51">
        <f t="shared" si="2"/>
        <v>-24.66</v>
      </c>
      <c r="S28" s="74"/>
      <c r="V28" s="82"/>
    </row>
    <row r="29" ht="15.75" customHeight="1">
      <c r="D29" s="47">
        <v>21.0</v>
      </c>
      <c r="E29" s="47" t="s">
        <v>41</v>
      </c>
      <c r="F29" s="59">
        <v>24000.0</v>
      </c>
      <c r="G29" s="59">
        <f>22343.23</f>
        <v>22343.23</v>
      </c>
      <c r="H29" s="51">
        <f t="shared" si="1"/>
        <v>-1656.77</v>
      </c>
      <c r="J29" s="47">
        <v>21.0</v>
      </c>
      <c r="K29" s="47" t="s">
        <v>41</v>
      </c>
      <c r="L29" s="55">
        <v>15100.0</v>
      </c>
      <c r="M29" s="55">
        <f>14559.13-978</f>
        <v>13581.13</v>
      </c>
      <c r="N29" s="51">
        <f t="shared" si="2"/>
        <v>-1518.87</v>
      </c>
      <c r="S29" s="74" t="s">
        <v>64</v>
      </c>
      <c r="T29" s="61">
        <f>SUM(G30:G36)</f>
        <v>109820.3</v>
      </c>
      <c r="U29" s="58" t="s">
        <v>64</v>
      </c>
      <c r="V29" s="83">
        <f>SUM(M30:M36)</f>
        <v>81481.46</v>
      </c>
    </row>
    <row r="30" ht="15.75" customHeight="1">
      <c r="D30" s="47">
        <v>22.0</v>
      </c>
      <c r="E30" s="47" t="s">
        <v>44</v>
      </c>
      <c r="F30" s="55">
        <v>29000.0</v>
      </c>
      <c r="G30" s="59">
        <f>25204.5</f>
        <v>25204.5</v>
      </c>
      <c r="H30" s="51">
        <f t="shared" si="1"/>
        <v>-3795.5</v>
      </c>
      <c r="J30" s="47">
        <v>22.0</v>
      </c>
      <c r="K30" s="47" t="s">
        <v>44</v>
      </c>
      <c r="L30" s="13">
        <v>22000.0</v>
      </c>
      <c r="M30" s="55">
        <f>24304.77-1604.49</f>
        <v>22700.28</v>
      </c>
      <c r="N30" s="51">
        <f t="shared" si="2"/>
        <v>700.28</v>
      </c>
      <c r="S30" s="74"/>
      <c r="T30" s="79">
        <f>T29/T18</f>
        <v>0.1961076786</v>
      </c>
      <c r="V30" s="80">
        <f>V29/V18</f>
        <v>0.2410694083</v>
      </c>
    </row>
    <row r="31" ht="15.75" customHeight="1">
      <c r="D31" s="47">
        <v>23.0</v>
      </c>
      <c r="E31" s="47" t="s">
        <v>45</v>
      </c>
      <c r="F31" s="59">
        <v>10500.0</v>
      </c>
      <c r="G31" s="59">
        <f>15422.6</f>
        <v>15422.6</v>
      </c>
      <c r="H31" s="51">
        <f t="shared" si="1"/>
        <v>4922.6</v>
      </c>
      <c r="J31" s="47">
        <v>23.0</v>
      </c>
      <c r="K31" s="47" t="s">
        <v>45</v>
      </c>
      <c r="L31" s="55">
        <v>8000.0</v>
      </c>
      <c r="M31" s="55">
        <f>10185.9-608</f>
        <v>9577.9</v>
      </c>
      <c r="N31" s="51">
        <f t="shared" si="2"/>
        <v>1577.9</v>
      </c>
      <c r="S31" s="74" t="s">
        <v>65</v>
      </c>
      <c r="T31" s="61">
        <f>SUM(G37:G39)</f>
        <v>29552.3</v>
      </c>
      <c r="U31" s="58" t="s">
        <v>65</v>
      </c>
      <c r="V31" s="83">
        <f>SUM(M37:M39)</f>
        <v>25390.68</v>
      </c>
    </row>
    <row r="32" ht="15.75" customHeight="1">
      <c r="D32" s="47">
        <v>24.0</v>
      </c>
      <c r="E32" s="47" t="s">
        <v>46</v>
      </c>
      <c r="F32" s="59"/>
      <c r="G32" s="59"/>
      <c r="H32" s="51">
        <f t="shared" si="1"/>
        <v>0</v>
      </c>
      <c r="J32" s="47">
        <v>24.0</v>
      </c>
      <c r="K32" s="47" t="s">
        <v>46</v>
      </c>
      <c r="L32" s="55"/>
      <c r="M32" s="55"/>
      <c r="N32" s="51">
        <f t="shared" si="2"/>
        <v>0</v>
      </c>
      <c r="S32" s="84" t="s">
        <v>155</v>
      </c>
      <c r="T32" s="85">
        <f>T31/T18</f>
        <v>0.05277196429</v>
      </c>
      <c r="U32" s="84" t="s">
        <v>155</v>
      </c>
      <c r="V32" s="87">
        <f>V31/V18</f>
        <v>0.07512035503</v>
      </c>
    </row>
    <row r="33" ht="15.75" customHeight="1">
      <c r="D33" s="47">
        <v>25.0</v>
      </c>
      <c r="E33" s="47" t="s">
        <v>40</v>
      </c>
      <c r="F33" s="59">
        <v>15500.0</v>
      </c>
      <c r="G33" s="59">
        <f>18532.35</f>
        <v>18532.35</v>
      </c>
      <c r="H33" s="51">
        <f t="shared" si="1"/>
        <v>3032.35</v>
      </c>
      <c r="I33" s="58">
        <v>61.0</v>
      </c>
      <c r="J33" s="47">
        <v>25.0</v>
      </c>
      <c r="K33" s="47" t="s">
        <v>40</v>
      </c>
      <c r="L33" s="55">
        <v>7400.0</v>
      </c>
      <c r="M33" s="55">
        <f>22918.42-1770.49</f>
        <v>21147.93</v>
      </c>
      <c r="N33" s="51">
        <f t="shared" si="2"/>
        <v>13747.93</v>
      </c>
      <c r="O33" s="58">
        <v>178.0</v>
      </c>
    </row>
    <row r="34" ht="15.75" customHeight="1">
      <c r="D34" s="47">
        <v>26.0</v>
      </c>
      <c r="E34" s="47" t="s">
        <v>47</v>
      </c>
      <c r="F34" s="59">
        <v>14600.0</v>
      </c>
      <c r="G34" s="59">
        <f>10191.5</f>
        <v>10191.5</v>
      </c>
      <c r="H34" s="51">
        <f t="shared" si="1"/>
        <v>-4408.5</v>
      </c>
      <c r="J34" s="47">
        <v>26.0</v>
      </c>
      <c r="K34" s="47" t="s">
        <v>47</v>
      </c>
      <c r="L34" s="55">
        <v>6000.0</v>
      </c>
      <c r="M34" s="55">
        <f>6046.87-469.09+62.94</f>
        <v>5640.72</v>
      </c>
      <c r="N34" s="51">
        <f t="shared" si="2"/>
        <v>-359.28</v>
      </c>
      <c r="R34" s="179" t="s">
        <v>72</v>
      </c>
      <c r="S34" s="93" t="s">
        <v>73</v>
      </c>
      <c r="T34" s="94">
        <f>T20+T23+T26+T29+T31</f>
        <v>496663.03</v>
      </c>
      <c r="U34" s="164" t="s">
        <v>74</v>
      </c>
      <c r="V34" s="96">
        <f>V20+V23+V26+V29+V31</f>
        <v>321184.81</v>
      </c>
      <c r="W34" s="179" t="s">
        <v>72</v>
      </c>
    </row>
    <row r="35" ht="15.75" customHeight="1">
      <c r="D35" s="47">
        <v>27.0</v>
      </c>
      <c r="E35" s="47" t="s">
        <v>48</v>
      </c>
      <c r="F35" s="59">
        <v>27000.0</v>
      </c>
      <c r="G35" s="59">
        <f>23064.55-375</f>
        <v>22689.55</v>
      </c>
      <c r="H35" s="51">
        <f t="shared" si="1"/>
        <v>-4310.45</v>
      </c>
      <c r="J35" s="47">
        <v>27.0</v>
      </c>
      <c r="K35" s="47" t="s">
        <v>48</v>
      </c>
      <c r="L35" s="55">
        <v>12500.0</v>
      </c>
      <c r="M35" s="55">
        <f>10770.97-674.62</f>
        <v>10096.35</v>
      </c>
      <c r="N35" s="51">
        <f t="shared" si="2"/>
        <v>-2403.65</v>
      </c>
      <c r="R35" s="180">
        <f>T35-U35</f>
        <v>-0.1131017321</v>
      </c>
      <c r="S35" s="98"/>
      <c r="T35" s="99">
        <f>T34/T18</f>
        <v>0.8868982679</v>
      </c>
      <c r="U35" s="181">
        <f>29/29</f>
        <v>1</v>
      </c>
      <c r="V35" s="100">
        <f>V34/V18</f>
        <v>0.9502509172</v>
      </c>
      <c r="W35" s="180">
        <f>V35-U35</f>
        <v>-0.04974908284</v>
      </c>
    </row>
    <row r="36" ht="15.75" customHeight="1">
      <c r="D36" s="47">
        <v>28.0</v>
      </c>
      <c r="E36" s="47" t="s">
        <v>41</v>
      </c>
      <c r="F36" s="59">
        <v>24000.0</v>
      </c>
      <c r="G36" s="59">
        <v>17779.8</v>
      </c>
      <c r="H36" s="51">
        <f t="shared" si="1"/>
        <v>-6220.2</v>
      </c>
      <c r="J36" s="47">
        <v>28.0</v>
      </c>
      <c r="K36" s="47" t="s">
        <v>41</v>
      </c>
      <c r="L36" s="55">
        <v>15100.0</v>
      </c>
      <c r="M36" s="55">
        <f>13257.84-939.56</f>
        <v>12318.28</v>
      </c>
      <c r="N36" s="51">
        <f t="shared" si="2"/>
        <v>-2781.72</v>
      </c>
      <c r="S36" s="98" t="s">
        <v>76</v>
      </c>
      <c r="T36" s="104">
        <f>T18-T34</f>
        <v>63336.97</v>
      </c>
      <c r="U36" s="99"/>
      <c r="V36" s="106">
        <f>V18-V34</f>
        <v>16815.19</v>
      </c>
    </row>
    <row r="37" ht="15.75" customHeight="1">
      <c r="D37" s="47">
        <v>29.0</v>
      </c>
      <c r="E37" s="47" t="s">
        <v>44</v>
      </c>
      <c r="F37" s="55">
        <v>29000.0</v>
      </c>
      <c r="G37" s="59">
        <f>20663.4</f>
        <v>20663.4</v>
      </c>
      <c r="H37" s="51">
        <f t="shared" si="1"/>
        <v>-8336.6</v>
      </c>
      <c r="J37" s="47">
        <v>29.0</v>
      </c>
      <c r="K37" s="47" t="s">
        <v>44</v>
      </c>
      <c r="L37" s="13">
        <v>22000.0</v>
      </c>
      <c r="M37" s="55">
        <f>18002.92-1387.75</f>
        <v>16615.17</v>
      </c>
      <c r="N37" s="51">
        <f t="shared" si="2"/>
        <v>-5384.83</v>
      </c>
      <c r="S37" s="110"/>
      <c r="T37" s="112">
        <f>T36/T18</f>
        <v>0.1131017321</v>
      </c>
      <c r="U37" s="112"/>
      <c r="V37" s="113">
        <f>V36/V18</f>
        <v>0.04974908284</v>
      </c>
    </row>
    <row r="38" ht="15.75" customHeight="1">
      <c r="D38" s="47">
        <v>30.0</v>
      </c>
      <c r="E38" s="47" t="s">
        <v>45</v>
      </c>
      <c r="F38" s="59">
        <v>10500.0</v>
      </c>
      <c r="G38" s="59">
        <f>8888.9</f>
        <v>8888.9</v>
      </c>
      <c r="H38" s="51">
        <f t="shared" si="1"/>
        <v>-1611.1</v>
      </c>
      <c r="J38" s="47">
        <v>30.0</v>
      </c>
      <c r="K38" s="47" t="s">
        <v>45</v>
      </c>
      <c r="L38" s="55">
        <v>8000.0</v>
      </c>
      <c r="M38" s="55">
        <f>9231.46-485.95+30</f>
        <v>8775.51</v>
      </c>
      <c r="N38" s="51">
        <f t="shared" si="2"/>
        <v>775.51</v>
      </c>
    </row>
    <row r="39" ht="15.75" customHeight="1">
      <c r="D39" s="47">
        <v>31.0</v>
      </c>
      <c r="E39" s="47" t="s">
        <v>46</v>
      </c>
      <c r="F39" s="59"/>
      <c r="G39" s="59"/>
      <c r="H39" s="51"/>
      <c r="J39" s="47">
        <v>31.0</v>
      </c>
      <c r="K39" s="47" t="s">
        <v>46</v>
      </c>
      <c r="L39" s="55"/>
      <c r="M39" s="55"/>
      <c r="N39" s="51"/>
    </row>
    <row r="40" ht="15.75" customHeight="1">
      <c r="D40" s="8"/>
      <c r="E40" s="8"/>
      <c r="F40" s="107">
        <f t="shared" ref="F40:H40" si="3">SUM(F9:F39)</f>
        <v>560000</v>
      </c>
      <c r="G40" s="107">
        <f t="shared" si="3"/>
        <v>496663.03</v>
      </c>
      <c r="H40" s="105">
        <f t="shared" si="3"/>
        <v>-63336.97</v>
      </c>
      <c r="J40" s="8"/>
      <c r="K40" s="8"/>
      <c r="L40" s="107">
        <f t="shared" ref="L40:N40" si="4">SUM(L9:L39)</f>
        <v>338000</v>
      </c>
      <c r="M40" s="107">
        <f t="shared" si="4"/>
        <v>321184.81</v>
      </c>
      <c r="N40" s="105">
        <f t="shared" si="4"/>
        <v>-16815.19</v>
      </c>
    </row>
    <row r="41" ht="15.75" customHeight="1">
      <c r="G41" s="114">
        <f>G40/E44</f>
        <v>0.8868982679</v>
      </c>
      <c r="H41" s="1"/>
      <c r="J41" s="1"/>
      <c r="K41" s="1"/>
      <c r="L41" s="1"/>
      <c r="M41" s="114">
        <f>M40/K44</f>
        <v>0.9502509172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496663.03</v>
      </c>
      <c r="L43" s="115" t="s">
        <v>77</v>
      </c>
      <c r="M43" s="118">
        <f>L40+N40</f>
        <v>321184.81</v>
      </c>
    </row>
    <row r="44" ht="15.75" customHeight="1">
      <c r="D44" s="122" t="s">
        <v>29</v>
      </c>
      <c r="E44" s="124">
        <v>560000.0</v>
      </c>
      <c r="F44" s="2"/>
      <c r="G44" s="2"/>
      <c r="J44" s="126" t="s">
        <v>29</v>
      </c>
      <c r="K44" s="124">
        <v>338000.0</v>
      </c>
      <c r="L44" s="2"/>
      <c r="M44" s="2"/>
    </row>
    <row r="45" ht="15.75" customHeight="1"/>
    <row r="46" ht="15.75" customHeight="1"/>
    <row r="47" ht="15.75" customHeight="1"/>
    <row r="48" ht="15.75" customHeight="1">
      <c r="J48" s="121">
        <f>G40+M40</f>
        <v>817847.84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4:H6"/>
    <mergeCell ref="J4:N6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9.44"/>
    <col customWidth="1" min="5" max="6" width="18.44"/>
    <col customWidth="1" min="7" max="7" width="11.44"/>
    <col customWidth="1" min="8" max="8" width="10.56"/>
    <col customWidth="1" min="9" max="9" width="11.11"/>
    <col customWidth="1" min="10" max="10" width="19.44"/>
    <col customWidth="1" min="11" max="12" width="18.67"/>
    <col customWidth="1" min="13" max="13" width="11.44"/>
    <col customWidth="1" min="14" max="16" width="10.56"/>
    <col customWidth="1" min="17" max="18" width="16.44"/>
    <col customWidth="1" min="19" max="19" width="15.11"/>
    <col customWidth="1" min="20" max="20" width="14.0"/>
    <col customWidth="1" min="21" max="21" width="10.56"/>
    <col customWidth="1" min="22" max="22" width="15.11"/>
    <col customWidth="1" min="23" max="23" width="16.33"/>
    <col customWidth="1" min="24" max="24" width="15.33"/>
    <col customWidth="1" min="25" max="25" width="7.78"/>
    <col customWidth="1" hidden="1" min="26" max="26" width="10.78"/>
    <col customWidth="1" min="27" max="27" width="15.33"/>
    <col customWidth="1" min="28" max="28" width="17.11"/>
    <col customWidth="1" min="29" max="29" width="23.78"/>
    <col customWidth="1" min="30" max="30" width="10.56"/>
    <col customWidth="1" min="31" max="31" width="13.0"/>
    <col customWidth="1" min="32" max="32" width="16.78"/>
    <col customWidth="1" min="33" max="33" width="21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  <c r="O3" s="15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AG5" s="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Z6" s="1"/>
      <c r="AA6" s="1"/>
      <c r="AB6" s="1"/>
      <c r="AC6" s="1"/>
      <c r="AD6" s="1"/>
      <c r="AE6" s="1"/>
      <c r="AF6" s="1"/>
      <c r="AG6" s="8"/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Q7" s="1"/>
      <c r="R7" s="3"/>
      <c r="S7" s="3"/>
      <c r="U7" s="1"/>
      <c r="V7" s="3"/>
      <c r="Z7" s="1"/>
      <c r="AA7" s="137" t="s">
        <v>147</v>
      </c>
      <c r="AB7" s="41"/>
      <c r="AC7" s="6"/>
      <c r="AE7" s="137" t="s">
        <v>148</v>
      </c>
      <c r="AF7" s="41"/>
      <c r="AG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1"/>
      <c r="R8" s="1"/>
      <c r="S8" s="3"/>
      <c r="T8" s="3"/>
      <c r="Z8" s="1"/>
      <c r="AA8" s="44" t="s">
        <v>32</v>
      </c>
      <c r="AB8" s="44" t="s">
        <v>33</v>
      </c>
      <c r="AC8" s="138" t="s">
        <v>152</v>
      </c>
      <c r="AE8" s="44" t="s">
        <v>32</v>
      </c>
      <c r="AF8" s="44" t="s">
        <v>33</v>
      </c>
      <c r="AG8" s="138" t="s">
        <v>153</v>
      </c>
    </row>
    <row r="9" ht="15.75" customHeight="1">
      <c r="C9" s="47">
        <v>1.0</v>
      </c>
      <c r="D9" s="47" t="s">
        <v>44</v>
      </c>
      <c r="E9" s="55">
        <v>29000.0</v>
      </c>
      <c r="F9" s="55">
        <f>26681.7</f>
        <v>26681.7</v>
      </c>
      <c r="G9" s="51">
        <f t="shared" ref="G9:G38" si="1">F9-E9</f>
        <v>-2318.3</v>
      </c>
      <c r="I9" s="47">
        <v>1.0</v>
      </c>
      <c r="J9" s="47" t="s">
        <v>44</v>
      </c>
      <c r="K9" s="13">
        <v>22000.0</v>
      </c>
      <c r="L9" s="13">
        <f>21428.94-1609.49</f>
        <v>19819.45</v>
      </c>
      <c r="M9" s="51">
        <f t="shared" ref="M9:M38" si="2">L9-K9</f>
        <v>-2180.55</v>
      </c>
      <c r="Q9" s="139" t="s">
        <v>89</v>
      </c>
      <c r="R9" s="41"/>
      <c r="S9" s="41"/>
      <c r="T9" s="6"/>
      <c r="V9" s="139" t="s">
        <v>1</v>
      </c>
      <c r="W9" s="41"/>
      <c r="X9" s="6"/>
      <c r="Z9" s="1"/>
      <c r="AA9" s="47">
        <v>1.0</v>
      </c>
      <c r="AB9" s="47" t="s">
        <v>40</v>
      </c>
      <c r="AC9" s="197">
        <v>19914.35</v>
      </c>
      <c r="AE9" s="47">
        <v>1.0</v>
      </c>
      <c r="AF9" s="47" t="s">
        <v>40</v>
      </c>
      <c r="AG9" s="197">
        <f>19569.5-1441.38</f>
        <v>18128.12</v>
      </c>
    </row>
    <row r="10" ht="15.75" customHeight="1">
      <c r="C10" s="47">
        <v>2.0</v>
      </c>
      <c r="D10" s="47" t="s">
        <v>45</v>
      </c>
      <c r="E10" s="59">
        <v>10500.0</v>
      </c>
      <c r="F10" s="59">
        <f>6637.4</f>
        <v>6637.4</v>
      </c>
      <c r="G10" s="51">
        <f t="shared" si="1"/>
        <v>-3862.6</v>
      </c>
      <c r="I10" s="47">
        <v>2.0</v>
      </c>
      <c r="J10" s="47" t="s">
        <v>45</v>
      </c>
      <c r="K10" s="55">
        <v>8000.0</v>
      </c>
      <c r="L10" s="55">
        <f>5125.55-334</f>
        <v>4791.55</v>
      </c>
      <c r="M10" s="51">
        <f t="shared" si="2"/>
        <v>-3208.45</v>
      </c>
      <c r="Q10" s="140"/>
      <c r="R10" s="141">
        <v>45261.0</v>
      </c>
      <c r="S10" s="141">
        <v>45292.0</v>
      </c>
      <c r="T10" s="142" t="s">
        <v>90</v>
      </c>
      <c r="V10" s="140"/>
      <c r="W10" s="141">
        <v>45627.0</v>
      </c>
      <c r="X10" s="141" t="s">
        <v>154</v>
      </c>
      <c r="Z10" s="1"/>
      <c r="AA10" s="47">
        <v>2.0</v>
      </c>
      <c r="AB10" s="47" t="s">
        <v>47</v>
      </c>
      <c r="AC10" s="197">
        <v>9851.43</v>
      </c>
      <c r="AE10" s="47">
        <v>2.0</v>
      </c>
      <c r="AF10" s="47" t="s">
        <v>47</v>
      </c>
      <c r="AG10" s="197">
        <f>7045.13-353.52</f>
        <v>6691.61</v>
      </c>
    </row>
    <row r="11" ht="15.75" customHeight="1">
      <c r="C11" s="47">
        <v>3.0</v>
      </c>
      <c r="D11" s="47" t="s">
        <v>46</v>
      </c>
      <c r="E11" s="59">
        <v>17200.0</v>
      </c>
      <c r="F11" s="59">
        <f>11247.8</f>
        <v>11247.8</v>
      </c>
      <c r="G11" s="51">
        <f t="shared" si="1"/>
        <v>-5952.2</v>
      </c>
      <c r="I11" s="47">
        <v>3.0</v>
      </c>
      <c r="J11" s="47" t="s">
        <v>46</v>
      </c>
      <c r="K11" s="55">
        <v>8000.0</v>
      </c>
      <c r="L11" s="55">
        <f>5969.82-466</f>
        <v>5503.82</v>
      </c>
      <c r="M11" s="51">
        <f t="shared" si="2"/>
        <v>-2496.18</v>
      </c>
      <c r="Q11" s="140" t="s">
        <v>6</v>
      </c>
      <c r="R11" s="55">
        <v>12074.91</v>
      </c>
      <c r="S11" s="55">
        <v>8349.95</v>
      </c>
      <c r="T11" s="143">
        <f t="shared" ref="T11:T17" si="3">S11/R11-1</f>
        <v>-0.3084875995</v>
      </c>
      <c r="V11" s="140" t="s">
        <v>6</v>
      </c>
      <c r="W11" s="55">
        <f>AVERAGE(F17,F24,F31,F38,F10)</f>
        <v>9102.2</v>
      </c>
      <c r="X11" s="144">
        <f t="shared" ref="X11:X17" si="4">W11*T11+W11</f>
        <v>6294.284172</v>
      </c>
      <c r="Z11" s="1"/>
      <c r="AA11" s="47">
        <v>3.0</v>
      </c>
      <c r="AB11" s="47" t="s">
        <v>48</v>
      </c>
      <c r="AC11" s="197">
        <v>14947.13</v>
      </c>
      <c r="AE11" s="47">
        <v>3.0</v>
      </c>
      <c r="AF11" s="47" t="s">
        <v>48</v>
      </c>
      <c r="AG11" s="197">
        <f>7556.31-645.92</f>
        <v>6910.39</v>
      </c>
    </row>
    <row r="12" ht="15.75" customHeight="1">
      <c r="C12" s="47">
        <v>4.0</v>
      </c>
      <c r="D12" s="47" t="s">
        <v>40</v>
      </c>
      <c r="E12" s="59">
        <v>15500.0</v>
      </c>
      <c r="F12" s="59">
        <f>909.5+8760.4</f>
        <v>9669.9</v>
      </c>
      <c r="G12" s="51">
        <f t="shared" si="1"/>
        <v>-5830.1</v>
      </c>
      <c r="I12" s="47">
        <v>4.0</v>
      </c>
      <c r="J12" s="47" t="s">
        <v>40</v>
      </c>
      <c r="K12" s="55">
        <v>7400.0</v>
      </c>
      <c r="L12" s="55">
        <f>6915.74-585.99</f>
        <v>6329.75</v>
      </c>
      <c r="M12" s="51">
        <f t="shared" si="2"/>
        <v>-1070.25</v>
      </c>
      <c r="Q12" s="140" t="s">
        <v>10</v>
      </c>
      <c r="R12" s="55">
        <v>12977.04</v>
      </c>
      <c r="S12" s="55">
        <v>6405.89</v>
      </c>
      <c r="T12" s="143">
        <f t="shared" si="3"/>
        <v>-0.5063673997</v>
      </c>
      <c r="V12" s="140" t="s">
        <v>10</v>
      </c>
      <c r="W12" s="55">
        <f>AVERAGE(F18,F25,F11)</f>
        <v>13509.28333</v>
      </c>
      <c r="X12" s="144">
        <f t="shared" si="4"/>
        <v>6668.622661</v>
      </c>
      <c r="Z12" s="1"/>
      <c r="AA12" s="47">
        <v>4.0</v>
      </c>
      <c r="AB12" s="47" t="s">
        <v>41</v>
      </c>
      <c r="AC12" s="197">
        <v>15470.2</v>
      </c>
      <c r="AE12" s="47">
        <v>4.0</v>
      </c>
      <c r="AF12" s="47" t="s">
        <v>41</v>
      </c>
      <c r="AG12" s="197">
        <f>16010.61-915.59</f>
        <v>15095.02</v>
      </c>
    </row>
    <row r="13" ht="15.75" customHeight="1">
      <c r="C13" s="47">
        <v>5.0</v>
      </c>
      <c r="D13" s="47" t="s">
        <v>47</v>
      </c>
      <c r="E13" s="59">
        <v>14600.0</v>
      </c>
      <c r="F13" s="59">
        <f>11293.35</f>
        <v>11293.35</v>
      </c>
      <c r="G13" s="51">
        <f t="shared" si="1"/>
        <v>-3306.65</v>
      </c>
      <c r="I13" s="47">
        <v>5.0</v>
      </c>
      <c r="J13" s="47" t="s">
        <v>47</v>
      </c>
      <c r="K13" s="55">
        <v>6000.0</v>
      </c>
      <c r="L13" s="55">
        <f>7338.65-573</f>
        <v>6765.65</v>
      </c>
      <c r="M13" s="51">
        <f t="shared" si="2"/>
        <v>765.65</v>
      </c>
      <c r="Q13" s="140" t="s">
        <v>12</v>
      </c>
      <c r="R13" s="55">
        <v>14655.92</v>
      </c>
      <c r="S13" s="55">
        <v>5702.15</v>
      </c>
      <c r="T13" s="143">
        <f t="shared" si="3"/>
        <v>-0.6109319647</v>
      </c>
      <c r="V13" s="140" t="s">
        <v>12</v>
      </c>
      <c r="W13" s="55">
        <f t="shared" ref="W13:W16" si="5">AVERAGE(F19,F26,F33,F12)</f>
        <v>13809.99</v>
      </c>
      <c r="X13" s="144">
        <f t="shared" si="4"/>
        <v>5373.025677</v>
      </c>
      <c r="Y13" s="61"/>
      <c r="Z13" s="1"/>
      <c r="AA13" s="47">
        <v>5.0</v>
      </c>
      <c r="AB13" s="47" t="s">
        <v>44</v>
      </c>
      <c r="AC13" s="197">
        <v>30222.38</v>
      </c>
      <c r="AE13" s="47">
        <v>5.0</v>
      </c>
      <c r="AF13" s="47" t="s">
        <v>44</v>
      </c>
      <c r="AG13" s="197">
        <f>16522.13-1220.87</f>
        <v>15301.26</v>
      </c>
    </row>
    <row r="14" ht="15.75" customHeight="1">
      <c r="C14" s="47">
        <v>6.0</v>
      </c>
      <c r="D14" s="47" t="s">
        <v>48</v>
      </c>
      <c r="E14" s="59">
        <v>22500.0</v>
      </c>
      <c r="F14" s="59">
        <f>18090.35-225</f>
        <v>17865.35</v>
      </c>
      <c r="G14" s="51">
        <f t="shared" si="1"/>
        <v>-4634.65</v>
      </c>
      <c r="I14" s="47">
        <v>6.0</v>
      </c>
      <c r="J14" s="47" t="s">
        <v>48</v>
      </c>
      <c r="K14" s="55">
        <v>12500.0</v>
      </c>
      <c r="L14" s="55">
        <f>12948.9-996.99</f>
        <v>11951.91</v>
      </c>
      <c r="M14" s="51">
        <f t="shared" si="2"/>
        <v>-548.09</v>
      </c>
      <c r="Q14" s="140" t="s">
        <v>15</v>
      </c>
      <c r="R14" s="55">
        <f>15545.04</f>
        <v>15545.04</v>
      </c>
      <c r="S14" s="55">
        <v>5676.26</v>
      </c>
      <c r="T14" s="143">
        <f t="shared" si="3"/>
        <v>-0.6348507305</v>
      </c>
      <c r="V14" s="140" t="s">
        <v>15</v>
      </c>
      <c r="W14" s="55">
        <f t="shared" si="5"/>
        <v>12533.35</v>
      </c>
      <c r="X14" s="144">
        <f t="shared" si="4"/>
        <v>4576.543597</v>
      </c>
      <c r="Z14" s="1"/>
      <c r="AA14" s="47">
        <v>6.0</v>
      </c>
      <c r="AB14" s="47" t="s">
        <v>45</v>
      </c>
      <c r="AC14" s="59">
        <f>6294.28417189031-1000</f>
        <v>5294.284172</v>
      </c>
      <c r="AE14" s="47">
        <v>6.0</v>
      </c>
      <c r="AF14" s="47" t="s">
        <v>45</v>
      </c>
      <c r="AG14" s="55">
        <v>4117.523122934546</v>
      </c>
    </row>
    <row r="15" ht="15.75" customHeight="1">
      <c r="C15" s="47">
        <v>7.0</v>
      </c>
      <c r="D15" s="47" t="s">
        <v>41</v>
      </c>
      <c r="E15" s="59">
        <v>24000.0</v>
      </c>
      <c r="F15" s="59">
        <f>24011.5</f>
        <v>24011.5</v>
      </c>
      <c r="G15" s="51">
        <f t="shared" si="1"/>
        <v>11.5</v>
      </c>
      <c r="I15" s="47">
        <v>7.0</v>
      </c>
      <c r="J15" s="47" t="s">
        <v>41</v>
      </c>
      <c r="K15" s="55">
        <v>15100.0</v>
      </c>
      <c r="L15" s="55">
        <f>15257.84-923</f>
        <v>14334.84</v>
      </c>
      <c r="M15" s="51">
        <f t="shared" si="2"/>
        <v>-765.16</v>
      </c>
      <c r="Q15" s="140" t="s">
        <v>17</v>
      </c>
      <c r="R15" s="55">
        <f>17396.92</f>
        <v>17396.92</v>
      </c>
      <c r="S15" s="55">
        <v>10387.4</v>
      </c>
      <c r="T15" s="143">
        <f t="shared" si="3"/>
        <v>-0.402917298</v>
      </c>
      <c r="V15" s="140" t="s">
        <v>17</v>
      </c>
      <c r="W15" s="55">
        <f t="shared" si="5"/>
        <v>21328.7575</v>
      </c>
      <c r="X15" s="144">
        <f t="shared" si="4"/>
        <v>12735.03216</v>
      </c>
      <c r="Z15" s="1"/>
      <c r="AA15" s="47">
        <v>7.0</v>
      </c>
      <c r="AB15" s="47" t="s">
        <v>46</v>
      </c>
      <c r="AC15" s="59">
        <v>6668.6226606504</v>
      </c>
      <c r="AE15" s="47">
        <v>7.0</v>
      </c>
      <c r="AF15" s="47" t="s">
        <v>46</v>
      </c>
      <c r="AG15" s="55">
        <v>4925.944946172666</v>
      </c>
    </row>
    <row r="16" ht="15.75" customHeight="1">
      <c r="C16" s="47">
        <v>8.0</v>
      </c>
      <c r="D16" s="47" t="s">
        <v>44</v>
      </c>
      <c r="E16" s="55">
        <v>29000.0</v>
      </c>
      <c r="F16" s="59">
        <f>31053.46</f>
        <v>31053.46</v>
      </c>
      <c r="G16" s="51">
        <f t="shared" si="1"/>
        <v>2053.46</v>
      </c>
      <c r="I16" s="47">
        <v>8.0</v>
      </c>
      <c r="J16" s="47" t="s">
        <v>44</v>
      </c>
      <c r="K16" s="13">
        <v>22000.0</v>
      </c>
      <c r="L16" s="55">
        <f>26460.23-1992</f>
        <v>24468.23</v>
      </c>
      <c r="M16" s="51">
        <f t="shared" si="2"/>
        <v>2468.23</v>
      </c>
      <c r="Q16" s="140" t="s">
        <v>19</v>
      </c>
      <c r="R16" s="55">
        <f>14782.52</f>
        <v>14782.52</v>
      </c>
      <c r="S16" s="55">
        <v>17198.76</v>
      </c>
      <c r="T16" s="143">
        <f t="shared" si="3"/>
        <v>0.1634525101</v>
      </c>
      <c r="V16" s="140" t="s">
        <v>19</v>
      </c>
      <c r="W16" s="55">
        <f t="shared" si="5"/>
        <v>22859.37</v>
      </c>
      <c r="X16" s="144">
        <f t="shared" si="4"/>
        <v>26595.79141</v>
      </c>
      <c r="Z16" s="1"/>
      <c r="AA16" s="47">
        <v>8.0</v>
      </c>
      <c r="AB16" s="47" t="s">
        <v>40</v>
      </c>
      <c r="AC16" s="59">
        <v>5373.025676893705</v>
      </c>
      <c r="AE16" s="47">
        <v>8.0</v>
      </c>
      <c r="AF16" s="47" t="s">
        <v>40</v>
      </c>
      <c r="AG16" s="55">
        <v>7314.658433256571</v>
      </c>
    </row>
    <row r="17" ht="15.75" customHeight="1">
      <c r="C17" s="47">
        <v>9.0</v>
      </c>
      <c r="D17" s="47" t="s">
        <v>45</v>
      </c>
      <c r="E17" s="59">
        <v>10500.0</v>
      </c>
      <c r="F17" s="59">
        <f>9502.85</f>
        <v>9502.85</v>
      </c>
      <c r="G17" s="51">
        <f t="shared" si="1"/>
        <v>-997.15</v>
      </c>
      <c r="I17" s="47">
        <v>9.0</v>
      </c>
      <c r="J17" s="47" t="s">
        <v>45</v>
      </c>
      <c r="K17" s="55">
        <v>8000.0</v>
      </c>
      <c r="L17" s="55">
        <f>4861.85-315</f>
        <v>4546.85</v>
      </c>
      <c r="M17" s="51">
        <f t="shared" si="2"/>
        <v>-3453.15</v>
      </c>
      <c r="Q17" s="140" t="s">
        <v>20</v>
      </c>
      <c r="R17" s="55">
        <f>24637.93</f>
        <v>24637.93</v>
      </c>
      <c r="S17" s="55">
        <v>17243.19</v>
      </c>
      <c r="T17" s="145">
        <f t="shared" si="3"/>
        <v>-0.3001364157</v>
      </c>
      <c r="V17" s="140" t="s">
        <v>20</v>
      </c>
      <c r="W17" s="55">
        <f>AVERAGE(F23,F30,F37,F16,F9)</f>
        <v>25699.662</v>
      </c>
      <c r="X17" s="144">
        <f t="shared" si="4"/>
        <v>17986.25756</v>
      </c>
      <c r="Z17" s="1"/>
      <c r="AA17" s="47">
        <v>9.0</v>
      </c>
      <c r="AB17" s="47" t="s">
        <v>47</v>
      </c>
      <c r="AC17" s="59">
        <f>4576.54359660702+3000</f>
        <v>7576.543597</v>
      </c>
      <c r="AE17" s="47">
        <v>9.0</v>
      </c>
      <c r="AF17" s="47" t="s">
        <v>47</v>
      </c>
      <c r="AG17" s="55">
        <v>4678.106182601121</v>
      </c>
    </row>
    <row r="18" ht="15.75" customHeight="1">
      <c r="C18" s="47">
        <v>10.0</v>
      </c>
      <c r="D18" s="47" t="s">
        <v>46</v>
      </c>
      <c r="E18" s="59">
        <v>17200.0</v>
      </c>
      <c r="F18" s="59">
        <f>20031.6</f>
        <v>20031.6</v>
      </c>
      <c r="G18" s="51">
        <f t="shared" si="1"/>
        <v>2831.6</v>
      </c>
      <c r="I18" s="47">
        <v>10.0</v>
      </c>
      <c r="J18" s="47" t="s">
        <v>46</v>
      </c>
      <c r="K18" s="55">
        <v>8000.0</v>
      </c>
      <c r="L18" s="55">
        <f>6767.28-590</f>
        <v>6177.28</v>
      </c>
      <c r="M18" s="51">
        <f t="shared" si="2"/>
        <v>-1822.72</v>
      </c>
      <c r="Q18" s="1"/>
      <c r="R18" s="8"/>
      <c r="U18" s="1"/>
      <c r="V18" s="8"/>
      <c r="W18" s="8"/>
      <c r="AA18" s="47">
        <v>10.0</v>
      </c>
      <c r="AB18" s="47" t="s">
        <v>48</v>
      </c>
      <c r="AC18" s="59">
        <v>12735.032158307335</v>
      </c>
      <c r="AE18" s="47">
        <v>10.0</v>
      </c>
      <c r="AF18" s="47" t="s">
        <v>48</v>
      </c>
      <c r="AG18" s="55">
        <v>9335.032092268899</v>
      </c>
    </row>
    <row r="19" ht="15.75" customHeight="1">
      <c r="C19" s="47">
        <v>11.0</v>
      </c>
      <c r="D19" s="47" t="s">
        <v>40</v>
      </c>
      <c r="E19" s="59">
        <v>15500.0</v>
      </c>
      <c r="F19" s="59">
        <f>11312.25</f>
        <v>11312.25</v>
      </c>
      <c r="G19" s="51">
        <f t="shared" si="1"/>
        <v>-4187.75</v>
      </c>
      <c r="I19" s="47">
        <v>11.0</v>
      </c>
      <c r="J19" s="47" t="s">
        <v>40</v>
      </c>
      <c r="K19" s="55">
        <v>7400.0</v>
      </c>
      <c r="L19" s="55">
        <f>5619.21-463</f>
        <v>5156.21</v>
      </c>
      <c r="M19" s="51">
        <f t="shared" si="2"/>
        <v>-2243.79</v>
      </c>
      <c r="Q19" s="139" t="s">
        <v>93</v>
      </c>
      <c r="R19" s="41"/>
      <c r="S19" s="41"/>
      <c r="T19" s="6"/>
      <c r="V19" s="139" t="s">
        <v>5</v>
      </c>
      <c r="W19" s="41"/>
      <c r="X19" s="6"/>
      <c r="AA19" s="47">
        <v>11.0</v>
      </c>
      <c r="AB19" s="47" t="s">
        <v>41</v>
      </c>
      <c r="AC19" s="59">
        <f>26595.7914064178-3000-5000</f>
        <v>18595.79141</v>
      </c>
      <c r="AE19" s="47">
        <v>11.0</v>
      </c>
      <c r="AF19" s="47" t="s">
        <v>41</v>
      </c>
      <c r="AG19" s="55">
        <v>13493.84039916513</v>
      </c>
    </row>
    <row r="20" ht="15.75" customHeight="1">
      <c r="C20" s="47">
        <v>12.0</v>
      </c>
      <c r="D20" s="47" t="s">
        <v>47</v>
      </c>
      <c r="E20" s="59">
        <v>14600.0</v>
      </c>
      <c r="F20" s="59">
        <f>936.5+13345.2-1230</f>
        <v>13051.7</v>
      </c>
      <c r="G20" s="51">
        <f t="shared" si="1"/>
        <v>-1548.3</v>
      </c>
      <c r="I20" s="47">
        <v>12.0</v>
      </c>
      <c r="J20" s="47" t="s">
        <v>47</v>
      </c>
      <c r="K20" s="55">
        <v>6000.0</v>
      </c>
      <c r="L20" s="55">
        <f>7056.46-612</f>
        <v>6444.46</v>
      </c>
      <c r="M20" s="51">
        <f t="shared" si="2"/>
        <v>444.46</v>
      </c>
      <c r="Q20" s="140"/>
      <c r="R20" s="141">
        <v>45261.0</v>
      </c>
      <c r="S20" s="141">
        <v>45292.0</v>
      </c>
      <c r="T20" s="142" t="s">
        <v>90</v>
      </c>
      <c r="V20" s="140"/>
      <c r="W20" s="141">
        <v>45627.0</v>
      </c>
      <c r="X20" s="141" t="s">
        <v>154</v>
      </c>
      <c r="AA20" s="47">
        <v>12.0</v>
      </c>
      <c r="AB20" s="47" t="s">
        <v>44</v>
      </c>
      <c r="AC20" s="59">
        <f>17986.2575631061+5000</f>
        <v>22986.25756</v>
      </c>
      <c r="AE20" s="47">
        <v>12.0</v>
      </c>
      <c r="AF20" s="47" t="s">
        <v>44</v>
      </c>
      <c r="AG20" s="55">
        <v>23408.013823771667</v>
      </c>
    </row>
    <row r="21" ht="15.75" customHeight="1">
      <c r="C21" s="47">
        <v>13.0</v>
      </c>
      <c r="D21" s="47" t="s">
        <v>48</v>
      </c>
      <c r="E21" s="59">
        <v>22500.0</v>
      </c>
      <c r="F21" s="59">
        <f>23207.43-285</f>
        <v>22922.43</v>
      </c>
      <c r="G21" s="51">
        <f t="shared" si="1"/>
        <v>422.43</v>
      </c>
      <c r="I21" s="47">
        <v>13.0</v>
      </c>
      <c r="J21" s="47" t="s">
        <v>48</v>
      </c>
      <c r="K21" s="55">
        <v>12500.0</v>
      </c>
      <c r="L21" s="55">
        <f>10336.11-873.99</f>
        <v>9462.12</v>
      </c>
      <c r="M21" s="51">
        <f t="shared" si="2"/>
        <v>-3037.88</v>
      </c>
      <c r="Q21" s="140" t="s">
        <v>6</v>
      </c>
      <c r="R21" s="55">
        <v>9973.6</v>
      </c>
      <c r="S21" s="55">
        <v>6524.41</v>
      </c>
      <c r="T21" s="143">
        <f t="shared" ref="T21:T27" si="6">S21/R21-1</f>
        <v>-0.3458319965</v>
      </c>
      <c r="V21" s="140" t="s">
        <v>6</v>
      </c>
      <c r="W21" s="55">
        <f>AVERAGE(L10,L17,L24,L31,L38)</f>
        <v>6294.29</v>
      </c>
      <c r="X21" s="144">
        <f t="shared" ref="X21:X27" si="7">W21*T21+W21</f>
        <v>4117.523123</v>
      </c>
      <c r="AA21" s="47">
        <v>13.0</v>
      </c>
      <c r="AB21" s="47" t="s">
        <v>45</v>
      </c>
      <c r="AC21" s="59">
        <f>6294.28417189031-1000</f>
        <v>5294.284172</v>
      </c>
      <c r="AE21" s="47">
        <v>13.0</v>
      </c>
      <c r="AF21" s="47" t="s">
        <v>45</v>
      </c>
      <c r="AG21" s="55">
        <v>4117.523122934546</v>
      </c>
    </row>
    <row r="22" ht="15.75" customHeight="1">
      <c r="C22" s="47">
        <v>14.0</v>
      </c>
      <c r="D22" s="47" t="s">
        <v>41</v>
      </c>
      <c r="E22" s="59">
        <v>24000.0</v>
      </c>
      <c r="F22" s="59">
        <f>27302.95</f>
        <v>27302.95</v>
      </c>
      <c r="G22" s="51">
        <f t="shared" si="1"/>
        <v>3302.95</v>
      </c>
      <c r="I22" s="47">
        <v>14.0</v>
      </c>
      <c r="J22" s="47" t="s">
        <v>41</v>
      </c>
      <c r="K22" s="55">
        <v>15100.0</v>
      </c>
      <c r="L22" s="55">
        <f>14812.45-1245.99</f>
        <v>13566.46</v>
      </c>
      <c r="M22" s="51">
        <f t="shared" si="2"/>
        <v>-1533.54</v>
      </c>
      <c r="Q22" s="140" t="s">
        <v>10</v>
      </c>
      <c r="R22" s="55">
        <v>5435.9</v>
      </c>
      <c r="S22" s="55">
        <f>4590.21</f>
        <v>4590.21</v>
      </c>
      <c r="T22" s="143">
        <f t="shared" si="6"/>
        <v>-0.1555749738</v>
      </c>
      <c r="V22" s="140" t="s">
        <v>10</v>
      </c>
      <c r="W22" s="55">
        <f>AVERAGE(L11,L18,L25)</f>
        <v>5833.49</v>
      </c>
      <c r="X22" s="144">
        <f t="shared" si="7"/>
        <v>4925.944946</v>
      </c>
      <c r="AA22" s="47">
        <v>14.0</v>
      </c>
      <c r="AB22" s="47" t="s">
        <v>46</v>
      </c>
      <c r="AC22" s="59">
        <v>6668.6226606504</v>
      </c>
      <c r="AE22" s="47">
        <v>14.0</v>
      </c>
      <c r="AF22" s="47" t="s">
        <v>46</v>
      </c>
      <c r="AG22" s="55">
        <v>4925.944946172666</v>
      </c>
    </row>
    <row r="23" ht="15.75" customHeight="1">
      <c r="C23" s="47">
        <v>15.0</v>
      </c>
      <c r="D23" s="47" t="s">
        <v>44</v>
      </c>
      <c r="E23" s="55">
        <v>29000.0</v>
      </c>
      <c r="F23" s="59">
        <f>24895.25</f>
        <v>24895.25</v>
      </c>
      <c r="G23" s="51">
        <f t="shared" si="1"/>
        <v>-4104.75</v>
      </c>
      <c r="I23" s="47">
        <v>15.0</v>
      </c>
      <c r="J23" s="47" t="s">
        <v>44</v>
      </c>
      <c r="K23" s="13">
        <v>22000.0</v>
      </c>
      <c r="L23" s="55">
        <f>25635.46-1660</f>
        <v>23975.46</v>
      </c>
      <c r="M23" s="51">
        <f t="shared" si="2"/>
        <v>1975.46</v>
      </c>
      <c r="Q23" s="140" t="s">
        <v>12</v>
      </c>
      <c r="R23" s="55">
        <f>6092.51</f>
        <v>6092.51</v>
      </c>
      <c r="S23" s="55">
        <f>4622.58</f>
        <v>4622.58</v>
      </c>
      <c r="T23" s="143">
        <f t="shared" si="6"/>
        <v>-0.2412683771</v>
      </c>
      <c r="V23" s="140" t="s">
        <v>12</v>
      </c>
      <c r="W23" s="55">
        <f t="shared" ref="W23:W27" si="8">AVERAGE(L12,L19,L26,L33)</f>
        <v>9640.64</v>
      </c>
      <c r="X23" s="144">
        <f t="shared" si="7"/>
        <v>7314.658433</v>
      </c>
      <c r="AA23" s="47">
        <v>15.0</v>
      </c>
      <c r="AB23" s="47" t="s">
        <v>40</v>
      </c>
      <c r="AC23" s="59">
        <v>5373.025676893705</v>
      </c>
      <c r="AE23" s="47">
        <v>15.0</v>
      </c>
      <c r="AF23" s="47" t="s">
        <v>40</v>
      </c>
      <c r="AG23" s="55">
        <v>7314.658433256571</v>
      </c>
    </row>
    <row r="24" ht="15.75" customHeight="1">
      <c r="C24" s="47">
        <v>16.0</v>
      </c>
      <c r="D24" s="47" t="s">
        <v>45</v>
      </c>
      <c r="E24" s="59">
        <v>10500.0</v>
      </c>
      <c r="F24" s="59">
        <f>13315.25-8256</f>
        <v>5059.25</v>
      </c>
      <c r="G24" s="51">
        <f t="shared" si="1"/>
        <v>-5440.75</v>
      </c>
      <c r="I24" s="47">
        <v>16.0</v>
      </c>
      <c r="J24" s="47" t="s">
        <v>45</v>
      </c>
      <c r="K24" s="55">
        <v>8000.0</v>
      </c>
      <c r="L24" s="55">
        <f>4168.64-389</f>
        <v>3779.64</v>
      </c>
      <c r="M24" s="51">
        <f t="shared" si="2"/>
        <v>-4220.36</v>
      </c>
      <c r="Q24" s="140" t="s">
        <v>15</v>
      </c>
      <c r="R24" s="55">
        <v>7215.81</v>
      </c>
      <c r="S24" s="55">
        <f>4773.69</f>
        <v>4773.69</v>
      </c>
      <c r="T24" s="143">
        <f t="shared" si="6"/>
        <v>-0.3384401751</v>
      </c>
      <c r="V24" s="140" t="s">
        <v>15</v>
      </c>
      <c r="W24" s="55">
        <f t="shared" si="8"/>
        <v>7071.3275</v>
      </c>
      <c r="X24" s="144">
        <f t="shared" si="7"/>
        <v>4678.106183</v>
      </c>
      <c r="AA24" s="47">
        <v>16.0</v>
      </c>
      <c r="AB24" s="47" t="s">
        <v>47</v>
      </c>
      <c r="AC24" s="59">
        <f>4576.54359660702+3000</f>
        <v>7576.543597</v>
      </c>
      <c r="AE24" s="47">
        <v>16.0</v>
      </c>
      <c r="AF24" s="47" t="s">
        <v>47</v>
      </c>
      <c r="AG24" s="55">
        <v>4678.106182601121</v>
      </c>
    </row>
    <row r="25" ht="15.75" customHeight="1">
      <c r="C25" s="47">
        <v>17.0</v>
      </c>
      <c r="D25" s="47" t="s">
        <v>46</v>
      </c>
      <c r="E25" s="59">
        <v>17200.0</v>
      </c>
      <c r="F25" s="59">
        <f>9248.45</f>
        <v>9248.45</v>
      </c>
      <c r="G25" s="51">
        <f t="shared" si="1"/>
        <v>-7951.55</v>
      </c>
      <c r="I25" s="47">
        <v>17.0</v>
      </c>
      <c r="J25" s="47" t="s">
        <v>46</v>
      </c>
      <c r="K25" s="55">
        <v>8000.0</v>
      </c>
      <c r="L25" s="55">
        <f>6310.37-491</f>
        <v>5819.37</v>
      </c>
      <c r="M25" s="51">
        <f t="shared" si="2"/>
        <v>-2180.63</v>
      </c>
      <c r="Q25" s="140" t="s">
        <v>17</v>
      </c>
      <c r="R25" s="55">
        <f>9042.05</f>
        <v>9042.05</v>
      </c>
      <c r="S25" s="55">
        <f>7675.93</f>
        <v>7675.93</v>
      </c>
      <c r="T25" s="143">
        <f t="shared" si="6"/>
        <v>-0.1510852074</v>
      </c>
      <c r="V25" s="140" t="s">
        <v>17</v>
      </c>
      <c r="W25" s="55">
        <f t="shared" si="8"/>
        <v>10996.43</v>
      </c>
      <c r="X25" s="144">
        <f t="shared" si="7"/>
        <v>9335.032092</v>
      </c>
      <c r="AA25" s="47">
        <v>17.0</v>
      </c>
      <c r="AB25" s="47" t="s">
        <v>48</v>
      </c>
      <c r="AC25" s="59">
        <v>12735.032158307335</v>
      </c>
      <c r="AE25" s="47">
        <v>17.0</v>
      </c>
      <c r="AF25" s="47" t="s">
        <v>48</v>
      </c>
      <c r="AG25" s="55">
        <v>9335.032092268899</v>
      </c>
    </row>
    <row r="26" ht="15.75" customHeight="1">
      <c r="C26" s="47">
        <v>18.0</v>
      </c>
      <c r="D26" s="47" t="s">
        <v>40</v>
      </c>
      <c r="E26" s="59">
        <v>15500.0</v>
      </c>
      <c r="F26" s="59">
        <f>15725.46</f>
        <v>15725.46</v>
      </c>
      <c r="G26" s="51">
        <f t="shared" si="1"/>
        <v>225.46</v>
      </c>
      <c r="I26" s="47">
        <v>18.0</v>
      </c>
      <c r="J26" s="47" t="s">
        <v>40</v>
      </c>
      <c r="K26" s="55">
        <v>7400.0</v>
      </c>
      <c r="L26" s="55">
        <f>6385.66-456.99</f>
        <v>5928.67</v>
      </c>
      <c r="M26" s="51">
        <f t="shared" si="2"/>
        <v>-1471.33</v>
      </c>
      <c r="Q26" s="140" t="s">
        <v>19</v>
      </c>
      <c r="R26" s="55">
        <f>11071.17</f>
        <v>11071.17</v>
      </c>
      <c r="S26" s="55">
        <v>11107.11</v>
      </c>
      <c r="T26" s="143">
        <f t="shared" si="6"/>
        <v>0.003246269364</v>
      </c>
      <c r="V26" s="140" t="s">
        <v>19</v>
      </c>
      <c r="W26" s="55">
        <f t="shared" si="8"/>
        <v>13450.1775</v>
      </c>
      <c r="X26" s="144">
        <f t="shared" si="7"/>
        <v>13493.8404</v>
      </c>
      <c r="AA26" s="47">
        <v>18.0</v>
      </c>
      <c r="AB26" s="47" t="s">
        <v>41</v>
      </c>
      <c r="AC26" s="59">
        <f>26595.7914064178-3000-5000</f>
        <v>18595.79141</v>
      </c>
      <c r="AE26" s="47">
        <v>18.0</v>
      </c>
      <c r="AF26" s="47" t="s">
        <v>41</v>
      </c>
      <c r="AG26" s="55">
        <v>13493.84039916513</v>
      </c>
    </row>
    <row r="27" ht="15.75" customHeight="1">
      <c r="C27" s="47">
        <v>19.0</v>
      </c>
      <c r="D27" s="47" t="s">
        <v>47</v>
      </c>
      <c r="E27" s="59">
        <v>14600.0</v>
      </c>
      <c r="F27" s="59">
        <f>2199.5+13397.35</f>
        <v>15596.85</v>
      </c>
      <c r="G27" s="51">
        <f t="shared" si="1"/>
        <v>996.85</v>
      </c>
      <c r="I27" s="47">
        <v>19.0</v>
      </c>
      <c r="J27" s="47" t="s">
        <v>47</v>
      </c>
      <c r="K27" s="55">
        <v>6000.0</v>
      </c>
      <c r="L27" s="55">
        <f>10053.48-619</f>
        <v>9434.48</v>
      </c>
      <c r="M27" s="51">
        <f t="shared" si="2"/>
        <v>3434.48</v>
      </c>
      <c r="Q27" s="140" t="s">
        <v>20</v>
      </c>
      <c r="R27" s="55">
        <f>16778.63</f>
        <v>16778.63</v>
      </c>
      <c r="S27" s="55">
        <v>17901.47</v>
      </c>
      <c r="T27" s="145">
        <f t="shared" si="6"/>
        <v>0.06692083919</v>
      </c>
      <c r="V27" s="140" t="s">
        <v>20</v>
      </c>
      <c r="W27" s="55">
        <f t="shared" si="8"/>
        <v>21939.785</v>
      </c>
      <c r="X27" s="144">
        <f t="shared" si="7"/>
        <v>23408.01382</v>
      </c>
      <c r="AA27" s="47">
        <v>19.0</v>
      </c>
      <c r="AB27" s="47" t="s">
        <v>44</v>
      </c>
      <c r="AC27" s="59">
        <f>17986.2575631061+5000</f>
        <v>22986.25756</v>
      </c>
      <c r="AE27" s="47">
        <v>19.0</v>
      </c>
      <c r="AF27" s="47" t="s">
        <v>44</v>
      </c>
      <c r="AG27" s="55">
        <v>23408.013823771667</v>
      </c>
    </row>
    <row r="28" ht="15.75" customHeight="1">
      <c r="C28" s="47">
        <v>20.0</v>
      </c>
      <c r="D28" s="47" t="s">
        <v>48</v>
      </c>
      <c r="E28" s="59">
        <v>22500.0</v>
      </c>
      <c r="F28" s="59">
        <f>22077.7-240</f>
        <v>21837.7</v>
      </c>
      <c r="G28" s="51">
        <f t="shared" si="1"/>
        <v>-662.3</v>
      </c>
      <c r="I28" s="47">
        <v>20.0</v>
      </c>
      <c r="J28" s="47" t="s">
        <v>48</v>
      </c>
      <c r="K28" s="55">
        <v>12500.0</v>
      </c>
      <c r="L28" s="55">
        <f>13398.34-914-9</f>
        <v>12475.34</v>
      </c>
      <c r="M28" s="51">
        <f t="shared" si="2"/>
        <v>-24.66</v>
      </c>
      <c r="Z28" s="1"/>
      <c r="AA28" s="47">
        <v>20.0</v>
      </c>
      <c r="AB28" s="47" t="s">
        <v>45</v>
      </c>
      <c r="AC28" s="59">
        <f>6294.28417189031-1000</f>
        <v>5294.284172</v>
      </c>
      <c r="AE28" s="47">
        <v>20.0</v>
      </c>
      <c r="AF28" s="47" t="s">
        <v>45</v>
      </c>
      <c r="AG28" s="55">
        <v>4117.523122934546</v>
      </c>
    </row>
    <row r="29" ht="15.75" customHeight="1">
      <c r="C29" s="47">
        <v>21.0</v>
      </c>
      <c r="D29" s="47" t="s">
        <v>41</v>
      </c>
      <c r="E29" s="59">
        <v>24000.0</v>
      </c>
      <c r="F29" s="59">
        <f>22343.23</f>
        <v>22343.23</v>
      </c>
      <c r="G29" s="51">
        <f t="shared" si="1"/>
        <v>-1656.77</v>
      </c>
      <c r="I29" s="47">
        <v>21.0</v>
      </c>
      <c r="J29" s="47" t="s">
        <v>41</v>
      </c>
      <c r="K29" s="55">
        <v>15100.0</v>
      </c>
      <c r="L29" s="55">
        <f>14559.13-978</f>
        <v>13581.13</v>
      </c>
      <c r="M29" s="51">
        <f t="shared" si="2"/>
        <v>-1518.87</v>
      </c>
      <c r="Z29" s="1"/>
      <c r="AA29" s="47">
        <v>21.0</v>
      </c>
      <c r="AB29" s="47" t="s">
        <v>46</v>
      </c>
      <c r="AC29" s="59">
        <v>6668.6226606504</v>
      </c>
      <c r="AE29" s="47">
        <v>21.0</v>
      </c>
      <c r="AF29" s="47" t="s">
        <v>46</v>
      </c>
      <c r="AG29" s="55">
        <v>4925.944946172666</v>
      </c>
    </row>
    <row r="30" ht="15.75" customHeight="1">
      <c r="C30" s="47">
        <v>22.0</v>
      </c>
      <c r="D30" s="47" t="s">
        <v>44</v>
      </c>
      <c r="E30" s="55">
        <v>29000.0</v>
      </c>
      <c r="F30" s="59">
        <f>25204.5</f>
        <v>25204.5</v>
      </c>
      <c r="G30" s="51">
        <f t="shared" si="1"/>
        <v>-3795.5</v>
      </c>
      <c r="I30" s="47">
        <v>22.0</v>
      </c>
      <c r="J30" s="47" t="s">
        <v>44</v>
      </c>
      <c r="K30" s="13">
        <v>22000.0</v>
      </c>
      <c r="L30" s="55">
        <f>24304.77-1604.49</f>
        <v>22700.28</v>
      </c>
      <c r="M30" s="51">
        <f t="shared" si="2"/>
        <v>700.28</v>
      </c>
      <c r="W30" s="61">
        <v>6294.29</v>
      </c>
      <c r="Z30" s="1"/>
      <c r="AA30" s="47">
        <v>22.0</v>
      </c>
      <c r="AB30" s="47" t="s">
        <v>40</v>
      </c>
      <c r="AC30" s="59">
        <v>5373.025676893705</v>
      </c>
      <c r="AE30" s="47">
        <v>22.0</v>
      </c>
      <c r="AF30" s="47" t="s">
        <v>40</v>
      </c>
      <c r="AG30" s="55">
        <v>7314.658433256571</v>
      </c>
    </row>
    <row r="31" ht="15.75" customHeight="1">
      <c r="C31" s="47">
        <v>23.0</v>
      </c>
      <c r="D31" s="47" t="s">
        <v>45</v>
      </c>
      <c r="E31" s="59">
        <v>10500.0</v>
      </c>
      <c r="F31" s="59">
        <f>15422.6</f>
        <v>15422.6</v>
      </c>
      <c r="G31" s="51">
        <f t="shared" si="1"/>
        <v>4922.6</v>
      </c>
      <c r="I31" s="47">
        <v>23.0</v>
      </c>
      <c r="J31" s="47" t="s">
        <v>45</v>
      </c>
      <c r="K31" s="55">
        <v>8000.0</v>
      </c>
      <c r="L31" s="55">
        <f>10185.9-608</f>
        <v>9577.9</v>
      </c>
      <c r="M31" s="51">
        <f t="shared" si="2"/>
        <v>1577.9</v>
      </c>
      <c r="W31" s="61">
        <v>5833.489999999999</v>
      </c>
      <c r="Z31" s="1"/>
      <c r="AA31" s="47">
        <v>23.0</v>
      </c>
      <c r="AB31" s="47" t="s">
        <v>47</v>
      </c>
      <c r="AC31" s="59">
        <f>4576.54359660702+3000</f>
        <v>7576.543597</v>
      </c>
      <c r="AE31" s="47">
        <v>23.0</v>
      </c>
      <c r="AF31" s="47" t="s">
        <v>47</v>
      </c>
      <c r="AG31" s="55">
        <v>4678.106182601121</v>
      </c>
    </row>
    <row r="32" ht="15.75" customHeight="1">
      <c r="C32" s="47">
        <v>24.0</v>
      </c>
      <c r="D32" s="47" t="s">
        <v>46</v>
      </c>
      <c r="E32" s="59"/>
      <c r="F32" s="59"/>
      <c r="G32" s="51">
        <f t="shared" si="1"/>
        <v>0</v>
      </c>
      <c r="I32" s="47">
        <v>24.0</v>
      </c>
      <c r="J32" s="47" t="s">
        <v>46</v>
      </c>
      <c r="K32" s="55"/>
      <c r="L32" s="55"/>
      <c r="M32" s="51">
        <f t="shared" si="2"/>
        <v>0</v>
      </c>
      <c r="W32" s="61">
        <v>9640.64</v>
      </c>
      <c r="Z32" s="1"/>
      <c r="AA32" s="47">
        <v>24.0</v>
      </c>
      <c r="AB32" s="47" t="s">
        <v>48</v>
      </c>
      <c r="AC32" s="59">
        <v>12735.032158307335</v>
      </c>
      <c r="AE32" s="47">
        <v>24.0</v>
      </c>
      <c r="AF32" s="47" t="s">
        <v>48</v>
      </c>
      <c r="AG32" s="55">
        <v>9335.032092268899</v>
      </c>
    </row>
    <row r="33" ht="15.75" customHeight="1">
      <c r="C33" s="47">
        <v>25.0</v>
      </c>
      <c r="D33" s="47" t="s">
        <v>40</v>
      </c>
      <c r="E33" s="59">
        <v>15500.0</v>
      </c>
      <c r="F33" s="59">
        <f>18532.35</f>
        <v>18532.35</v>
      </c>
      <c r="G33" s="51">
        <f t="shared" si="1"/>
        <v>3032.35</v>
      </c>
      <c r="I33" s="47">
        <v>25.0</v>
      </c>
      <c r="J33" s="47" t="s">
        <v>40</v>
      </c>
      <c r="K33" s="55">
        <v>7400.0</v>
      </c>
      <c r="L33" s="55">
        <f>22918.42-1770.49</f>
        <v>21147.93</v>
      </c>
      <c r="M33" s="51">
        <f t="shared" si="2"/>
        <v>13747.93</v>
      </c>
      <c r="W33" s="61">
        <v>7071.327499999999</v>
      </c>
      <c r="Z33" s="1"/>
      <c r="AA33" s="47">
        <v>25.0</v>
      </c>
      <c r="AB33" s="47" t="s">
        <v>41</v>
      </c>
      <c r="AC33" s="59">
        <f>26595.7914064178-3000-5000</f>
        <v>18595.79141</v>
      </c>
      <c r="AE33" s="47">
        <v>25.0</v>
      </c>
      <c r="AF33" s="47" t="s">
        <v>41</v>
      </c>
      <c r="AG33" s="55">
        <v>13493.84039916513</v>
      </c>
    </row>
    <row r="34" ht="15.75" customHeight="1">
      <c r="C34" s="47">
        <v>26.0</v>
      </c>
      <c r="D34" s="47" t="s">
        <v>47</v>
      </c>
      <c r="E34" s="59">
        <v>14600.0</v>
      </c>
      <c r="F34" s="59">
        <f>10191.5</f>
        <v>10191.5</v>
      </c>
      <c r="G34" s="51">
        <f t="shared" si="1"/>
        <v>-4408.5</v>
      </c>
      <c r="I34" s="47">
        <v>26.0</v>
      </c>
      <c r="J34" s="47" t="s">
        <v>47</v>
      </c>
      <c r="K34" s="55">
        <v>6000.0</v>
      </c>
      <c r="L34" s="55">
        <f>6046.87-469.09+62.94</f>
        <v>5640.72</v>
      </c>
      <c r="M34" s="51">
        <f t="shared" si="2"/>
        <v>-359.28</v>
      </c>
      <c r="W34" s="61">
        <v>10996.429999999998</v>
      </c>
      <c r="Z34" s="1"/>
      <c r="AA34" s="47">
        <v>26.0</v>
      </c>
      <c r="AB34" s="47" t="s">
        <v>44</v>
      </c>
      <c r="AC34" s="59">
        <f>17986.2575631061+5000</f>
        <v>22986.25756</v>
      </c>
      <c r="AE34" s="47">
        <v>26.0</v>
      </c>
      <c r="AF34" s="47" t="s">
        <v>44</v>
      </c>
      <c r="AG34" s="55">
        <v>23408.013823771667</v>
      </c>
    </row>
    <row r="35" ht="15.75" customHeight="1">
      <c r="C35" s="47">
        <v>27.0</v>
      </c>
      <c r="D35" s="47" t="s">
        <v>48</v>
      </c>
      <c r="E35" s="59">
        <v>27000.0</v>
      </c>
      <c r="F35" s="59">
        <f>23064.55-375</f>
        <v>22689.55</v>
      </c>
      <c r="G35" s="51">
        <f t="shared" si="1"/>
        <v>-4310.45</v>
      </c>
      <c r="I35" s="47">
        <v>27.0</v>
      </c>
      <c r="J35" s="47" t="s">
        <v>48</v>
      </c>
      <c r="K35" s="55">
        <v>12500.0</v>
      </c>
      <c r="L35" s="55">
        <f>10770.97-674.62</f>
        <v>10096.35</v>
      </c>
      <c r="M35" s="51">
        <f t="shared" si="2"/>
        <v>-2403.65</v>
      </c>
      <c r="W35" s="61">
        <v>13450.1775</v>
      </c>
      <c r="Z35" s="1"/>
      <c r="AA35" s="47">
        <v>27.0</v>
      </c>
      <c r="AB35" s="47" t="s">
        <v>45</v>
      </c>
      <c r="AC35" s="59">
        <f>6294.28417189031-1000</f>
        <v>5294.284172</v>
      </c>
      <c r="AE35" s="47">
        <v>27.0</v>
      </c>
      <c r="AF35" s="47" t="s">
        <v>45</v>
      </c>
      <c r="AG35" s="55">
        <v>4117.523122934546</v>
      </c>
    </row>
    <row r="36" ht="15.75" customHeight="1">
      <c r="C36" s="47">
        <v>28.0</v>
      </c>
      <c r="D36" s="47" t="s">
        <v>41</v>
      </c>
      <c r="E36" s="59">
        <v>24000.0</v>
      </c>
      <c r="F36" s="59">
        <v>17779.8</v>
      </c>
      <c r="G36" s="51">
        <f t="shared" si="1"/>
        <v>-6220.2</v>
      </c>
      <c r="I36" s="47">
        <v>28.0</v>
      </c>
      <c r="J36" s="47" t="s">
        <v>41</v>
      </c>
      <c r="K36" s="55">
        <v>15100.0</v>
      </c>
      <c r="L36" s="55">
        <f>13257.84-939.56</f>
        <v>12318.28</v>
      </c>
      <c r="M36" s="51">
        <f t="shared" si="2"/>
        <v>-2781.72</v>
      </c>
      <c r="W36" s="61">
        <v>21939.785</v>
      </c>
      <c r="Z36" s="1"/>
      <c r="AA36" s="47">
        <v>28.0</v>
      </c>
      <c r="AB36" s="47" t="s">
        <v>46</v>
      </c>
      <c r="AC36" s="59">
        <v>6668.6226606504</v>
      </c>
      <c r="AE36" s="47">
        <v>28.0</v>
      </c>
      <c r="AF36" s="47" t="s">
        <v>46</v>
      </c>
      <c r="AG36" s="55">
        <v>4925.944946172666</v>
      </c>
    </row>
    <row r="37" ht="15.75" customHeight="1">
      <c r="C37" s="47">
        <v>29.0</v>
      </c>
      <c r="D37" s="47" t="s">
        <v>44</v>
      </c>
      <c r="E37" s="55">
        <v>29000.0</v>
      </c>
      <c r="F37" s="59">
        <f>20663.4</f>
        <v>20663.4</v>
      </c>
      <c r="G37" s="51">
        <f t="shared" si="1"/>
        <v>-8336.6</v>
      </c>
      <c r="I37" s="47">
        <v>29.0</v>
      </c>
      <c r="J37" s="47" t="s">
        <v>44</v>
      </c>
      <c r="K37" s="13">
        <v>22000.0</v>
      </c>
      <c r="L37" s="55">
        <f>18002.92-1387.75</f>
        <v>16615.17</v>
      </c>
      <c r="M37" s="51">
        <f t="shared" si="2"/>
        <v>-5384.83</v>
      </c>
      <c r="Z37" s="1"/>
      <c r="AA37" s="47">
        <v>29.0</v>
      </c>
      <c r="AB37" s="47" t="s">
        <v>40</v>
      </c>
      <c r="AC37" s="59">
        <v>5373.025676893705</v>
      </c>
      <c r="AE37" s="47">
        <v>29.0</v>
      </c>
      <c r="AF37" s="47" t="s">
        <v>40</v>
      </c>
      <c r="AG37" s="55">
        <v>7314.658433256571</v>
      </c>
    </row>
    <row r="38" ht="15.75" customHeight="1">
      <c r="C38" s="47">
        <v>30.0</v>
      </c>
      <c r="D38" s="47" t="s">
        <v>45</v>
      </c>
      <c r="E38" s="59">
        <v>10500.0</v>
      </c>
      <c r="F38" s="59">
        <f>8888.9</f>
        <v>8888.9</v>
      </c>
      <c r="G38" s="51">
        <f t="shared" si="1"/>
        <v>-1611.1</v>
      </c>
      <c r="I38" s="47">
        <v>30.0</v>
      </c>
      <c r="J38" s="47" t="s">
        <v>45</v>
      </c>
      <c r="K38" s="55">
        <v>8000.0</v>
      </c>
      <c r="L38" s="55">
        <f>9231.46-485.95+30</f>
        <v>8775.51</v>
      </c>
      <c r="M38" s="51">
        <f t="shared" si="2"/>
        <v>775.51</v>
      </c>
      <c r="Z38" s="1"/>
      <c r="AA38" s="47">
        <v>30.0</v>
      </c>
      <c r="AB38" s="47" t="s">
        <v>47</v>
      </c>
      <c r="AC38" s="59">
        <f>4576.54359660702+3000</f>
        <v>7576.543597</v>
      </c>
      <c r="AE38" s="47">
        <v>30.0</v>
      </c>
      <c r="AF38" s="47" t="s">
        <v>47</v>
      </c>
      <c r="AG38" s="55">
        <v>4678.106182601121</v>
      </c>
    </row>
    <row r="39" ht="15.75" customHeight="1">
      <c r="C39" s="47">
        <v>31.0</v>
      </c>
      <c r="D39" s="47" t="s">
        <v>46</v>
      </c>
      <c r="E39" s="59"/>
      <c r="F39" s="59"/>
      <c r="G39" s="51"/>
      <c r="I39" s="47">
        <v>31.0</v>
      </c>
      <c r="J39" s="47" t="s">
        <v>46</v>
      </c>
      <c r="K39" s="55"/>
      <c r="L39" s="55"/>
      <c r="M39" s="51"/>
      <c r="Z39" s="1"/>
      <c r="AA39" s="47">
        <v>31.0</v>
      </c>
      <c r="AB39" s="47" t="s">
        <v>48</v>
      </c>
      <c r="AC39" s="59">
        <v>12735.032158307335</v>
      </c>
      <c r="AE39" s="47">
        <v>31.0</v>
      </c>
      <c r="AF39" s="47" t="s">
        <v>48</v>
      </c>
      <c r="AG39" s="55">
        <v>9335.032092268899</v>
      </c>
    </row>
    <row r="40" ht="15.75" customHeight="1">
      <c r="C40" s="8"/>
      <c r="D40" s="8"/>
      <c r="E40" s="107">
        <f t="shared" ref="E40:G40" si="9">SUM(E9:E39)</f>
        <v>560000</v>
      </c>
      <c r="F40" s="107">
        <f t="shared" si="9"/>
        <v>496663.03</v>
      </c>
      <c r="G40" s="105">
        <f t="shared" si="9"/>
        <v>-63336.97</v>
      </c>
      <c r="I40" s="8"/>
      <c r="J40" s="8"/>
      <c r="K40" s="107">
        <f t="shared" ref="K40:M40" si="10">SUM(K9:K39)</f>
        <v>338000</v>
      </c>
      <c r="L40" s="107">
        <f t="shared" si="10"/>
        <v>321184.81</v>
      </c>
      <c r="M40" s="105">
        <f t="shared" si="10"/>
        <v>-16815.19</v>
      </c>
      <c r="Z40" s="1"/>
      <c r="AA40" s="8"/>
      <c r="AB40" s="8"/>
      <c r="AC40" s="107">
        <f>SUM(AC9:AC39)</f>
        <v>365741.67</v>
      </c>
      <c r="AD40" s="107"/>
      <c r="AE40" s="8"/>
      <c r="AF40" s="8"/>
      <c r="AG40" s="107">
        <f>SUM(AG9:AG39)</f>
        <v>294317.0218</v>
      </c>
    </row>
    <row r="41" ht="15.75" customHeight="1">
      <c r="F41" s="114">
        <f>F40/D44</f>
        <v>0.8868982679</v>
      </c>
      <c r="G41" s="1"/>
      <c r="I41" s="1"/>
      <c r="J41" s="1"/>
      <c r="K41" s="1"/>
      <c r="L41" s="114">
        <f>L40/J44</f>
        <v>0.9502509172</v>
      </c>
      <c r="M41" s="1"/>
      <c r="Z41" s="1"/>
      <c r="AA41" s="1"/>
      <c r="AB41" s="1"/>
      <c r="AC41" s="1"/>
      <c r="AD41" s="1"/>
      <c r="AE41" s="1"/>
    </row>
    <row r="42" ht="15.75" customHeight="1">
      <c r="C42" s="2"/>
      <c r="D42" s="2"/>
      <c r="E42" s="2"/>
      <c r="F42" s="2"/>
      <c r="J42" s="61"/>
      <c r="K42" s="2"/>
      <c r="L42" s="2"/>
      <c r="Z42" s="1"/>
      <c r="AA42" s="1"/>
      <c r="AC42" s="173" t="s">
        <v>167</v>
      </c>
      <c r="AG42" s="173" t="s">
        <v>168</v>
      </c>
    </row>
    <row r="43" ht="15.75" customHeight="1">
      <c r="C43" s="2"/>
      <c r="D43" s="2"/>
      <c r="E43" s="115" t="s">
        <v>77</v>
      </c>
      <c r="F43" s="118">
        <f>E40+G40</f>
        <v>496663.03</v>
      </c>
      <c r="K43" s="115" t="s">
        <v>77</v>
      </c>
      <c r="L43" s="118">
        <f>K40+M40</f>
        <v>321184.81</v>
      </c>
      <c r="Z43" s="1"/>
      <c r="AA43" s="1"/>
      <c r="AD43" s="13"/>
      <c r="AE43" s="196"/>
    </row>
    <row r="44" ht="15.75" customHeight="1">
      <c r="C44" s="122" t="s">
        <v>29</v>
      </c>
      <c r="D44" s="124">
        <v>560000.0</v>
      </c>
      <c r="E44" s="2"/>
      <c r="F44" s="2"/>
      <c r="I44" s="126" t="s">
        <v>29</v>
      </c>
      <c r="J44" s="124">
        <v>338000.0</v>
      </c>
      <c r="K44" s="2"/>
      <c r="L44" s="2"/>
      <c r="O44" s="61"/>
      <c r="Z44" s="1"/>
      <c r="AA44" s="1"/>
      <c r="AD44" s="196" t="s">
        <v>169</v>
      </c>
    </row>
    <row r="45" ht="15.75" customHeight="1"/>
    <row r="46" ht="15.75" customHeight="1">
      <c r="E46" s="2"/>
      <c r="F46" s="2"/>
      <c r="K46" s="2"/>
      <c r="L46" s="2"/>
    </row>
    <row r="47" ht="15.75" customHeight="1">
      <c r="E47" s="2"/>
      <c r="F47" s="2"/>
      <c r="J47" s="189"/>
      <c r="K47" s="2"/>
      <c r="L47" s="2"/>
      <c r="AB47" s="201"/>
      <c r="AC47" s="61"/>
      <c r="AF47" s="201"/>
      <c r="AG47" s="6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Q9:T9"/>
    <mergeCell ref="V9:X9"/>
    <mergeCell ref="Q19:T19"/>
    <mergeCell ref="V19:X19"/>
    <mergeCell ref="C4:G6"/>
    <mergeCell ref="I4:M6"/>
    <mergeCell ref="C7:G7"/>
    <mergeCell ref="I7:M7"/>
    <mergeCell ref="V7:W7"/>
    <mergeCell ref="AA7:AC7"/>
    <mergeCell ref="AE7:AG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13.33"/>
    <col customWidth="1" min="3" max="3" width="13.89"/>
    <col customWidth="1" min="4" max="4" width="16.56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3.78"/>
    <col customWidth="1" min="15" max="15" width="15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4" width="14.78"/>
    <col customWidth="1" min="25" max="25" width="11.33"/>
    <col customWidth="1" min="26" max="26" width="15.78"/>
    <col customWidth="1" min="27" max="27" width="15.44"/>
    <col customWidth="1" min="28" max="28" width="16.0"/>
    <col customWidth="1" min="29" max="29" width="15.44"/>
    <col customWidth="1" min="30" max="30" width="11.11"/>
    <col customWidth="1" min="31" max="31" width="10.56"/>
  </cols>
  <sheetData>
    <row r="1" ht="15.75" customHeight="1">
      <c r="E1" s="61"/>
      <c r="H1" s="61"/>
      <c r="I1" s="61"/>
      <c r="S1" s="199"/>
      <c r="T1" s="200"/>
    </row>
    <row r="2" ht="15.75" customHeight="1">
      <c r="E2" s="61"/>
      <c r="H2" s="61"/>
      <c r="I2" s="61"/>
      <c r="S2" s="199"/>
      <c r="T2" s="200"/>
    </row>
    <row r="3" ht="15.75" customHeight="1">
      <c r="C3" s="61"/>
      <c r="F3" s="75"/>
      <c r="G3" s="2"/>
      <c r="N3" s="2"/>
      <c r="O3" s="2"/>
      <c r="P3" s="2"/>
      <c r="Q3" s="2"/>
      <c r="S3" s="199"/>
      <c r="T3" s="200"/>
    </row>
    <row r="4" ht="15.75" customHeight="1"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C5" s="31"/>
      <c r="M5" s="32"/>
      <c r="N5" s="31"/>
      <c r="X5" s="32"/>
    </row>
    <row r="6" ht="15.75" customHeight="1"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</row>
    <row r="7" ht="15.75" customHeight="1"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6"/>
    </row>
    <row r="8" ht="15.75" customHeight="1">
      <c r="A8" s="175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206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</row>
    <row r="9" ht="15.75" customHeight="1">
      <c r="A9" s="61"/>
      <c r="B9" s="78"/>
      <c r="C9" s="207">
        <v>45658.0</v>
      </c>
      <c r="D9" s="208" t="str">
        <f t="shared" ref="D9:D39" si="2">TEXT(C9,"ddd")</f>
        <v>qua.</v>
      </c>
      <c r="E9" s="209">
        <v>29000.0</v>
      </c>
      <c r="F9" s="209">
        <v>26681.7</v>
      </c>
      <c r="G9" s="51">
        <f t="shared" ref="G9:G39" si="3">F9-E9</f>
        <v>-2318.3</v>
      </c>
      <c r="H9" s="210">
        <v>0.0</v>
      </c>
      <c r="I9" s="211">
        <f t="shared" ref="I9:I39" si="4">IF(H9=0,0,F9/H9)</f>
        <v>0</v>
      </c>
      <c r="J9" s="57"/>
      <c r="K9" s="57"/>
      <c r="L9" s="57"/>
      <c r="M9" s="57">
        <f t="shared" ref="M9:M39" si="5">J9+K9+L9</f>
        <v>0</v>
      </c>
      <c r="N9" s="212">
        <f t="shared" ref="N9:O9" si="1">C9</f>
        <v>45658</v>
      </c>
      <c r="O9" s="204" t="str">
        <f t="shared" si="1"/>
        <v>qua.</v>
      </c>
      <c r="P9" s="213">
        <v>22000.0</v>
      </c>
      <c r="Q9" s="213">
        <v>19819.449999999997</v>
      </c>
      <c r="R9" s="51">
        <f t="shared" ref="R9:R39" si="7">Q9-P9</f>
        <v>-2180.55</v>
      </c>
      <c r="S9" s="214">
        <v>0.0</v>
      </c>
      <c r="T9" s="211">
        <f t="shared" ref="T9:T39" si="8">IF(S9=0,0,Q9/S9)</f>
        <v>0</v>
      </c>
      <c r="U9" s="214">
        <v>0.0</v>
      </c>
      <c r="V9" s="214">
        <v>0.0</v>
      </c>
      <c r="W9" s="214">
        <v>0.0</v>
      </c>
      <c r="X9" s="57">
        <f t="shared" ref="X9:X39" si="9">U9+V9+W9</f>
        <v>0</v>
      </c>
    </row>
    <row r="10" ht="15.75" customHeight="1">
      <c r="A10" s="61"/>
      <c r="B10" s="78"/>
      <c r="C10" s="207">
        <v>45659.0</v>
      </c>
      <c r="D10" s="208" t="str">
        <f t="shared" si="2"/>
        <v>qui.</v>
      </c>
      <c r="E10" s="209">
        <v>10500.0</v>
      </c>
      <c r="F10" s="209">
        <v>6637.4</v>
      </c>
      <c r="G10" s="51">
        <f t="shared" si="3"/>
        <v>-3862.6</v>
      </c>
      <c r="H10" s="210">
        <v>0.0</v>
      </c>
      <c r="I10" s="211">
        <f t="shared" si="4"/>
        <v>0</v>
      </c>
      <c r="J10" s="57"/>
      <c r="K10" s="57"/>
      <c r="L10" s="57"/>
      <c r="M10" s="57">
        <f t="shared" si="5"/>
        <v>0</v>
      </c>
      <c r="N10" s="212">
        <f t="shared" ref="N10:O10" si="6">C10</f>
        <v>45659</v>
      </c>
      <c r="O10" s="204" t="str">
        <f t="shared" si="6"/>
        <v>qui.</v>
      </c>
      <c r="P10" s="213">
        <v>8000.0</v>
      </c>
      <c r="Q10" s="213">
        <v>4791.55</v>
      </c>
      <c r="R10" s="51">
        <f t="shared" si="7"/>
        <v>-3208.45</v>
      </c>
      <c r="S10" s="214">
        <v>0.0</v>
      </c>
      <c r="T10" s="211">
        <f t="shared" si="8"/>
        <v>0</v>
      </c>
      <c r="U10" s="214">
        <v>0.0</v>
      </c>
      <c r="V10" s="214">
        <v>0.0</v>
      </c>
      <c r="W10" s="214">
        <v>0.0</v>
      </c>
      <c r="X10" s="57">
        <f t="shared" si="9"/>
        <v>0</v>
      </c>
    </row>
    <row r="11" ht="15.75" customHeight="1">
      <c r="B11" s="78"/>
      <c r="C11" s="207">
        <v>45660.0</v>
      </c>
      <c r="D11" s="208" t="str">
        <f t="shared" si="2"/>
        <v>sex.</v>
      </c>
      <c r="E11" s="209">
        <v>17200.0</v>
      </c>
      <c r="F11" s="209">
        <v>11247.8</v>
      </c>
      <c r="G11" s="51">
        <f t="shared" si="3"/>
        <v>-5952.2</v>
      </c>
      <c r="H11" s="210">
        <v>0.0</v>
      </c>
      <c r="I11" s="211">
        <f t="shared" si="4"/>
        <v>0</v>
      </c>
      <c r="J11" s="57"/>
      <c r="K11" s="57"/>
      <c r="L11" s="57"/>
      <c r="M11" s="57">
        <f t="shared" si="5"/>
        <v>0</v>
      </c>
      <c r="N11" s="212">
        <f t="shared" ref="N11:O11" si="10">C11</f>
        <v>45660</v>
      </c>
      <c r="O11" s="204" t="str">
        <f t="shared" si="10"/>
        <v>sex.</v>
      </c>
      <c r="P11" s="213">
        <v>8000.0</v>
      </c>
      <c r="Q11" s="213">
        <v>5503.82</v>
      </c>
      <c r="R11" s="51">
        <f t="shared" si="7"/>
        <v>-2496.18</v>
      </c>
      <c r="S11" s="214">
        <v>0.0</v>
      </c>
      <c r="T11" s="211">
        <f t="shared" si="8"/>
        <v>0</v>
      </c>
      <c r="U11" s="214">
        <v>0.0</v>
      </c>
      <c r="V11" s="214">
        <v>0.0</v>
      </c>
      <c r="W11" s="214">
        <v>0.0</v>
      </c>
      <c r="X11" s="57">
        <f t="shared" si="9"/>
        <v>0</v>
      </c>
    </row>
    <row r="12" ht="15.75" customHeight="1">
      <c r="B12" s="78"/>
      <c r="C12" s="207">
        <v>45661.0</v>
      </c>
      <c r="D12" s="208" t="str">
        <f t="shared" si="2"/>
        <v>sáb.</v>
      </c>
      <c r="E12" s="209">
        <v>15500.0</v>
      </c>
      <c r="F12" s="209">
        <v>9669.9</v>
      </c>
      <c r="G12" s="51">
        <f t="shared" si="3"/>
        <v>-5830.1</v>
      </c>
      <c r="H12" s="210">
        <v>0.0</v>
      </c>
      <c r="I12" s="211">
        <f t="shared" si="4"/>
        <v>0</v>
      </c>
      <c r="J12" s="57"/>
      <c r="K12" s="57"/>
      <c r="L12" s="57"/>
      <c r="M12" s="57">
        <f t="shared" si="5"/>
        <v>0</v>
      </c>
      <c r="N12" s="212">
        <f t="shared" ref="N12:O12" si="11">C12</f>
        <v>45661</v>
      </c>
      <c r="O12" s="204" t="str">
        <f t="shared" si="11"/>
        <v>sáb.</v>
      </c>
      <c r="P12" s="213">
        <v>7400.0</v>
      </c>
      <c r="Q12" s="213">
        <v>6329.75</v>
      </c>
      <c r="R12" s="51">
        <f t="shared" si="7"/>
        <v>-1070.25</v>
      </c>
      <c r="S12" s="214">
        <v>0.0</v>
      </c>
      <c r="T12" s="211">
        <f t="shared" si="8"/>
        <v>0</v>
      </c>
      <c r="U12" s="214">
        <v>0.0</v>
      </c>
      <c r="V12" s="214">
        <v>0.0</v>
      </c>
      <c r="W12" s="214">
        <v>0.0</v>
      </c>
      <c r="X12" s="57">
        <f t="shared" si="9"/>
        <v>0</v>
      </c>
    </row>
    <row r="13" ht="15.75" customHeight="1">
      <c r="B13" s="78"/>
      <c r="C13" s="207">
        <v>45662.0</v>
      </c>
      <c r="D13" s="208" t="str">
        <f t="shared" si="2"/>
        <v>dom.</v>
      </c>
      <c r="E13" s="209">
        <v>14600.0</v>
      </c>
      <c r="F13" s="209">
        <v>11293.35</v>
      </c>
      <c r="G13" s="51">
        <f t="shared" si="3"/>
        <v>-3306.65</v>
      </c>
      <c r="H13" s="210">
        <v>0.0</v>
      </c>
      <c r="I13" s="211">
        <f t="shared" si="4"/>
        <v>0</v>
      </c>
      <c r="J13" s="57"/>
      <c r="K13" s="57"/>
      <c r="L13" s="57"/>
      <c r="M13" s="57">
        <f t="shared" si="5"/>
        <v>0</v>
      </c>
      <c r="N13" s="212">
        <f t="shared" ref="N13:O13" si="12">C13</f>
        <v>45662</v>
      </c>
      <c r="O13" s="204" t="str">
        <f t="shared" si="12"/>
        <v>dom.</v>
      </c>
      <c r="P13" s="213">
        <v>6000.0</v>
      </c>
      <c r="Q13" s="213">
        <v>6765.65</v>
      </c>
      <c r="R13" s="51">
        <f t="shared" si="7"/>
        <v>765.65</v>
      </c>
      <c r="S13" s="214">
        <v>0.0</v>
      </c>
      <c r="T13" s="211">
        <f t="shared" si="8"/>
        <v>0</v>
      </c>
      <c r="U13" s="214">
        <v>0.0</v>
      </c>
      <c r="V13" s="214">
        <v>0.0</v>
      </c>
      <c r="W13" s="214">
        <v>0.0</v>
      </c>
      <c r="X13" s="57">
        <f t="shared" si="9"/>
        <v>0</v>
      </c>
    </row>
    <row r="14" ht="15.75" customHeight="1">
      <c r="B14" s="78"/>
      <c r="C14" s="207">
        <v>45663.0</v>
      </c>
      <c r="D14" s="208" t="str">
        <f t="shared" si="2"/>
        <v>seg.</v>
      </c>
      <c r="E14" s="209">
        <v>22500.0</v>
      </c>
      <c r="F14" s="209">
        <v>17865.35</v>
      </c>
      <c r="G14" s="51">
        <f t="shared" si="3"/>
        <v>-4634.65</v>
      </c>
      <c r="H14" s="210">
        <v>0.0</v>
      </c>
      <c r="I14" s="211">
        <f t="shared" si="4"/>
        <v>0</v>
      </c>
      <c r="J14" s="57"/>
      <c r="K14" s="57"/>
      <c r="L14" s="57"/>
      <c r="M14" s="57">
        <f t="shared" si="5"/>
        <v>0</v>
      </c>
      <c r="N14" s="212">
        <f t="shared" ref="N14:O14" si="13">C14</f>
        <v>45663</v>
      </c>
      <c r="O14" s="204" t="str">
        <f t="shared" si="13"/>
        <v>seg.</v>
      </c>
      <c r="P14" s="213">
        <v>12500.0</v>
      </c>
      <c r="Q14" s="213">
        <v>11951.91</v>
      </c>
      <c r="R14" s="51">
        <f t="shared" si="7"/>
        <v>-548.09</v>
      </c>
      <c r="S14" s="214">
        <v>0.0</v>
      </c>
      <c r="T14" s="211">
        <f t="shared" si="8"/>
        <v>0</v>
      </c>
      <c r="U14" s="214">
        <v>0.0</v>
      </c>
      <c r="V14" s="214">
        <v>0.0</v>
      </c>
      <c r="W14" s="214">
        <v>0.0</v>
      </c>
      <c r="X14" s="57">
        <f t="shared" si="9"/>
        <v>0</v>
      </c>
    </row>
    <row r="15" ht="15.75" customHeight="1">
      <c r="B15" s="78"/>
      <c r="C15" s="207">
        <v>45664.0</v>
      </c>
      <c r="D15" s="208" t="str">
        <f t="shared" si="2"/>
        <v>ter.</v>
      </c>
      <c r="E15" s="209">
        <v>24000.0</v>
      </c>
      <c r="F15" s="209">
        <v>24011.5</v>
      </c>
      <c r="G15" s="51">
        <f t="shared" si="3"/>
        <v>11.5</v>
      </c>
      <c r="H15" s="210">
        <v>0.0</v>
      </c>
      <c r="I15" s="211">
        <f t="shared" si="4"/>
        <v>0</v>
      </c>
      <c r="J15" s="57"/>
      <c r="K15" s="57"/>
      <c r="L15" s="57"/>
      <c r="M15" s="57">
        <f t="shared" si="5"/>
        <v>0</v>
      </c>
      <c r="N15" s="212">
        <f t="shared" ref="N15:O15" si="14">C15</f>
        <v>45664</v>
      </c>
      <c r="O15" s="204" t="str">
        <f t="shared" si="14"/>
        <v>ter.</v>
      </c>
      <c r="P15" s="213">
        <v>15100.0</v>
      </c>
      <c r="Q15" s="213">
        <v>14334.84</v>
      </c>
      <c r="R15" s="51">
        <f t="shared" si="7"/>
        <v>-765.16</v>
      </c>
      <c r="S15" s="214">
        <v>0.0</v>
      </c>
      <c r="T15" s="211">
        <f t="shared" si="8"/>
        <v>0</v>
      </c>
      <c r="U15" s="214">
        <v>0.0</v>
      </c>
      <c r="V15" s="214">
        <v>0.0</v>
      </c>
      <c r="W15" s="214">
        <v>0.0</v>
      </c>
      <c r="X15" s="57">
        <f t="shared" si="9"/>
        <v>0</v>
      </c>
    </row>
    <row r="16" ht="15.75" customHeight="1">
      <c r="C16" s="207">
        <v>45665.0</v>
      </c>
      <c r="D16" s="208" t="str">
        <f t="shared" si="2"/>
        <v>qua.</v>
      </c>
      <c r="E16" s="209">
        <v>29000.0</v>
      </c>
      <c r="F16" s="209">
        <v>31053.46</v>
      </c>
      <c r="G16" s="51">
        <f t="shared" si="3"/>
        <v>2053.46</v>
      </c>
      <c r="H16" s="210">
        <v>0.0</v>
      </c>
      <c r="I16" s="211">
        <f t="shared" si="4"/>
        <v>0</v>
      </c>
      <c r="J16" s="57"/>
      <c r="K16" s="57"/>
      <c r="L16" s="57"/>
      <c r="M16" s="57">
        <f t="shared" si="5"/>
        <v>0</v>
      </c>
      <c r="N16" s="212">
        <f t="shared" ref="N16:O16" si="15">C16</f>
        <v>45665</v>
      </c>
      <c r="O16" s="204" t="str">
        <f t="shared" si="15"/>
        <v>qua.</v>
      </c>
      <c r="P16" s="213">
        <v>22000.0</v>
      </c>
      <c r="Q16" s="213">
        <v>24468.23</v>
      </c>
      <c r="R16" s="51">
        <f t="shared" si="7"/>
        <v>2468.23</v>
      </c>
      <c r="S16" s="214">
        <v>0.0</v>
      </c>
      <c r="T16" s="211">
        <f t="shared" si="8"/>
        <v>0</v>
      </c>
      <c r="U16" s="214">
        <v>0.0</v>
      </c>
      <c r="V16" s="214">
        <v>0.0</v>
      </c>
      <c r="W16" s="214">
        <v>0.0</v>
      </c>
      <c r="X16" s="57">
        <f t="shared" si="9"/>
        <v>0</v>
      </c>
    </row>
    <row r="17" ht="15.75" customHeight="1">
      <c r="C17" s="207">
        <v>45666.0</v>
      </c>
      <c r="D17" s="208" t="str">
        <f t="shared" si="2"/>
        <v>qui.</v>
      </c>
      <c r="E17" s="209">
        <v>10500.0</v>
      </c>
      <c r="F17" s="209">
        <v>9502.85</v>
      </c>
      <c r="G17" s="51">
        <f t="shared" si="3"/>
        <v>-997.15</v>
      </c>
      <c r="H17" s="210">
        <v>0.0</v>
      </c>
      <c r="I17" s="211">
        <f t="shared" si="4"/>
        <v>0</v>
      </c>
      <c r="J17" s="57"/>
      <c r="K17" s="57"/>
      <c r="L17" s="57"/>
      <c r="M17" s="57">
        <f t="shared" si="5"/>
        <v>0</v>
      </c>
      <c r="N17" s="212">
        <f t="shared" ref="N17:O17" si="16">C17</f>
        <v>45666</v>
      </c>
      <c r="O17" s="204" t="str">
        <f t="shared" si="16"/>
        <v>qui.</v>
      </c>
      <c r="P17" s="213">
        <v>8000.0</v>
      </c>
      <c r="Q17" s="213">
        <v>4546.85</v>
      </c>
      <c r="R17" s="51">
        <f t="shared" si="7"/>
        <v>-3453.15</v>
      </c>
      <c r="S17" s="214">
        <v>0.0</v>
      </c>
      <c r="T17" s="211">
        <f t="shared" si="8"/>
        <v>0</v>
      </c>
      <c r="U17" s="214">
        <v>0.0</v>
      </c>
      <c r="V17" s="214">
        <v>0.0</v>
      </c>
      <c r="W17" s="214">
        <v>0.0</v>
      </c>
      <c r="X17" s="57">
        <f t="shared" si="9"/>
        <v>0</v>
      </c>
      <c r="Z17" s="14"/>
      <c r="AA17" s="215"/>
      <c r="AB17" s="2"/>
      <c r="AC17" s="215"/>
    </row>
    <row r="18" ht="15.75" customHeight="1">
      <c r="C18" s="207">
        <v>45667.0</v>
      </c>
      <c r="D18" s="208" t="str">
        <f t="shared" si="2"/>
        <v>sex.</v>
      </c>
      <c r="E18" s="209">
        <v>17200.0</v>
      </c>
      <c r="F18" s="209">
        <v>20031.6</v>
      </c>
      <c r="G18" s="51">
        <f t="shared" si="3"/>
        <v>2831.6</v>
      </c>
      <c r="H18" s="210">
        <v>0.0</v>
      </c>
      <c r="I18" s="211">
        <f t="shared" si="4"/>
        <v>0</v>
      </c>
      <c r="J18" s="57"/>
      <c r="K18" s="57"/>
      <c r="L18" s="57"/>
      <c r="M18" s="57">
        <f t="shared" si="5"/>
        <v>0</v>
      </c>
      <c r="N18" s="212">
        <f t="shared" ref="N18:O18" si="17">C18</f>
        <v>45667</v>
      </c>
      <c r="O18" s="204" t="str">
        <f t="shared" si="17"/>
        <v>sex.</v>
      </c>
      <c r="P18" s="213">
        <v>8000.0</v>
      </c>
      <c r="Q18" s="213">
        <v>6177.28</v>
      </c>
      <c r="R18" s="51">
        <f t="shared" si="7"/>
        <v>-1822.72</v>
      </c>
      <c r="S18" s="214">
        <v>0.0</v>
      </c>
      <c r="T18" s="211">
        <f t="shared" si="8"/>
        <v>0</v>
      </c>
      <c r="U18" s="214">
        <v>0.0</v>
      </c>
      <c r="V18" s="214">
        <v>0.0</v>
      </c>
      <c r="W18" s="214">
        <v>0.0</v>
      </c>
      <c r="X18" s="57">
        <f t="shared" si="9"/>
        <v>0</v>
      </c>
      <c r="Z18" s="14"/>
      <c r="AA18" s="75"/>
      <c r="AB18" s="2"/>
      <c r="AC18" s="75"/>
    </row>
    <row r="19" ht="15.75" customHeight="1">
      <c r="C19" s="207">
        <v>45668.0</v>
      </c>
      <c r="D19" s="208" t="str">
        <f t="shared" si="2"/>
        <v>sáb.</v>
      </c>
      <c r="E19" s="209">
        <v>15500.0</v>
      </c>
      <c r="F19" s="209">
        <v>11312.25</v>
      </c>
      <c r="G19" s="51">
        <f t="shared" si="3"/>
        <v>-4187.75</v>
      </c>
      <c r="H19" s="210">
        <v>0.0</v>
      </c>
      <c r="I19" s="211">
        <f t="shared" si="4"/>
        <v>0</v>
      </c>
      <c r="J19" s="57"/>
      <c r="K19" s="57"/>
      <c r="L19" s="57"/>
      <c r="M19" s="57">
        <f t="shared" si="5"/>
        <v>0</v>
      </c>
      <c r="N19" s="212">
        <f t="shared" ref="N19:O19" si="18">C19</f>
        <v>45668</v>
      </c>
      <c r="O19" s="204" t="str">
        <f t="shared" si="18"/>
        <v>sáb.</v>
      </c>
      <c r="P19" s="213">
        <v>7400.0</v>
      </c>
      <c r="Q19" s="213">
        <v>5156.21</v>
      </c>
      <c r="R19" s="51">
        <f t="shared" si="7"/>
        <v>-2243.79</v>
      </c>
      <c r="S19" s="214">
        <v>0.0</v>
      </c>
      <c r="T19" s="211">
        <f t="shared" si="8"/>
        <v>0</v>
      </c>
      <c r="U19" s="214">
        <v>0.0</v>
      </c>
      <c r="V19" s="214">
        <v>0.0</v>
      </c>
      <c r="W19" s="214">
        <v>0.0</v>
      </c>
      <c r="X19" s="57">
        <f t="shared" si="9"/>
        <v>0</v>
      </c>
      <c r="Z19" s="14"/>
      <c r="AA19" s="2"/>
      <c r="AB19" s="2"/>
      <c r="AC19" s="2"/>
    </row>
    <row r="20" ht="15.75" customHeight="1">
      <c r="C20" s="207">
        <v>45669.0</v>
      </c>
      <c r="D20" s="208" t="str">
        <f t="shared" si="2"/>
        <v>dom.</v>
      </c>
      <c r="E20" s="209">
        <v>14600.0</v>
      </c>
      <c r="F20" s="209">
        <v>13051.7</v>
      </c>
      <c r="G20" s="51">
        <f t="shared" si="3"/>
        <v>-1548.3</v>
      </c>
      <c r="H20" s="210">
        <v>0.0</v>
      </c>
      <c r="I20" s="211">
        <f t="shared" si="4"/>
        <v>0</v>
      </c>
      <c r="J20" s="57"/>
      <c r="K20" s="57"/>
      <c r="L20" s="57"/>
      <c r="M20" s="57">
        <f t="shared" si="5"/>
        <v>0</v>
      </c>
      <c r="N20" s="212">
        <f t="shared" ref="N20:O20" si="19">C20</f>
        <v>45669</v>
      </c>
      <c r="O20" s="204" t="str">
        <f t="shared" si="19"/>
        <v>dom.</v>
      </c>
      <c r="P20" s="213">
        <v>6000.0</v>
      </c>
      <c r="Q20" s="213">
        <v>6444.46</v>
      </c>
      <c r="R20" s="51">
        <f t="shared" si="7"/>
        <v>444.46</v>
      </c>
      <c r="S20" s="214">
        <v>0.0</v>
      </c>
      <c r="T20" s="211">
        <f t="shared" si="8"/>
        <v>0</v>
      </c>
      <c r="U20" s="214">
        <v>0.0</v>
      </c>
      <c r="V20" s="214">
        <v>0.0</v>
      </c>
      <c r="W20" s="214">
        <v>0.0</v>
      </c>
      <c r="X20" s="57">
        <f t="shared" si="9"/>
        <v>0</v>
      </c>
      <c r="Z20" s="14"/>
      <c r="AA20" s="75"/>
      <c r="AC20" s="75"/>
    </row>
    <row r="21" ht="15.75" customHeight="1">
      <c r="C21" s="207">
        <v>45670.0</v>
      </c>
      <c r="D21" s="208" t="str">
        <f t="shared" si="2"/>
        <v>seg.</v>
      </c>
      <c r="E21" s="209">
        <v>22500.0</v>
      </c>
      <c r="F21" s="209">
        <v>22922.43</v>
      </c>
      <c r="G21" s="51">
        <f t="shared" si="3"/>
        <v>422.43</v>
      </c>
      <c r="H21" s="210">
        <v>0.0</v>
      </c>
      <c r="I21" s="211">
        <f t="shared" si="4"/>
        <v>0</v>
      </c>
      <c r="J21" s="57"/>
      <c r="K21" s="57"/>
      <c r="L21" s="57"/>
      <c r="M21" s="57">
        <f t="shared" si="5"/>
        <v>0</v>
      </c>
      <c r="N21" s="212">
        <f t="shared" ref="N21:O21" si="20">C21</f>
        <v>45670</v>
      </c>
      <c r="O21" s="204" t="str">
        <f t="shared" si="20"/>
        <v>seg.</v>
      </c>
      <c r="P21" s="213">
        <v>12500.0</v>
      </c>
      <c r="Q21" s="213">
        <v>9462.12</v>
      </c>
      <c r="R21" s="51">
        <f t="shared" si="7"/>
        <v>-3037.88</v>
      </c>
      <c r="S21" s="214">
        <v>0.0</v>
      </c>
      <c r="T21" s="211">
        <f t="shared" si="8"/>
        <v>0</v>
      </c>
      <c r="U21" s="214">
        <v>0.0</v>
      </c>
      <c r="V21" s="214">
        <v>0.0</v>
      </c>
      <c r="W21" s="214">
        <v>0.0</v>
      </c>
      <c r="X21" s="57">
        <f t="shared" si="9"/>
        <v>0</v>
      </c>
      <c r="Z21" s="14"/>
      <c r="AA21" s="79"/>
      <c r="AC21" s="79"/>
      <c r="AD21" s="66"/>
    </row>
    <row r="22" ht="15.75" customHeight="1">
      <c r="C22" s="207">
        <v>45671.0</v>
      </c>
      <c r="D22" s="208" t="str">
        <f t="shared" si="2"/>
        <v>ter.</v>
      </c>
      <c r="E22" s="209">
        <v>24000.0</v>
      </c>
      <c r="F22" s="209">
        <v>27302.95</v>
      </c>
      <c r="G22" s="51">
        <f t="shared" si="3"/>
        <v>3302.95</v>
      </c>
      <c r="H22" s="210">
        <v>0.0</v>
      </c>
      <c r="I22" s="211">
        <f t="shared" si="4"/>
        <v>0</v>
      </c>
      <c r="J22" s="57"/>
      <c r="K22" s="57"/>
      <c r="L22" s="57"/>
      <c r="M22" s="57">
        <f t="shared" si="5"/>
        <v>0</v>
      </c>
      <c r="N22" s="212">
        <f t="shared" ref="N22:O22" si="21">C22</f>
        <v>45671</v>
      </c>
      <c r="O22" s="204" t="str">
        <f t="shared" si="21"/>
        <v>ter.</v>
      </c>
      <c r="P22" s="213">
        <v>15100.0</v>
      </c>
      <c r="Q22" s="213">
        <v>13566.460000000001</v>
      </c>
      <c r="R22" s="51">
        <f t="shared" si="7"/>
        <v>-1533.54</v>
      </c>
      <c r="S22" s="214">
        <v>0.0</v>
      </c>
      <c r="T22" s="211">
        <f t="shared" si="8"/>
        <v>0</v>
      </c>
      <c r="U22" s="214">
        <v>0.0</v>
      </c>
      <c r="V22" s="214">
        <v>0.0</v>
      </c>
      <c r="W22" s="214">
        <v>0.0</v>
      </c>
      <c r="X22" s="57">
        <f t="shared" si="9"/>
        <v>0</v>
      </c>
      <c r="Z22" s="14"/>
      <c r="AA22" s="81"/>
      <c r="AC22" s="2"/>
    </row>
    <row r="23" ht="15.75" customHeight="1">
      <c r="C23" s="207">
        <v>45672.0</v>
      </c>
      <c r="D23" s="208" t="str">
        <f t="shared" si="2"/>
        <v>qua.</v>
      </c>
      <c r="E23" s="209">
        <v>29000.0</v>
      </c>
      <c r="F23" s="209">
        <v>24895.25</v>
      </c>
      <c r="G23" s="51">
        <f t="shared" si="3"/>
        <v>-4104.75</v>
      </c>
      <c r="H23" s="210">
        <v>0.0</v>
      </c>
      <c r="I23" s="211">
        <f t="shared" si="4"/>
        <v>0</v>
      </c>
      <c r="J23" s="57"/>
      <c r="K23" s="57"/>
      <c r="L23" s="57"/>
      <c r="M23" s="57">
        <f t="shared" si="5"/>
        <v>0</v>
      </c>
      <c r="N23" s="212">
        <f t="shared" ref="N23:O23" si="22">C23</f>
        <v>45672</v>
      </c>
      <c r="O23" s="204" t="str">
        <f t="shared" si="22"/>
        <v>qua.</v>
      </c>
      <c r="P23" s="213">
        <v>22000.0</v>
      </c>
      <c r="Q23" s="213">
        <v>23975.46</v>
      </c>
      <c r="R23" s="51">
        <f t="shared" si="7"/>
        <v>1975.46</v>
      </c>
      <c r="S23" s="214">
        <v>0.0</v>
      </c>
      <c r="T23" s="211">
        <f t="shared" si="8"/>
        <v>0</v>
      </c>
      <c r="U23" s="214">
        <v>0.0</v>
      </c>
      <c r="V23" s="214">
        <v>0.0</v>
      </c>
      <c r="W23" s="214">
        <v>0.0</v>
      </c>
      <c r="X23" s="57">
        <f t="shared" si="9"/>
        <v>0</v>
      </c>
      <c r="Z23" s="14"/>
      <c r="AA23" s="75"/>
      <c r="AC23" s="75"/>
    </row>
    <row r="24" ht="15.75" customHeight="1">
      <c r="C24" s="207">
        <v>45673.0</v>
      </c>
      <c r="D24" s="208" t="str">
        <f t="shared" si="2"/>
        <v>qui.</v>
      </c>
      <c r="E24" s="209">
        <v>10500.0</v>
      </c>
      <c r="F24" s="209">
        <v>5059.25</v>
      </c>
      <c r="G24" s="51">
        <f t="shared" si="3"/>
        <v>-5440.75</v>
      </c>
      <c r="H24" s="210">
        <v>0.0</v>
      </c>
      <c r="I24" s="211">
        <f t="shared" si="4"/>
        <v>0</v>
      </c>
      <c r="J24" s="57"/>
      <c r="K24" s="57"/>
      <c r="L24" s="57"/>
      <c r="M24" s="57">
        <f t="shared" si="5"/>
        <v>0</v>
      </c>
      <c r="N24" s="212">
        <f t="shared" ref="N24:O24" si="23">C24</f>
        <v>45673</v>
      </c>
      <c r="O24" s="204" t="str">
        <f t="shared" si="23"/>
        <v>qui.</v>
      </c>
      <c r="P24" s="213">
        <v>8000.0</v>
      </c>
      <c r="Q24" s="213">
        <v>3779.6400000000003</v>
      </c>
      <c r="R24" s="51">
        <f t="shared" si="7"/>
        <v>-4220.36</v>
      </c>
      <c r="S24" s="214">
        <v>0.0</v>
      </c>
      <c r="T24" s="211">
        <f t="shared" si="8"/>
        <v>0</v>
      </c>
      <c r="U24" s="214">
        <v>0.0</v>
      </c>
      <c r="V24" s="214">
        <v>0.0</v>
      </c>
      <c r="W24" s="214">
        <v>0.0</v>
      </c>
      <c r="X24" s="57">
        <f t="shared" si="9"/>
        <v>0</v>
      </c>
      <c r="Z24" s="14"/>
      <c r="AA24" s="79"/>
      <c r="AC24" s="79"/>
    </row>
    <row r="25" ht="15.75" customHeight="1">
      <c r="C25" s="207">
        <v>45674.0</v>
      </c>
      <c r="D25" s="208" t="str">
        <f t="shared" si="2"/>
        <v>sex.</v>
      </c>
      <c r="E25" s="209">
        <v>17200.0</v>
      </c>
      <c r="F25" s="209">
        <v>9248.45</v>
      </c>
      <c r="G25" s="51">
        <f t="shared" si="3"/>
        <v>-7951.55</v>
      </c>
      <c r="H25" s="210">
        <v>0.0</v>
      </c>
      <c r="I25" s="211">
        <f t="shared" si="4"/>
        <v>0</v>
      </c>
      <c r="J25" s="57"/>
      <c r="K25" s="57"/>
      <c r="L25" s="57"/>
      <c r="M25" s="57">
        <f t="shared" si="5"/>
        <v>0</v>
      </c>
      <c r="N25" s="212">
        <f t="shared" ref="N25:O25" si="24">C25</f>
        <v>45674</v>
      </c>
      <c r="O25" s="204" t="str">
        <f t="shared" si="24"/>
        <v>sex.</v>
      </c>
      <c r="P25" s="213">
        <v>8000.0</v>
      </c>
      <c r="Q25" s="213">
        <v>5819.37</v>
      </c>
      <c r="R25" s="51">
        <f t="shared" si="7"/>
        <v>-2180.63</v>
      </c>
      <c r="S25" s="214">
        <v>0.0</v>
      </c>
      <c r="T25" s="211">
        <f t="shared" si="8"/>
        <v>0</v>
      </c>
      <c r="U25" s="214">
        <v>0.0</v>
      </c>
      <c r="V25" s="214">
        <v>0.0</v>
      </c>
      <c r="W25" s="214">
        <v>0.0</v>
      </c>
      <c r="X25" s="57">
        <f t="shared" si="9"/>
        <v>0</v>
      </c>
      <c r="Z25" s="14"/>
      <c r="AA25" s="81"/>
      <c r="AC25" s="2"/>
    </row>
    <row r="26" ht="19.5" customHeight="1">
      <c r="C26" s="207">
        <v>45675.0</v>
      </c>
      <c r="D26" s="208" t="str">
        <f t="shared" si="2"/>
        <v>sáb.</v>
      </c>
      <c r="E26" s="209">
        <v>15500.0</v>
      </c>
      <c r="F26" s="209">
        <v>15725.46</v>
      </c>
      <c r="G26" s="51">
        <f t="shared" si="3"/>
        <v>225.46</v>
      </c>
      <c r="H26" s="210">
        <v>0.0</v>
      </c>
      <c r="I26" s="211">
        <f t="shared" si="4"/>
        <v>0</v>
      </c>
      <c r="J26" s="57"/>
      <c r="K26" s="57"/>
      <c r="L26" s="57"/>
      <c r="M26" s="57">
        <f t="shared" si="5"/>
        <v>0</v>
      </c>
      <c r="N26" s="212">
        <f t="shared" ref="N26:O26" si="25">C26</f>
        <v>45675</v>
      </c>
      <c r="O26" s="204" t="str">
        <f t="shared" si="25"/>
        <v>sáb.</v>
      </c>
      <c r="P26" s="213">
        <v>7400.0</v>
      </c>
      <c r="Q26" s="213">
        <v>5928.67</v>
      </c>
      <c r="R26" s="51">
        <f t="shared" si="7"/>
        <v>-1471.33</v>
      </c>
      <c r="S26" s="214">
        <v>0.0</v>
      </c>
      <c r="T26" s="211">
        <f t="shared" si="8"/>
        <v>0</v>
      </c>
      <c r="U26" s="214">
        <v>0.0</v>
      </c>
      <c r="V26" s="214">
        <v>0.0</v>
      </c>
      <c r="W26" s="214">
        <v>0.0</v>
      </c>
      <c r="X26" s="57">
        <f t="shared" si="9"/>
        <v>0</v>
      </c>
      <c r="Z26" s="14"/>
      <c r="AA26" s="75"/>
      <c r="AC26" s="75"/>
    </row>
    <row r="27" ht="15.75" customHeight="1">
      <c r="C27" s="207">
        <v>45676.0</v>
      </c>
      <c r="D27" s="208" t="str">
        <f t="shared" si="2"/>
        <v>dom.</v>
      </c>
      <c r="E27" s="209">
        <v>14600.0</v>
      </c>
      <c r="F27" s="209">
        <v>15596.85</v>
      </c>
      <c r="G27" s="51">
        <f t="shared" si="3"/>
        <v>996.85</v>
      </c>
      <c r="H27" s="210">
        <v>0.0</v>
      </c>
      <c r="I27" s="211">
        <f t="shared" si="4"/>
        <v>0</v>
      </c>
      <c r="J27" s="57"/>
      <c r="K27" s="57"/>
      <c r="L27" s="57"/>
      <c r="M27" s="57">
        <f t="shared" si="5"/>
        <v>0</v>
      </c>
      <c r="N27" s="212">
        <f t="shared" ref="N27:O27" si="26">C27</f>
        <v>45676</v>
      </c>
      <c r="O27" s="204" t="str">
        <f t="shared" si="26"/>
        <v>dom.</v>
      </c>
      <c r="P27" s="213">
        <v>6000.0</v>
      </c>
      <c r="Q27" s="213">
        <v>9434.48</v>
      </c>
      <c r="R27" s="51">
        <f t="shared" si="7"/>
        <v>3434.48</v>
      </c>
      <c r="S27" s="214">
        <v>0.0</v>
      </c>
      <c r="T27" s="211">
        <f t="shared" si="8"/>
        <v>0</v>
      </c>
      <c r="U27" s="214">
        <v>0.0</v>
      </c>
      <c r="V27" s="214">
        <v>0.0</v>
      </c>
      <c r="W27" s="214">
        <v>0.0</v>
      </c>
      <c r="X27" s="57">
        <f t="shared" si="9"/>
        <v>0</v>
      </c>
      <c r="Z27" s="14"/>
      <c r="AA27" s="79"/>
      <c r="AC27" s="79"/>
    </row>
    <row r="28" ht="15.75" customHeight="1">
      <c r="C28" s="207">
        <v>45677.0</v>
      </c>
      <c r="D28" s="208" t="str">
        <f t="shared" si="2"/>
        <v>seg.</v>
      </c>
      <c r="E28" s="209">
        <v>22500.0</v>
      </c>
      <c r="F28" s="209">
        <v>21837.7</v>
      </c>
      <c r="G28" s="51">
        <f t="shared" si="3"/>
        <v>-662.3</v>
      </c>
      <c r="H28" s="210">
        <v>0.0</v>
      </c>
      <c r="I28" s="211">
        <f t="shared" si="4"/>
        <v>0</v>
      </c>
      <c r="J28" s="57"/>
      <c r="K28" s="57"/>
      <c r="L28" s="57"/>
      <c r="M28" s="57">
        <f t="shared" si="5"/>
        <v>0</v>
      </c>
      <c r="N28" s="212">
        <f t="shared" ref="N28:O28" si="27">C28</f>
        <v>45677</v>
      </c>
      <c r="O28" s="204" t="str">
        <f t="shared" si="27"/>
        <v>seg.</v>
      </c>
      <c r="P28" s="213">
        <v>12500.0</v>
      </c>
      <c r="Q28" s="213">
        <v>12475.34</v>
      </c>
      <c r="R28" s="51">
        <f t="shared" si="7"/>
        <v>-24.66</v>
      </c>
      <c r="S28" s="214">
        <v>0.0</v>
      </c>
      <c r="T28" s="211">
        <f t="shared" si="8"/>
        <v>0</v>
      </c>
      <c r="U28" s="214">
        <v>0.0</v>
      </c>
      <c r="V28" s="214">
        <v>0.0</v>
      </c>
      <c r="W28" s="214">
        <v>0.0</v>
      </c>
      <c r="X28" s="57">
        <f t="shared" si="9"/>
        <v>0</v>
      </c>
      <c r="Z28" s="14"/>
      <c r="AC28" s="14"/>
    </row>
    <row r="29" ht="15.75" customHeight="1">
      <c r="C29" s="207">
        <v>45678.0</v>
      </c>
      <c r="D29" s="208" t="str">
        <f t="shared" si="2"/>
        <v>ter.</v>
      </c>
      <c r="E29" s="209">
        <v>24000.0</v>
      </c>
      <c r="F29" s="209">
        <v>22343.23</v>
      </c>
      <c r="G29" s="51">
        <f t="shared" si="3"/>
        <v>-1656.77</v>
      </c>
      <c r="H29" s="210">
        <v>0.0</v>
      </c>
      <c r="I29" s="211">
        <f t="shared" si="4"/>
        <v>0</v>
      </c>
      <c r="J29" s="57"/>
      <c r="K29" s="57"/>
      <c r="L29" s="57"/>
      <c r="M29" s="57">
        <f t="shared" si="5"/>
        <v>0</v>
      </c>
      <c r="N29" s="212">
        <f t="shared" ref="N29:O29" si="28">C29</f>
        <v>45678</v>
      </c>
      <c r="O29" s="204" t="str">
        <f t="shared" si="28"/>
        <v>ter.</v>
      </c>
      <c r="P29" s="213">
        <v>15100.0</v>
      </c>
      <c r="Q29" s="213">
        <v>13581.13</v>
      </c>
      <c r="R29" s="51">
        <f t="shared" si="7"/>
        <v>-1518.87</v>
      </c>
      <c r="S29" s="214">
        <v>0.0</v>
      </c>
      <c r="T29" s="211">
        <f t="shared" si="8"/>
        <v>0</v>
      </c>
      <c r="U29" s="214">
        <v>0.0</v>
      </c>
      <c r="V29" s="214">
        <v>0.0</v>
      </c>
      <c r="W29" s="214">
        <v>0.0</v>
      </c>
      <c r="X29" s="57">
        <f t="shared" si="9"/>
        <v>0</v>
      </c>
      <c r="Z29" s="14"/>
      <c r="AA29" s="61"/>
      <c r="AC29" s="61"/>
    </row>
    <row r="30" ht="19.5" customHeight="1">
      <c r="C30" s="207">
        <v>45679.0</v>
      </c>
      <c r="D30" s="208" t="str">
        <f t="shared" si="2"/>
        <v>qua.</v>
      </c>
      <c r="E30" s="209">
        <v>29000.0</v>
      </c>
      <c r="F30" s="209">
        <v>25204.5</v>
      </c>
      <c r="G30" s="51">
        <f t="shared" si="3"/>
        <v>-3795.5</v>
      </c>
      <c r="H30" s="210">
        <v>0.0</v>
      </c>
      <c r="I30" s="211">
        <f t="shared" si="4"/>
        <v>0</v>
      </c>
      <c r="J30" s="57"/>
      <c r="K30" s="57"/>
      <c r="L30" s="57"/>
      <c r="M30" s="57">
        <f t="shared" si="5"/>
        <v>0</v>
      </c>
      <c r="N30" s="212">
        <f t="shared" ref="N30:O30" si="29">C30</f>
        <v>45679</v>
      </c>
      <c r="O30" s="204" t="str">
        <f t="shared" si="29"/>
        <v>qua.</v>
      </c>
      <c r="P30" s="213">
        <v>22000.0</v>
      </c>
      <c r="Q30" s="213">
        <v>22700.28</v>
      </c>
      <c r="R30" s="51">
        <f t="shared" si="7"/>
        <v>700.28</v>
      </c>
      <c r="S30" s="214">
        <v>0.0</v>
      </c>
      <c r="T30" s="211">
        <f t="shared" si="8"/>
        <v>0</v>
      </c>
      <c r="U30" s="214">
        <v>0.0</v>
      </c>
      <c r="V30" s="214">
        <v>0.0</v>
      </c>
      <c r="W30" s="214">
        <v>0.0</v>
      </c>
      <c r="X30" s="57">
        <f t="shared" si="9"/>
        <v>0</v>
      </c>
      <c r="Z30" s="14"/>
      <c r="AA30" s="79"/>
      <c r="AC30" s="79"/>
    </row>
    <row r="31" ht="18.0" customHeight="1">
      <c r="C31" s="207">
        <v>45680.0</v>
      </c>
      <c r="D31" s="208" t="str">
        <f t="shared" si="2"/>
        <v>qui.</v>
      </c>
      <c r="E31" s="209">
        <v>10500.0</v>
      </c>
      <c r="F31" s="209">
        <v>15422.6</v>
      </c>
      <c r="G31" s="51">
        <f t="shared" si="3"/>
        <v>4922.6</v>
      </c>
      <c r="H31" s="210">
        <v>0.0</v>
      </c>
      <c r="I31" s="211">
        <f t="shared" si="4"/>
        <v>0</v>
      </c>
      <c r="J31" s="57"/>
      <c r="K31" s="57"/>
      <c r="L31" s="57"/>
      <c r="M31" s="57">
        <f t="shared" si="5"/>
        <v>0</v>
      </c>
      <c r="N31" s="212">
        <f t="shared" ref="N31:O31" si="30">C31</f>
        <v>45680</v>
      </c>
      <c r="O31" s="204" t="str">
        <f t="shared" si="30"/>
        <v>qui.</v>
      </c>
      <c r="P31" s="213">
        <v>8000.0</v>
      </c>
      <c r="Q31" s="213">
        <v>9577.9</v>
      </c>
      <c r="R31" s="51">
        <f t="shared" si="7"/>
        <v>1577.9</v>
      </c>
      <c r="S31" s="214">
        <v>0.0</v>
      </c>
      <c r="T31" s="211">
        <f t="shared" si="8"/>
        <v>0</v>
      </c>
      <c r="U31" s="214">
        <v>0.0</v>
      </c>
      <c r="V31" s="214">
        <v>0.0</v>
      </c>
      <c r="W31" s="214">
        <v>0.0</v>
      </c>
      <c r="X31" s="57">
        <f t="shared" si="9"/>
        <v>0</v>
      </c>
      <c r="Z31" s="14"/>
      <c r="AA31" s="61"/>
      <c r="AC31" s="61"/>
    </row>
    <row r="32" ht="15.75" customHeight="1">
      <c r="C32" s="207">
        <v>45681.0</v>
      </c>
      <c r="D32" s="208" t="str">
        <f t="shared" si="2"/>
        <v>sex.</v>
      </c>
      <c r="E32" s="209"/>
      <c r="F32" s="209"/>
      <c r="G32" s="51">
        <f t="shared" si="3"/>
        <v>0</v>
      </c>
      <c r="H32" s="210">
        <v>0.0</v>
      </c>
      <c r="I32" s="211">
        <f t="shared" si="4"/>
        <v>0</v>
      </c>
      <c r="J32" s="57"/>
      <c r="K32" s="57"/>
      <c r="L32" s="57"/>
      <c r="M32" s="57">
        <f t="shared" si="5"/>
        <v>0</v>
      </c>
      <c r="N32" s="212">
        <f t="shared" ref="N32:O32" si="31">C32</f>
        <v>45681</v>
      </c>
      <c r="O32" s="204" t="str">
        <f t="shared" si="31"/>
        <v>sex.</v>
      </c>
      <c r="P32" s="213"/>
      <c r="Q32" s="213"/>
      <c r="R32" s="51">
        <f t="shared" si="7"/>
        <v>0</v>
      </c>
      <c r="S32" s="214">
        <v>0.0</v>
      </c>
      <c r="T32" s="211">
        <f t="shared" si="8"/>
        <v>0</v>
      </c>
      <c r="U32" s="214">
        <v>0.0</v>
      </c>
      <c r="V32" s="214">
        <v>0.0</v>
      </c>
      <c r="W32" s="214">
        <v>0.0</v>
      </c>
      <c r="X32" s="57">
        <f t="shared" si="9"/>
        <v>0</v>
      </c>
      <c r="Z32" s="14"/>
      <c r="AA32" s="79"/>
      <c r="AB32" s="14"/>
      <c r="AC32" s="79"/>
    </row>
    <row r="33" ht="15.75" customHeight="1">
      <c r="C33" s="207">
        <v>45682.0</v>
      </c>
      <c r="D33" s="208" t="str">
        <f t="shared" si="2"/>
        <v>sáb.</v>
      </c>
      <c r="E33" s="209">
        <v>15500.0</v>
      </c>
      <c r="F33" s="209">
        <v>18532.35</v>
      </c>
      <c r="G33" s="51">
        <f t="shared" si="3"/>
        <v>3032.35</v>
      </c>
      <c r="H33" s="210">
        <v>0.0</v>
      </c>
      <c r="I33" s="211">
        <f t="shared" si="4"/>
        <v>0</v>
      </c>
      <c r="J33" s="57"/>
      <c r="K33" s="57"/>
      <c r="L33" s="57"/>
      <c r="M33" s="57">
        <f t="shared" si="5"/>
        <v>0</v>
      </c>
      <c r="N33" s="212">
        <f t="shared" ref="N33:O33" si="32">C33</f>
        <v>45682</v>
      </c>
      <c r="O33" s="204" t="str">
        <f t="shared" si="32"/>
        <v>sáb.</v>
      </c>
      <c r="P33" s="213">
        <v>7400.0</v>
      </c>
      <c r="Q33" s="213">
        <v>21147.929999999997</v>
      </c>
      <c r="R33" s="51">
        <f t="shared" si="7"/>
        <v>13747.93</v>
      </c>
      <c r="S33" s="214">
        <v>0.0</v>
      </c>
      <c r="T33" s="211">
        <f t="shared" si="8"/>
        <v>0</v>
      </c>
      <c r="U33" s="214">
        <v>0.0</v>
      </c>
      <c r="V33" s="214">
        <v>0.0</v>
      </c>
      <c r="W33" s="214">
        <v>0.0</v>
      </c>
      <c r="X33" s="57">
        <f t="shared" si="9"/>
        <v>0</v>
      </c>
    </row>
    <row r="34" ht="15.75" customHeight="1">
      <c r="C34" s="207">
        <v>45683.0</v>
      </c>
      <c r="D34" s="208" t="str">
        <f t="shared" si="2"/>
        <v>dom.</v>
      </c>
      <c r="E34" s="209">
        <v>14600.0</v>
      </c>
      <c r="F34" s="209">
        <v>10191.5</v>
      </c>
      <c r="G34" s="51">
        <f t="shared" si="3"/>
        <v>-4408.5</v>
      </c>
      <c r="H34" s="210">
        <v>0.0</v>
      </c>
      <c r="I34" s="211">
        <f t="shared" si="4"/>
        <v>0</v>
      </c>
      <c r="J34" s="57"/>
      <c r="K34" s="57"/>
      <c r="L34" s="57"/>
      <c r="M34" s="57">
        <f t="shared" si="5"/>
        <v>0</v>
      </c>
      <c r="N34" s="212">
        <f t="shared" ref="N34:O34" si="33">C34</f>
        <v>45683</v>
      </c>
      <c r="O34" s="204" t="str">
        <f t="shared" si="33"/>
        <v>dom.</v>
      </c>
      <c r="P34" s="213">
        <v>6000.0</v>
      </c>
      <c r="Q34" s="213">
        <v>5640.719999999999</v>
      </c>
      <c r="R34" s="51">
        <f t="shared" si="7"/>
        <v>-359.28</v>
      </c>
      <c r="S34" s="214">
        <v>0.0</v>
      </c>
      <c r="T34" s="211">
        <f t="shared" si="8"/>
        <v>0</v>
      </c>
      <c r="U34" s="214">
        <v>0.0</v>
      </c>
      <c r="V34" s="214">
        <v>0.0</v>
      </c>
      <c r="W34" s="214">
        <v>0.0</v>
      </c>
      <c r="X34" s="57">
        <f t="shared" si="9"/>
        <v>0</v>
      </c>
      <c r="Y34" s="2"/>
      <c r="Z34" s="14"/>
      <c r="AA34" s="216"/>
      <c r="AB34" s="165"/>
      <c r="AC34" s="216"/>
      <c r="AD34" s="2"/>
    </row>
    <row r="35" ht="19.5" customHeight="1">
      <c r="C35" s="207">
        <v>45684.0</v>
      </c>
      <c r="D35" s="208" t="str">
        <f t="shared" si="2"/>
        <v>seg.</v>
      </c>
      <c r="E35" s="209">
        <v>27000.0</v>
      </c>
      <c r="F35" s="209">
        <v>22689.55</v>
      </c>
      <c r="G35" s="51">
        <f t="shared" si="3"/>
        <v>-4310.45</v>
      </c>
      <c r="H35" s="210">
        <v>0.0</v>
      </c>
      <c r="I35" s="211">
        <f t="shared" si="4"/>
        <v>0</v>
      </c>
      <c r="J35" s="57"/>
      <c r="K35" s="57"/>
      <c r="L35" s="57"/>
      <c r="M35" s="57">
        <f t="shared" si="5"/>
        <v>0</v>
      </c>
      <c r="N35" s="212">
        <f t="shared" ref="N35:O35" si="34">C35</f>
        <v>45684</v>
      </c>
      <c r="O35" s="204" t="str">
        <f t="shared" si="34"/>
        <v>seg.</v>
      </c>
      <c r="P35" s="213">
        <v>12500.0</v>
      </c>
      <c r="Q35" s="213">
        <v>10096.349999999999</v>
      </c>
      <c r="R35" s="51">
        <f t="shared" si="7"/>
        <v>-2403.65</v>
      </c>
      <c r="S35" s="214">
        <v>0.0</v>
      </c>
      <c r="T35" s="211">
        <f t="shared" si="8"/>
        <v>0</v>
      </c>
      <c r="U35" s="214">
        <v>0.0</v>
      </c>
      <c r="V35" s="214">
        <v>0.0</v>
      </c>
      <c r="W35" s="214">
        <v>0.0</v>
      </c>
      <c r="X35" s="57">
        <f t="shared" si="9"/>
        <v>0</v>
      </c>
      <c r="Y35" s="79"/>
      <c r="Z35" s="14"/>
      <c r="AA35" s="64"/>
      <c r="AB35" s="181"/>
      <c r="AC35" s="64"/>
      <c r="AD35" s="79"/>
    </row>
    <row r="36" ht="15.75" customHeight="1">
      <c r="C36" s="207">
        <v>45685.0</v>
      </c>
      <c r="D36" s="208" t="str">
        <f t="shared" si="2"/>
        <v>ter.</v>
      </c>
      <c r="E36" s="209">
        <v>24000.0</v>
      </c>
      <c r="F36" s="209">
        <v>17779.8</v>
      </c>
      <c r="G36" s="51">
        <f t="shared" si="3"/>
        <v>-6220.2</v>
      </c>
      <c r="H36" s="210">
        <v>0.0</v>
      </c>
      <c r="I36" s="211">
        <f t="shared" si="4"/>
        <v>0</v>
      </c>
      <c r="J36" s="57"/>
      <c r="K36" s="57"/>
      <c r="L36" s="57"/>
      <c r="M36" s="57">
        <f t="shared" si="5"/>
        <v>0</v>
      </c>
      <c r="N36" s="212">
        <f t="shared" ref="N36:O36" si="35">C36</f>
        <v>45685</v>
      </c>
      <c r="O36" s="204" t="str">
        <f t="shared" si="35"/>
        <v>ter.</v>
      </c>
      <c r="P36" s="213">
        <v>15100.0</v>
      </c>
      <c r="Q36" s="213">
        <v>12318.28</v>
      </c>
      <c r="R36" s="51">
        <f t="shared" si="7"/>
        <v>-2781.72</v>
      </c>
      <c r="S36" s="214">
        <v>0.0</v>
      </c>
      <c r="T36" s="211">
        <f t="shared" si="8"/>
        <v>0</v>
      </c>
      <c r="U36" s="214">
        <v>0.0</v>
      </c>
      <c r="V36" s="214">
        <v>0.0</v>
      </c>
      <c r="W36" s="214">
        <v>0.0</v>
      </c>
      <c r="X36" s="57">
        <f t="shared" si="9"/>
        <v>0</v>
      </c>
      <c r="Z36" s="14"/>
      <c r="AA36" s="61"/>
      <c r="AB36" s="64"/>
      <c r="AC36" s="61"/>
    </row>
    <row r="37" ht="15.75" customHeight="1">
      <c r="C37" s="207">
        <v>45686.0</v>
      </c>
      <c r="D37" s="208" t="str">
        <f t="shared" si="2"/>
        <v>qua.</v>
      </c>
      <c r="E37" s="209">
        <v>29000.0</v>
      </c>
      <c r="F37" s="209">
        <v>20663.4</v>
      </c>
      <c r="G37" s="51">
        <f t="shared" si="3"/>
        <v>-8336.6</v>
      </c>
      <c r="H37" s="210">
        <v>0.0</v>
      </c>
      <c r="I37" s="211">
        <f t="shared" si="4"/>
        <v>0</v>
      </c>
      <c r="J37" s="57"/>
      <c r="K37" s="57"/>
      <c r="L37" s="57"/>
      <c r="M37" s="57">
        <f t="shared" si="5"/>
        <v>0</v>
      </c>
      <c r="N37" s="212">
        <f t="shared" ref="N37:O37" si="36">C37</f>
        <v>45686</v>
      </c>
      <c r="O37" s="204" t="str">
        <f t="shared" si="36"/>
        <v>qua.</v>
      </c>
      <c r="P37" s="213">
        <v>22000.0</v>
      </c>
      <c r="Q37" s="213">
        <v>16615.17</v>
      </c>
      <c r="R37" s="51">
        <f t="shared" si="7"/>
        <v>-5384.83</v>
      </c>
      <c r="S37" s="214">
        <v>0.0</v>
      </c>
      <c r="T37" s="211">
        <f t="shared" si="8"/>
        <v>0</v>
      </c>
      <c r="U37" s="214">
        <v>0.0</v>
      </c>
      <c r="V37" s="214">
        <v>0.0</v>
      </c>
      <c r="W37" s="214">
        <v>0.0</v>
      </c>
      <c r="X37" s="57">
        <f t="shared" si="9"/>
        <v>0</v>
      </c>
      <c r="Z37" s="14"/>
      <c r="AA37" s="64"/>
      <c r="AB37" s="64"/>
      <c r="AC37" s="64"/>
    </row>
    <row r="38" ht="15.75" customHeight="1">
      <c r="C38" s="207">
        <v>45687.0</v>
      </c>
      <c r="D38" s="208" t="str">
        <f t="shared" si="2"/>
        <v>qui.</v>
      </c>
      <c r="E38" s="209">
        <v>10500.0</v>
      </c>
      <c r="F38" s="209">
        <v>8888.9</v>
      </c>
      <c r="G38" s="51">
        <f t="shared" si="3"/>
        <v>-1611.1</v>
      </c>
      <c r="H38" s="210">
        <v>0.0</v>
      </c>
      <c r="I38" s="211">
        <f t="shared" si="4"/>
        <v>0</v>
      </c>
      <c r="J38" s="57"/>
      <c r="K38" s="57"/>
      <c r="L38" s="57"/>
      <c r="M38" s="57">
        <f t="shared" si="5"/>
        <v>0</v>
      </c>
      <c r="N38" s="212">
        <f t="shared" ref="N38:O38" si="37">C38</f>
        <v>45687</v>
      </c>
      <c r="O38" s="204" t="str">
        <f t="shared" si="37"/>
        <v>qui.</v>
      </c>
      <c r="P38" s="213">
        <v>8000.0</v>
      </c>
      <c r="Q38" s="213">
        <v>8775.509999999998</v>
      </c>
      <c r="R38" s="51">
        <f t="shared" si="7"/>
        <v>775.51</v>
      </c>
      <c r="S38" s="214">
        <v>0.0</v>
      </c>
      <c r="T38" s="211">
        <f t="shared" si="8"/>
        <v>0</v>
      </c>
      <c r="U38" s="214">
        <v>0.0</v>
      </c>
      <c r="V38" s="214">
        <v>0.0</v>
      </c>
      <c r="W38" s="214">
        <v>0.0</v>
      </c>
      <c r="X38" s="57">
        <f t="shared" si="9"/>
        <v>0</v>
      </c>
    </row>
    <row r="39" ht="15.75" customHeight="1">
      <c r="C39" s="207">
        <v>45688.0</v>
      </c>
      <c r="D39" s="208" t="str">
        <f t="shared" si="2"/>
        <v>sex.</v>
      </c>
      <c r="E39" s="209"/>
      <c r="F39" s="209"/>
      <c r="G39" s="51">
        <f t="shared" si="3"/>
        <v>0</v>
      </c>
      <c r="H39" s="210">
        <v>0.0</v>
      </c>
      <c r="I39" s="211">
        <f t="shared" si="4"/>
        <v>0</v>
      </c>
      <c r="J39" s="57"/>
      <c r="K39" s="57"/>
      <c r="L39" s="57"/>
      <c r="M39" s="57">
        <f t="shared" si="5"/>
        <v>0</v>
      </c>
      <c r="N39" s="212">
        <f t="shared" ref="N39:O39" si="38">C39</f>
        <v>45688</v>
      </c>
      <c r="O39" s="204" t="str">
        <f t="shared" si="38"/>
        <v>sex.</v>
      </c>
      <c r="P39" s="213"/>
      <c r="Q39" s="213"/>
      <c r="R39" s="51">
        <f t="shared" si="7"/>
        <v>0</v>
      </c>
      <c r="S39" s="217">
        <v>0.0</v>
      </c>
      <c r="T39" s="211">
        <f t="shared" si="8"/>
        <v>0</v>
      </c>
      <c r="U39" s="214">
        <v>0.0</v>
      </c>
      <c r="V39" s="214">
        <v>0.0</v>
      </c>
      <c r="W39" s="214">
        <v>0.0</v>
      </c>
      <c r="X39" s="57">
        <f t="shared" si="9"/>
        <v>0</v>
      </c>
    </row>
    <row r="40" ht="15.75" customHeight="1">
      <c r="C40" s="218"/>
      <c r="D40" s="218"/>
      <c r="E40" s="219">
        <f t="shared" ref="E40:G40" si="39">SUM(E9:E39)</f>
        <v>560000</v>
      </c>
      <c r="F40" s="219">
        <f t="shared" si="39"/>
        <v>496663.03</v>
      </c>
      <c r="G40" s="105">
        <f t="shared" si="39"/>
        <v>-63336.97</v>
      </c>
      <c r="H40" s="105"/>
      <c r="I40" s="105"/>
      <c r="J40" s="105">
        <f t="shared" ref="J40:M40" si="40">SUM(J9:J39)</f>
        <v>0</v>
      </c>
      <c r="K40" s="105">
        <f t="shared" si="40"/>
        <v>0</v>
      </c>
      <c r="L40" s="105">
        <f t="shared" si="40"/>
        <v>0</v>
      </c>
      <c r="M40" s="105">
        <f t="shared" si="40"/>
        <v>0</v>
      </c>
      <c r="N40" s="220"/>
      <c r="O40" s="221"/>
      <c r="P40" s="222">
        <f>SUM(P9:P39)</f>
        <v>338000</v>
      </c>
      <c r="Q40" s="222">
        <f>SUM(Q9:Q39)-12-24</f>
        <v>321148.81</v>
      </c>
      <c r="R40" s="105">
        <f t="shared" ref="R40:S40" si="41">SUM(R9:R39)</f>
        <v>-16815.19</v>
      </c>
      <c r="S40" s="223">
        <f t="shared" si="41"/>
        <v>0</v>
      </c>
      <c r="T40" s="224"/>
      <c r="U40" s="223">
        <f t="shared" ref="U40:X40" si="42">SUM(U9:U39)</f>
        <v>0</v>
      </c>
      <c r="V40" s="223">
        <f t="shared" si="42"/>
        <v>0</v>
      </c>
      <c r="W40" s="223">
        <f t="shared" si="42"/>
        <v>0</v>
      </c>
      <c r="X40" s="223">
        <f t="shared" si="42"/>
        <v>0</v>
      </c>
    </row>
    <row r="41" ht="15.75" customHeight="1">
      <c r="D41" s="61"/>
      <c r="E41" s="61"/>
      <c r="F41" s="225"/>
      <c r="G41" s="114"/>
      <c r="H41" s="226"/>
      <c r="I41" s="226"/>
      <c r="N41" s="61"/>
      <c r="P41" s="61"/>
      <c r="Q41" s="227"/>
      <c r="R41" s="114"/>
      <c r="S41" s="199"/>
      <c r="T41" s="200"/>
    </row>
    <row r="42" ht="15.75" customHeight="1"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200"/>
    </row>
    <row r="43" ht="15.75" customHeight="1">
      <c r="C43" s="2"/>
      <c r="D43" s="2"/>
      <c r="E43" s="115" t="s">
        <v>77</v>
      </c>
      <c r="F43" s="118">
        <f>E40+G40</f>
        <v>496663.03</v>
      </c>
      <c r="P43" s="115" t="s">
        <v>77</v>
      </c>
      <c r="Q43" s="118">
        <f>P40+R40</f>
        <v>321184.81</v>
      </c>
      <c r="S43" s="199"/>
      <c r="T43" s="200"/>
    </row>
    <row r="44" ht="15.75" customHeight="1">
      <c r="C44" s="122" t="s">
        <v>29</v>
      </c>
      <c r="D44" s="124">
        <f>E40</f>
        <v>560000</v>
      </c>
      <c r="E44" s="2"/>
      <c r="F44" s="2"/>
      <c r="N44" s="126" t="s">
        <v>29</v>
      </c>
      <c r="O44" s="124">
        <f>P40</f>
        <v>338000</v>
      </c>
      <c r="P44" s="2"/>
      <c r="Q44" s="2"/>
      <c r="S44" s="199"/>
      <c r="T44" s="200"/>
    </row>
    <row r="45" ht="15.75" customHeight="1">
      <c r="C45" s="61"/>
      <c r="D45" s="175"/>
      <c r="E45" s="61"/>
      <c r="F45" s="61"/>
      <c r="N45" s="175"/>
      <c r="O45" s="61"/>
      <c r="S45" s="199"/>
      <c r="T45" s="200"/>
    </row>
    <row r="46" ht="16.5" customHeight="1">
      <c r="C46" s="61"/>
      <c r="D46" s="175"/>
      <c r="E46" s="61"/>
      <c r="F46" s="61"/>
      <c r="N46" s="175"/>
      <c r="O46" s="61"/>
      <c r="S46" s="199"/>
      <c r="T46" s="200"/>
    </row>
  </sheetData>
  <mergeCells count="4">
    <mergeCell ref="C4:M6"/>
    <mergeCell ref="N4:X6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X40">
    <cfRule type="cellIs" dxfId="0" priority="7" operator="greaterThanOrEqual">
      <formula>0</formula>
    </cfRule>
  </conditionalFormatting>
  <conditionalFormatting sqref="S40:X40">
    <cfRule type="cellIs" dxfId="1" priority="8" operator="lessThan">
      <formula>0</formula>
    </cfRule>
  </conditionalFormatting>
  <conditionalFormatting sqref="S40:X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9.44"/>
    <col customWidth="1" min="5" max="6" width="18.44"/>
    <col customWidth="1" min="7" max="7" width="11.44"/>
    <col customWidth="1" min="8" max="8" width="10.56"/>
    <col customWidth="1" min="9" max="9" width="11.11"/>
    <col customWidth="1" min="10" max="10" width="19.44"/>
    <col customWidth="1" min="11" max="12" width="18.67"/>
    <col customWidth="1" min="13" max="13" width="11.44"/>
    <col customWidth="1" min="14" max="16" width="10.56"/>
    <col customWidth="1" min="17" max="18" width="16.44"/>
    <col customWidth="1" min="19" max="19" width="15.11"/>
    <col customWidth="1" min="20" max="20" width="14.0"/>
    <col customWidth="1" min="21" max="21" width="10.56"/>
    <col customWidth="1" min="22" max="22" width="15.11"/>
    <col customWidth="1" min="23" max="23" width="16.33"/>
    <col customWidth="1" min="24" max="24" width="15.33"/>
    <col customWidth="1" min="25" max="25" width="7.78"/>
    <col customWidth="1" hidden="1" min="26" max="26" width="10.78"/>
    <col customWidth="1" min="27" max="27" width="15.33"/>
    <col customWidth="1" min="28" max="28" width="17.11"/>
    <col customWidth="1" min="29" max="29" width="23.78"/>
    <col customWidth="1" min="30" max="30" width="10.56"/>
    <col customWidth="1" min="31" max="31" width="13.0"/>
    <col customWidth="1" min="32" max="32" width="16.78"/>
    <col customWidth="1" min="33" max="33" width="21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  <c r="O3" s="15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AG5" s="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Z6" s="1"/>
      <c r="AA6" s="1"/>
      <c r="AB6" s="1"/>
      <c r="AC6" s="1"/>
      <c r="AD6" s="1"/>
      <c r="AE6" s="1"/>
      <c r="AF6" s="1"/>
      <c r="AG6" s="8"/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Q7" s="1"/>
      <c r="R7" s="3"/>
      <c r="S7" s="3"/>
      <c r="U7" s="1"/>
      <c r="V7" s="3"/>
      <c r="Z7" s="1"/>
      <c r="AA7" s="137" t="s">
        <v>147</v>
      </c>
      <c r="AB7" s="41"/>
      <c r="AC7" s="6"/>
      <c r="AE7" s="137" t="s">
        <v>148</v>
      </c>
      <c r="AF7" s="41"/>
      <c r="AG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1"/>
      <c r="R8" s="1"/>
      <c r="S8" s="3"/>
      <c r="T8" s="3"/>
      <c r="Z8" s="1"/>
      <c r="AA8" s="44" t="s">
        <v>32</v>
      </c>
      <c r="AB8" s="44" t="s">
        <v>33</v>
      </c>
      <c r="AC8" s="138" t="s">
        <v>152</v>
      </c>
      <c r="AE8" s="44" t="s">
        <v>32</v>
      </c>
      <c r="AF8" s="44" t="s">
        <v>33</v>
      </c>
      <c r="AG8" s="138" t="s">
        <v>153</v>
      </c>
    </row>
    <row r="9" ht="15.75" customHeight="1">
      <c r="C9" s="47">
        <v>1.0</v>
      </c>
      <c r="D9" s="47" t="s">
        <v>40</v>
      </c>
      <c r="E9" s="197">
        <v>19914.35</v>
      </c>
      <c r="F9" s="197">
        <v>19914.35</v>
      </c>
      <c r="G9" s="51">
        <f t="shared" ref="G9:G39" si="1">F9-E9</f>
        <v>0</v>
      </c>
      <c r="I9" s="47">
        <v>1.0</v>
      </c>
      <c r="J9" s="47" t="s">
        <v>40</v>
      </c>
      <c r="K9" s="197">
        <f>19569.5-1441.38</f>
        <v>18128.12</v>
      </c>
      <c r="L9" s="63">
        <f>19569.5-1441.38-150.98</f>
        <v>17977.14</v>
      </c>
      <c r="M9" s="51">
        <f t="shared" ref="M9:M39" si="3">L9-K9</f>
        <v>-150.98</v>
      </c>
      <c r="Q9" s="139" t="s">
        <v>89</v>
      </c>
      <c r="R9" s="41"/>
      <c r="S9" s="41"/>
      <c r="T9" s="6"/>
      <c r="V9" s="139" t="s">
        <v>1</v>
      </c>
      <c r="W9" s="41"/>
      <c r="X9" s="6"/>
      <c r="Z9" s="1"/>
      <c r="AA9" s="47">
        <v>1.0</v>
      </c>
      <c r="AB9" s="47" t="s">
        <v>41</v>
      </c>
      <c r="AC9" s="55">
        <v>15640.477265424954</v>
      </c>
      <c r="AE9" s="47">
        <v>1.0</v>
      </c>
      <c r="AF9" s="47" t="s">
        <v>41</v>
      </c>
      <c r="AG9" s="55">
        <v>14759.462049867156</v>
      </c>
    </row>
    <row r="10" ht="15.75" customHeight="1">
      <c r="C10" s="47">
        <v>2.0</v>
      </c>
      <c r="D10" s="47" t="s">
        <v>47</v>
      </c>
      <c r="E10" s="197">
        <v>9851.43</v>
      </c>
      <c r="F10" s="197">
        <v>9851.43</v>
      </c>
      <c r="G10" s="51">
        <f t="shared" si="1"/>
        <v>0</v>
      </c>
      <c r="I10" s="47">
        <v>2.0</v>
      </c>
      <c r="J10" s="47" t="s">
        <v>47</v>
      </c>
      <c r="K10" s="197">
        <f t="shared" ref="K10:L10" si="2">7045.13-353.52</f>
        <v>6691.61</v>
      </c>
      <c r="L10" s="197">
        <f t="shared" si="2"/>
        <v>6691.61</v>
      </c>
      <c r="M10" s="51">
        <f t="shared" si="3"/>
        <v>0</v>
      </c>
      <c r="Q10" s="140"/>
      <c r="R10" s="141">
        <v>45292.0</v>
      </c>
      <c r="S10" s="141">
        <v>45323.0</v>
      </c>
      <c r="T10" s="142" t="s">
        <v>90</v>
      </c>
      <c r="V10" s="140"/>
      <c r="W10" s="141">
        <v>45658.0</v>
      </c>
      <c r="X10" s="141" t="s">
        <v>154</v>
      </c>
      <c r="Z10" s="1"/>
      <c r="AA10" s="47">
        <v>2.0</v>
      </c>
      <c r="AB10" s="47" t="s">
        <v>44</v>
      </c>
      <c r="AC10" s="55">
        <v>22910.126645649678</v>
      </c>
      <c r="AE10" s="47">
        <v>2.0</v>
      </c>
      <c r="AF10" s="47" t="s">
        <v>44</v>
      </c>
      <c r="AG10" s="55">
        <v>21054.200172483044</v>
      </c>
    </row>
    <row r="11" ht="15.75" customHeight="1">
      <c r="C11" s="47">
        <v>3.0</v>
      </c>
      <c r="D11" s="47" t="s">
        <v>48</v>
      </c>
      <c r="E11" s="197">
        <f t="shared" ref="E11:F11" si="4">14947.13-175</f>
        <v>14772.13</v>
      </c>
      <c r="F11" s="197">
        <f t="shared" si="4"/>
        <v>14772.13</v>
      </c>
      <c r="G11" s="51">
        <f t="shared" si="1"/>
        <v>0</v>
      </c>
      <c r="I11" s="47">
        <v>3.0</v>
      </c>
      <c r="J11" s="47" t="s">
        <v>48</v>
      </c>
      <c r="K11" s="197">
        <f t="shared" ref="K11:L11" si="5">7556.31-645.92</f>
        <v>6910.39</v>
      </c>
      <c r="L11" s="197">
        <f t="shared" si="5"/>
        <v>6910.39</v>
      </c>
      <c r="M11" s="51">
        <f t="shared" si="3"/>
        <v>0</v>
      </c>
      <c r="Q11" s="140" t="s">
        <v>6</v>
      </c>
      <c r="R11" s="55">
        <v>8349.95</v>
      </c>
      <c r="S11" s="55">
        <v>4638.64</v>
      </c>
      <c r="T11" s="143">
        <f t="shared" ref="T11:T17" si="7">S11/R11-1</f>
        <v>-0.444470925</v>
      </c>
      <c r="V11" s="140" t="s">
        <v>6</v>
      </c>
      <c r="W11" s="55">
        <f t="shared" ref="W11:W12" si="8">AVERAGE(F14,F21,F28,F35)</f>
        <v>5969.92</v>
      </c>
      <c r="X11" s="144">
        <f t="shared" ref="X11:X17" si="9">W11*T11+W11</f>
        <v>3316.464136</v>
      </c>
      <c r="Z11" s="1"/>
      <c r="AA11" s="47">
        <v>3.0</v>
      </c>
      <c r="AB11" s="47" t="s">
        <v>45</v>
      </c>
      <c r="AC11" s="55">
        <v>3316.464135569674</v>
      </c>
      <c r="AE11" s="47">
        <v>3.0</v>
      </c>
      <c r="AF11" s="47" t="s">
        <v>45</v>
      </c>
      <c r="AG11" s="55">
        <v>3094.1613402399603</v>
      </c>
    </row>
    <row r="12" ht="15.75" customHeight="1">
      <c r="C12" s="47">
        <v>4.0</v>
      </c>
      <c r="D12" s="47" t="s">
        <v>41</v>
      </c>
      <c r="E12" s="197">
        <v>15470.2</v>
      </c>
      <c r="F12" s="197">
        <v>15470.2</v>
      </c>
      <c r="G12" s="51">
        <f t="shared" si="1"/>
        <v>0</v>
      </c>
      <c r="I12" s="47">
        <v>4.0</v>
      </c>
      <c r="J12" s="47" t="s">
        <v>41</v>
      </c>
      <c r="K12" s="197">
        <f t="shared" ref="K12:L12" si="6">16010.61-915.59-22</f>
        <v>15073.02</v>
      </c>
      <c r="L12" s="197">
        <f t="shared" si="6"/>
        <v>15073.02</v>
      </c>
      <c r="M12" s="51">
        <f t="shared" si="3"/>
        <v>0</v>
      </c>
      <c r="Q12" s="140" t="s">
        <v>10</v>
      </c>
      <c r="R12" s="55">
        <v>6405.89</v>
      </c>
      <c r="S12" s="55">
        <v>5340.88</v>
      </c>
      <c r="T12" s="143">
        <f t="shared" si="7"/>
        <v>-0.1662548061</v>
      </c>
      <c r="V12" s="140" t="s">
        <v>10</v>
      </c>
      <c r="W12" s="55">
        <f t="shared" si="8"/>
        <v>6145.2125</v>
      </c>
      <c r="X12" s="144">
        <f t="shared" si="9"/>
        <v>5123.541387</v>
      </c>
      <c r="Z12" s="1"/>
      <c r="AA12" s="47">
        <v>4.0</v>
      </c>
      <c r="AB12" s="47" t="s">
        <v>46</v>
      </c>
      <c r="AC12" s="55">
        <v>5123.541387223321</v>
      </c>
      <c r="AE12" s="47">
        <v>4.0</v>
      </c>
      <c r="AF12" s="47" t="s">
        <v>46</v>
      </c>
      <c r="AG12" s="55">
        <v>5968.2884643621965</v>
      </c>
    </row>
    <row r="13" ht="15.75" customHeight="1">
      <c r="C13" s="47">
        <v>5.0</v>
      </c>
      <c r="D13" s="47" t="s">
        <v>44</v>
      </c>
      <c r="E13" s="197">
        <v>30222.38</v>
      </c>
      <c r="F13" s="197">
        <v>30222.38</v>
      </c>
      <c r="G13" s="51">
        <f t="shared" si="1"/>
        <v>0</v>
      </c>
      <c r="I13" s="47">
        <v>5.0</v>
      </c>
      <c r="J13" s="47" t="s">
        <v>44</v>
      </c>
      <c r="K13" s="197">
        <f t="shared" ref="K13:L13" si="10">16522.13-1220.87-8</f>
        <v>15293.26</v>
      </c>
      <c r="L13" s="197">
        <f t="shared" si="10"/>
        <v>15293.26</v>
      </c>
      <c r="M13" s="51">
        <f t="shared" si="3"/>
        <v>0</v>
      </c>
      <c r="Q13" s="140" t="s">
        <v>12</v>
      </c>
      <c r="R13" s="55">
        <v>5702.15</v>
      </c>
      <c r="S13" s="55">
        <v>5185.44</v>
      </c>
      <c r="T13" s="143">
        <f t="shared" si="7"/>
        <v>-0.09061669721</v>
      </c>
      <c r="V13" s="140" t="s">
        <v>12</v>
      </c>
      <c r="W13" s="55">
        <f t="shared" ref="W13:W15" si="11">AVERAGE(F16,F23,F30,F37,F9)</f>
        <v>8954.552</v>
      </c>
      <c r="X13" s="144">
        <f t="shared" si="9"/>
        <v>8143.120073</v>
      </c>
      <c r="Y13" s="61"/>
      <c r="Z13" s="1"/>
      <c r="AA13" s="47">
        <v>5.0</v>
      </c>
      <c r="AB13" s="47" t="s">
        <v>40</v>
      </c>
      <c r="AC13" s="55">
        <v>8143.120072758521</v>
      </c>
      <c r="AE13" s="47">
        <v>5.0</v>
      </c>
      <c r="AF13" s="47" t="s">
        <v>40</v>
      </c>
      <c r="AG13" s="55">
        <v>8217.299574705034</v>
      </c>
    </row>
    <row r="14" ht="15.75" customHeight="1">
      <c r="C14" s="47">
        <v>6.0</v>
      </c>
      <c r="D14" s="47" t="s">
        <v>45</v>
      </c>
      <c r="E14" s="59">
        <v>5200.0</v>
      </c>
      <c r="F14" s="59">
        <f>9110.36</f>
        <v>9110.36</v>
      </c>
      <c r="G14" s="51">
        <f t="shared" si="1"/>
        <v>3910.36</v>
      </c>
      <c r="I14" s="47">
        <v>6.0</v>
      </c>
      <c r="J14" s="47" t="s">
        <v>45</v>
      </c>
      <c r="K14" s="55">
        <v>4200.0</v>
      </c>
      <c r="L14" s="55">
        <f>7180.58-517.04</f>
        <v>6663.54</v>
      </c>
      <c r="M14" s="51">
        <f t="shared" si="3"/>
        <v>2463.54</v>
      </c>
      <c r="Q14" s="140" t="s">
        <v>15</v>
      </c>
      <c r="R14" s="55">
        <v>5676.26</v>
      </c>
      <c r="S14" s="55">
        <v>4518.58</v>
      </c>
      <c r="T14" s="143">
        <f t="shared" si="7"/>
        <v>-0.2039511932</v>
      </c>
      <c r="V14" s="140" t="s">
        <v>15</v>
      </c>
      <c r="W14" s="55">
        <f t="shared" si="11"/>
        <v>7197.602</v>
      </c>
      <c r="X14" s="144">
        <f t="shared" si="9"/>
        <v>5729.642484</v>
      </c>
      <c r="Z14" s="1"/>
      <c r="AA14" s="47">
        <v>6.0</v>
      </c>
      <c r="AB14" s="47" t="s">
        <v>47</v>
      </c>
      <c r="AC14" s="55">
        <v>5729.6424838115245</v>
      </c>
      <c r="AE14" s="47">
        <v>6.0</v>
      </c>
      <c r="AF14" s="47" t="s">
        <v>47</v>
      </c>
      <c r="AG14" s="55">
        <v>5149.064224731811</v>
      </c>
    </row>
    <row r="15" ht="15.75" customHeight="1">
      <c r="C15" s="47">
        <v>7.0</v>
      </c>
      <c r="D15" s="47" t="s">
        <v>46</v>
      </c>
      <c r="E15" s="59">
        <v>6600.0</v>
      </c>
      <c r="F15" s="59">
        <f>695.75+7928.35</f>
        <v>8624.1</v>
      </c>
      <c r="G15" s="51">
        <f t="shared" si="1"/>
        <v>2024.1</v>
      </c>
      <c r="I15" s="47">
        <v>7.0</v>
      </c>
      <c r="J15" s="47" t="s">
        <v>46</v>
      </c>
      <c r="K15" s="55">
        <v>4700.0</v>
      </c>
      <c r="L15" s="55">
        <f>5086.54-298.52</f>
        <v>4788.02</v>
      </c>
      <c r="M15" s="51">
        <f t="shared" si="3"/>
        <v>88.02</v>
      </c>
      <c r="Q15" s="140" t="s">
        <v>17</v>
      </c>
      <c r="R15" s="55">
        <v>10387.4</v>
      </c>
      <c r="S15" s="55">
        <f>9904.93</f>
        <v>9904.93</v>
      </c>
      <c r="T15" s="143">
        <f t="shared" si="7"/>
        <v>-0.04644761923</v>
      </c>
      <c r="V15" s="140" t="s">
        <v>17</v>
      </c>
      <c r="W15" s="55">
        <f t="shared" si="11"/>
        <v>11511.086</v>
      </c>
      <c r="X15" s="144">
        <f t="shared" si="9"/>
        <v>10976.42346</v>
      </c>
      <c r="Z15" s="1"/>
      <c r="AA15" s="47">
        <v>7.0</v>
      </c>
      <c r="AB15" s="47" t="s">
        <v>48</v>
      </c>
      <c r="AC15" s="55">
        <v>10976.423460536806</v>
      </c>
      <c r="AE15" s="47">
        <v>7.0</v>
      </c>
      <c r="AF15" s="47" t="s">
        <v>48</v>
      </c>
      <c r="AG15" s="55">
        <v>9903.204150647543</v>
      </c>
    </row>
    <row r="16" ht="15.75" customHeight="1">
      <c r="C16" s="47">
        <v>8.0</v>
      </c>
      <c r="D16" s="47" t="s">
        <v>40</v>
      </c>
      <c r="E16" s="59">
        <v>5400.0</v>
      </c>
      <c r="F16" s="59">
        <f>9458.2</f>
        <v>9458.2</v>
      </c>
      <c r="G16" s="51">
        <f t="shared" si="1"/>
        <v>4058.2</v>
      </c>
      <c r="I16" s="47">
        <v>8.0</v>
      </c>
      <c r="J16" s="47" t="s">
        <v>40</v>
      </c>
      <c r="K16" s="55">
        <v>7300.0</v>
      </c>
      <c r="L16" s="55">
        <f>6095.97-401.28</f>
        <v>5694.69</v>
      </c>
      <c r="M16" s="51">
        <f t="shared" si="3"/>
        <v>-1605.31</v>
      </c>
      <c r="Q16" s="140" t="s">
        <v>19</v>
      </c>
      <c r="R16" s="55">
        <v>17198.76</v>
      </c>
      <c r="S16" s="55">
        <v>14612.86</v>
      </c>
      <c r="T16" s="143">
        <f t="shared" si="7"/>
        <v>-0.1503538627</v>
      </c>
      <c r="V16" s="140" t="s">
        <v>19</v>
      </c>
      <c r="W16" s="55">
        <f t="shared" ref="W16:W17" si="12">AVERAGE(F12,F19,F26,F33)</f>
        <v>18408.225</v>
      </c>
      <c r="X16" s="144">
        <f t="shared" si="9"/>
        <v>15640.47727</v>
      </c>
      <c r="Z16" s="1"/>
      <c r="AA16" s="47">
        <v>8.0</v>
      </c>
      <c r="AB16" s="47" t="s">
        <v>41</v>
      </c>
      <c r="AC16" s="55">
        <v>15640.477265424954</v>
      </c>
      <c r="AE16" s="47">
        <v>8.0</v>
      </c>
      <c r="AF16" s="47" t="s">
        <v>41</v>
      </c>
      <c r="AG16" s="55">
        <v>14759.462049867156</v>
      </c>
    </row>
    <row r="17" ht="15.75" customHeight="1">
      <c r="C17" s="47">
        <v>9.0</v>
      </c>
      <c r="D17" s="47" t="s">
        <v>47</v>
      </c>
      <c r="E17" s="59">
        <v>7600.0</v>
      </c>
      <c r="F17" s="59">
        <f>7932.48</f>
        <v>7932.48</v>
      </c>
      <c r="G17" s="51">
        <f t="shared" si="1"/>
        <v>332.48</v>
      </c>
      <c r="I17" s="47">
        <v>9.0</v>
      </c>
      <c r="J17" s="47" t="s">
        <v>47</v>
      </c>
      <c r="K17" s="55">
        <v>5000.0</v>
      </c>
      <c r="L17" s="55">
        <f>5710.34-392.34</f>
        <v>5318</v>
      </c>
      <c r="M17" s="51">
        <f t="shared" si="3"/>
        <v>318</v>
      </c>
      <c r="Q17" s="140" t="s">
        <v>20</v>
      </c>
      <c r="R17" s="55">
        <v>17243.19</v>
      </c>
      <c r="S17" s="55">
        <v>16971.28</v>
      </c>
      <c r="T17" s="145">
        <f t="shared" si="7"/>
        <v>-0.01576912393</v>
      </c>
      <c r="V17" s="140" t="s">
        <v>20</v>
      </c>
      <c r="W17" s="55">
        <f t="shared" si="12"/>
        <v>23277.1875</v>
      </c>
      <c r="X17" s="144">
        <f t="shared" si="9"/>
        <v>22910.12665</v>
      </c>
      <c r="Z17" s="1"/>
      <c r="AA17" s="47">
        <v>9.0</v>
      </c>
      <c r="AB17" s="47" t="s">
        <v>44</v>
      </c>
      <c r="AC17" s="55">
        <v>22910.126645649678</v>
      </c>
      <c r="AE17" s="47">
        <v>9.0</v>
      </c>
      <c r="AF17" s="47" t="s">
        <v>44</v>
      </c>
      <c r="AG17" s="55">
        <v>21054.200172483044</v>
      </c>
    </row>
    <row r="18" ht="15.75" customHeight="1">
      <c r="C18" s="47">
        <v>10.0</v>
      </c>
      <c r="D18" s="47" t="s">
        <v>48</v>
      </c>
      <c r="E18" s="59">
        <v>12800.0</v>
      </c>
      <c r="F18" s="59">
        <f>11088.05-130</f>
        <v>10958.05</v>
      </c>
      <c r="G18" s="51">
        <f t="shared" si="1"/>
        <v>-1841.95</v>
      </c>
      <c r="I18" s="47">
        <v>10.0</v>
      </c>
      <c r="J18" s="47" t="s">
        <v>48</v>
      </c>
      <c r="K18" s="55">
        <v>9300.0</v>
      </c>
      <c r="L18" s="55">
        <f>6951.78-550.01</f>
        <v>6401.77</v>
      </c>
      <c r="M18" s="51">
        <f t="shared" si="3"/>
        <v>-2898.23</v>
      </c>
      <c r="Q18" s="1"/>
      <c r="R18" s="8"/>
      <c r="U18" s="1"/>
      <c r="V18" s="8"/>
      <c r="W18" s="8"/>
      <c r="AA18" s="47">
        <v>10.0</v>
      </c>
      <c r="AB18" s="47" t="s">
        <v>45</v>
      </c>
      <c r="AC18" s="55">
        <v>3316.464135569674</v>
      </c>
      <c r="AE18" s="47">
        <v>10.0</v>
      </c>
      <c r="AF18" s="47" t="s">
        <v>45</v>
      </c>
      <c r="AG18" s="55">
        <v>3094.1613402399603</v>
      </c>
    </row>
    <row r="19" ht="15.75" customHeight="1">
      <c r="C19" s="47">
        <v>11.0</v>
      </c>
      <c r="D19" s="47" t="s">
        <v>41</v>
      </c>
      <c r="E19" s="59">
        <v>18500.0</v>
      </c>
      <c r="F19" s="59">
        <f>19374.4</f>
        <v>19374.4</v>
      </c>
      <c r="G19" s="51">
        <f t="shared" si="1"/>
        <v>874.4</v>
      </c>
      <c r="I19" s="47">
        <v>11.0</v>
      </c>
      <c r="J19" s="47" t="s">
        <v>41</v>
      </c>
      <c r="K19" s="55">
        <v>13500.0</v>
      </c>
      <c r="L19" s="55">
        <f>14990.23-1145.11</f>
        <v>13845.12</v>
      </c>
      <c r="M19" s="51">
        <f t="shared" si="3"/>
        <v>345.12</v>
      </c>
      <c r="Q19" s="139" t="s">
        <v>93</v>
      </c>
      <c r="R19" s="41"/>
      <c r="S19" s="41"/>
      <c r="T19" s="6"/>
      <c r="V19" s="139" t="s">
        <v>5</v>
      </c>
      <c r="W19" s="41"/>
      <c r="X19" s="6"/>
      <c r="AA19" s="47">
        <v>11.0</v>
      </c>
      <c r="AB19" s="47" t="s">
        <v>46</v>
      </c>
      <c r="AC19" s="55">
        <v>5123.541387223321</v>
      </c>
      <c r="AE19" s="47">
        <v>11.0</v>
      </c>
      <c r="AF19" s="47" t="s">
        <v>46</v>
      </c>
      <c r="AG19" s="55">
        <v>5968.2884643621965</v>
      </c>
    </row>
    <row r="20" ht="15.75" customHeight="1">
      <c r="C20" s="47">
        <v>12.0</v>
      </c>
      <c r="D20" s="47" t="s">
        <v>44</v>
      </c>
      <c r="E20" s="59">
        <v>23000.0</v>
      </c>
      <c r="F20" s="59">
        <f>18455.03</f>
        <v>18455.03</v>
      </c>
      <c r="G20" s="51">
        <f t="shared" si="1"/>
        <v>-4544.97</v>
      </c>
      <c r="I20" s="47">
        <v>12.0</v>
      </c>
      <c r="J20" s="47" t="s">
        <v>44</v>
      </c>
      <c r="K20" s="55">
        <v>23500.0</v>
      </c>
      <c r="L20" s="55">
        <f>22865.56-1653.53</f>
        <v>21212.03</v>
      </c>
      <c r="M20" s="51">
        <f t="shared" si="3"/>
        <v>-2287.97</v>
      </c>
      <c r="Q20" s="140"/>
      <c r="R20" s="141">
        <v>45292.0</v>
      </c>
      <c r="S20" s="141">
        <v>45323.0</v>
      </c>
      <c r="T20" s="142" t="s">
        <v>90</v>
      </c>
      <c r="V20" s="140"/>
      <c r="W20" s="141">
        <v>45658.0</v>
      </c>
      <c r="X20" s="141" t="s">
        <v>154</v>
      </c>
      <c r="AA20" s="47">
        <v>12.0</v>
      </c>
      <c r="AB20" s="47" t="s">
        <v>40</v>
      </c>
      <c r="AC20" s="55">
        <v>8143.120072758521</v>
      </c>
      <c r="AE20" s="47">
        <v>12.0</v>
      </c>
      <c r="AF20" s="47" t="s">
        <v>40</v>
      </c>
      <c r="AG20" s="55">
        <v>8217.299574705034</v>
      </c>
    </row>
    <row r="21" ht="15.75" customHeight="1">
      <c r="C21" s="47">
        <v>13.0</v>
      </c>
      <c r="D21" s="47" t="s">
        <v>45</v>
      </c>
      <c r="E21" s="59">
        <v>5100.0</v>
      </c>
      <c r="F21" s="59">
        <f>5044.7</f>
        <v>5044.7</v>
      </c>
      <c r="G21" s="51">
        <f t="shared" si="1"/>
        <v>-55.3</v>
      </c>
      <c r="I21" s="47">
        <v>13.0</v>
      </c>
      <c r="J21" s="47" t="s">
        <v>45</v>
      </c>
      <c r="K21" s="55">
        <v>4200.0</v>
      </c>
      <c r="L21" s="55">
        <f>5321.07-408.1</f>
        <v>4912.97</v>
      </c>
      <c r="M21" s="51">
        <f t="shared" si="3"/>
        <v>712.97</v>
      </c>
      <c r="Q21" s="140" t="s">
        <v>6</v>
      </c>
      <c r="R21" s="55">
        <v>6524.41</v>
      </c>
      <c r="S21" s="55">
        <f>4226.55</f>
        <v>4226.55</v>
      </c>
      <c r="T21" s="143">
        <f t="shared" ref="T21:T27" si="13">S21/R21-1</f>
        <v>-0.352194298</v>
      </c>
      <c r="V21" s="140" t="s">
        <v>6</v>
      </c>
      <c r="W21" s="55">
        <f t="shared" ref="W21:W22" si="14">AVERAGE(L14,L21,L28,L35)</f>
        <v>4776.3725</v>
      </c>
      <c r="X21" s="144">
        <f t="shared" ref="X21:X27" si="15">W21*T21+W21</f>
        <v>3094.16134</v>
      </c>
      <c r="AA21" s="47">
        <v>13.0</v>
      </c>
      <c r="AB21" s="47" t="s">
        <v>47</v>
      </c>
      <c r="AC21" s="55">
        <v>5729.6424838115245</v>
      </c>
      <c r="AE21" s="47">
        <v>13.0</v>
      </c>
      <c r="AF21" s="47" t="s">
        <v>47</v>
      </c>
      <c r="AG21" s="55">
        <v>5149.064224731811</v>
      </c>
    </row>
    <row r="22" ht="15.75" customHeight="1">
      <c r="C22" s="47">
        <v>14.0</v>
      </c>
      <c r="D22" s="47" t="s">
        <v>46</v>
      </c>
      <c r="E22" s="59">
        <v>6600.0</v>
      </c>
      <c r="F22" s="59">
        <f>5534.5</f>
        <v>5534.5</v>
      </c>
      <c r="G22" s="51">
        <f t="shared" si="1"/>
        <v>-1065.5</v>
      </c>
      <c r="I22" s="47">
        <v>14.0</v>
      </c>
      <c r="J22" s="47" t="s">
        <v>46</v>
      </c>
      <c r="K22" s="55">
        <v>4700.0</v>
      </c>
      <c r="L22" s="55">
        <f>3927.53-335.4</f>
        <v>3592.13</v>
      </c>
      <c r="M22" s="51">
        <f t="shared" si="3"/>
        <v>-1107.87</v>
      </c>
      <c r="Q22" s="140" t="s">
        <v>10</v>
      </c>
      <c r="R22" s="55">
        <f>4590.21</f>
        <v>4590.21</v>
      </c>
      <c r="S22" s="55">
        <f>5979.4</f>
        <v>5979.4</v>
      </c>
      <c r="T22" s="143">
        <f t="shared" si="13"/>
        <v>0.3026419271</v>
      </c>
      <c r="V22" s="140" t="s">
        <v>10</v>
      </c>
      <c r="W22" s="55">
        <f t="shared" si="14"/>
        <v>4581.68</v>
      </c>
      <c r="X22" s="144">
        <f t="shared" si="15"/>
        <v>5968.288464</v>
      </c>
      <c r="AA22" s="47">
        <v>14.0</v>
      </c>
      <c r="AB22" s="47" t="s">
        <v>48</v>
      </c>
      <c r="AC22" s="55">
        <v>10976.423460536806</v>
      </c>
      <c r="AE22" s="47">
        <v>14.0</v>
      </c>
      <c r="AF22" s="47" t="s">
        <v>48</v>
      </c>
      <c r="AG22" s="55">
        <v>9903.204150647543</v>
      </c>
    </row>
    <row r="23" ht="15.75" customHeight="1">
      <c r="C23" s="47">
        <v>15.0</v>
      </c>
      <c r="D23" s="47" t="s">
        <v>40</v>
      </c>
      <c r="E23" s="59">
        <f>5400+169.51</f>
        <v>5569.51</v>
      </c>
      <c r="F23" s="59">
        <f>4835.2</f>
        <v>4835.2</v>
      </c>
      <c r="G23" s="51">
        <f t="shared" si="1"/>
        <v>-734.31</v>
      </c>
      <c r="I23" s="47">
        <v>15.0</v>
      </c>
      <c r="J23" s="47" t="s">
        <v>40</v>
      </c>
      <c r="K23" s="55">
        <f>7300-96.4</f>
        <v>7203.6</v>
      </c>
      <c r="L23" s="55">
        <f>5471.13-378.28</f>
        <v>5092.85</v>
      </c>
      <c r="M23" s="51">
        <f t="shared" si="3"/>
        <v>-2110.75</v>
      </c>
      <c r="Q23" s="140" t="s">
        <v>12</v>
      </c>
      <c r="R23" s="55">
        <f>4622.58</f>
        <v>4622.58</v>
      </c>
      <c r="S23" s="55">
        <f>4964.78</f>
        <v>4964.78</v>
      </c>
      <c r="T23" s="143">
        <f t="shared" si="13"/>
        <v>0.0740279238</v>
      </c>
      <c r="V23" s="140" t="s">
        <v>12</v>
      </c>
      <c r="W23" s="55">
        <f t="shared" ref="W23:W25" si="16">AVERAGE(L16,L23,L30,L37,L9)</f>
        <v>7650.918</v>
      </c>
      <c r="X23" s="144">
        <f t="shared" si="15"/>
        <v>8217.299575</v>
      </c>
      <c r="AA23" s="47">
        <v>15.0</v>
      </c>
      <c r="AB23" s="47" t="s">
        <v>41</v>
      </c>
      <c r="AC23" s="55">
        <v>15640.477265424954</v>
      </c>
      <c r="AE23" s="47">
        <v>15.0</v>
      </c>
      <c r="AF23" s="47" t="s">
        <v>41</v>
      </c>
      <c r="AG23" s="55">
        <v>14759.462049867156</v>
      </c>
    </row>
    <row r="24" ht="15.75" customHeight="1">
      <c r="C24" s="47">
        <v>16.0</v>
      </c>
      <c r="D24" s="47" t="s">
        <v>47</v>
      </c>
      <c r="E24" s="59">
        <v>7600.0</v>
      </c>
      <c r="F24" s="59">
        <f>3866.5</f>
        <v>3866.5</v>
      </c>
      <c r="G24" s="51">
        <f t="shared" si="1"/>
        <v>-3733.5</v>
      </c>
      <c r="I24" s="47">
        <v>16.0</v>
      </c>
      <c r="J24" s="47" t="s">
        <v>47</v>
      </c>
      <c r="K24" s="55">
        <v>5000.0</v>
      </c>
      <c r="L24" s="63">
        <f>4430.53-384.28+92.94+124.93</f>
        <v>4264.12</v>
      </c>
      <c r="M24" s="51">
        <f t="shared" si="3"/>
        <v>-735.88</v>
      </c>
      <c r="Q24" s="140" t="s">
        <v>15</v>
      </c>
      <c r="R24" s="55">
        <f>4773.69</f>
        <v>4773.69</v>
      </c>
      <c r="S24" s="55">
        <f>4965.03</f>
        <v>4965.03</v>
      </c>
      <c r="T24" s="143">
        <f t="shared" si="13"/>
        <v>0.04008220056</v>
      </c>
      <c r="V24" s="140" t="s">
        <v>15</v>
      </c>
      <c r="W24" s="55">
        <f t="shared" si="16"/>
        <v>4950.632</v>
      </c>
      <c r="X24" s="144">
        <f t="shared" si="15"/>
        <v>5149.064225</v>
      </c>
      <c r="AA24" s="47">
        <v>16.0</v>
      </c>
      <c r="AB24" s="47" t="s">
        <v>44</v>
      </c>
      <c r="AC24" s="55">
        <v>22910.126645649678</v>
      </c>
      <c r="AE24" s="47">
        <v>16.0</v>
      </c>
      <c r="AF24" s="47" t="s">
        <v>44</v>
      </c>
      <c r="AG24" s="55">
        <v>21054.200172483044</v>
      </c>
    </row>
    <row r="25" ht="15.75" customHeight="1">
      <c r="C25" s="47">
        <v>17.0</v>
      </c>
      <c r="D25" s="47" t="s">
        <v>48</v>
      </c>
      <c r="E25" s="59">
        <v>12800.0</v>
      </c>
      <c r="F25" s="55">
        <f>9962.2-130</f>
        <v>9832.2</v>
      </c>
      <c r="G25" s="51">
        <f t="shared" si="1"/>
        <v>-2967.8</v>
      </c>
      <c r="I25" s="47">
        <v>17.0</v>
      </c>
      <c r="J25" s="47" t="s">
        <v>48</v>
      </c>
      <c r="K25" s="55">
        <v>9300.0</v>
      </c>
      <c r="L25" s="63">
        <f>10003.01-848.68+118.92</f>
        <v>9273.25</v>
      </c>
      <c r="M25" s="51">
        <f t="shared" si="3"/>
        <v>-26.75</v>
      </c>
      <c r="Q25" s="140" t="s">
        <v>17</v>
      </c>
      <c r="R25" s="55">
        <f>7675.93</f>
        <v>7675.93</v>
      </c>
      <c r="S25" s="55">
        <v>8900.26</v>
      </c>
      <c r="T25" s="143">
        <f t="shared" si="13"/>
        <v>0.1595024968</v>
      </c>
      <c r="V25" s="140" t="s">
        <v>17</v>
      </c>
      <c r="W25" s="55">
        <f t="shared" si="16"/>
        <v>8540.908</v>
      </c>
      <c r="X25" s="144">
        <f t="shared" si="15"/>
        <v>9903.204151</v>
      </c>
      <c r="AA25" s="47">
        <v>17.0</v>
      </c>
      <c r="AB25" s="47" t="s">
        <v>45</v>
      </c>
      <c r="AC25" s="55">
        <v>3316.464135569674</v>
      </c>
      <c r="AE25" s="47">
        <v>17.0</v>
      </c>
      <c r="AF25" s="47" t="s">
        <v>45</v>
      </c>
      <c r="AG25" s="55">
        <v>3094.1613402399603</v>
      </c>
    </row>
    <row r="26" ht="15.75" customHeight="1">
      <c r="C26" s="47">
        <v>18.0</v>
      </c>
      <c r="D26" s="47" t="s">
        <v>41</v>
      </c>
      <c r="E26" s="59">
        <v>18500.0</v>
      </c>
      <c r="F26" s="59">
        <f>19103.15</f>
        <v>19103.15</v>
      </c>
      <c r="G26" s="51">
        <f t="shared" si="1"/>
        <v>603.15</v>
      </c>
      <c r="I26" s="47">
        <v>18.0</v>
      </c>
      <c r="J26" s="47" t="s">
        <v>41</v>
      </c>
      <c r="K26" s="55">
        <v>13500.0</v>
      </c>
      <c r="L26" s="55">
        <f>12662.27-976.82</f>
        <v>11685.45</v>
      </c>
      <c r="M26" s="51">
        <f t="shared" si="3"/>
        <v>-1814.55</v>
      </c>
      <c r="Q26" s="140" t="s">
        <v>19</v>
      </c>
      <c r="R26" s="55">
        <v>11107.11</v>
      </c>
      <c r="S26" s="55">
        <v>12532.67</v>
      </c>
      <c r="T26" s="143">
        <f t="shared" si="13"/>
        <v>0.1283466176</v>
      </c>
      <c r="V26" s="140" t="s">
        <v>19</v>
      </c>
      <c r="W26" s="55">
        <f t="shared" ref="W26:W27" si="17">AVERAGE(L12,L19,L26,L33)</f>
        <v>13080.61</v>
      </c>
      <c r="X26" s="144">
        <f t="shared" si="15"/>
        <v>14759.46205</v>
      </c>
      <c r="AA26" s="47">
        <v>18.0</v>
      </c>
      <c r="AB26" s="47" t="s">
        <v>46</v>
      </c>
      <c r="AC26" s="55">
        <v>5123.541387223321</v>
      </c>
      <c r="AE26" s="47">
        <v>18.0</v>
      </c>
      <c r="AF26" s="47" t="s">
        <v>46</v>
      </c>
      <c r="AG26" s="55">
        <v>5968.2884643621965</v>
      </c>
    </row>
    <row r="27" ht="15.75" customHeight="1">
      <c r="C27" s="47">
        <v>19.0</v>
      </c>
      <c r="D27" s="47" t="s">
        <v>44</v>
      </c>
      <c r="E27" s="59">
        <v>23000.0</v>
      </c>
      <c r="F27" s="59">
        <f>24901.79</f>
        <v>24901.79</v>
      </c>
      <c r="G27" s="51">
        <f t="shared" si="1"/>
        <v>1901.79</v>
      </c>
      <c r="I27" s="47">
        <v>19.0</v>
      </c>
      <c r="J27" s="47" t="s">
        <v>44</v>
      </c>
      <c r="K27" s="55">
        <v>23500.0</v>
      </c>
      <c r="L27" s="63">
        <f>20347.3-1601.55+172.98</f>
        <v>18918.73</v>
      </c>
      <c r="M27" s="51">
        <f t="shared" si="3"/>
        <v>-4581.27</v>
      </c>
      <c r="Q27" s="140" t="s">
        <v>20</v>
      </c>
      <c r="R27" s="55">
        <v>17901.47</v>
      </c>
      <c r="S27" s="55">
        <v>20006.86</v>
      </c>
      <c r="T27" s="145">
        <f t="shared" si="13"/>
        <v>0.1176098946</v>
      </c>
      <c r="V27" s="140" t="s">
        <v>20</v>
      </c>
      <c r="W27" s="55">
        <f t="shared" si="17"/>
        <v>18838.595</v>
      </c>
      <c r="X27" s="144">
        <f t="shared" si="15"/>
        <v>21054.20017</v>
      </c>
      <c r="AA27" s="47">
        <v>19.0</v>
      </c>
      <c r="AB27" s="47" t="s">
        <v>40</v>
      </c>
      <c r="AC27" s="55">
        <v>8143.120072758521</v>
      </c>
      <c r="AE27" s="47">
        <v>19.0</v>
      </c>
      <c r="AF27" s="47" t="s">
        <v>40</v>
      </c>
      <c r="AG27" s="55">
        <v>8217.299574705034</v>
      </c>
    </row>
    <row r="28" ht="15.75" customHeight="1">
      <c r="C28" s="47">
        <v>20.0</v>
      </c>
      <c r="D28" s="47" t="s">
        <v>45</v>
      </c>
      <c r="E28" s="59">
        <v>5100.0</v>
      </c>
      <c r="F28" s="59">
        <f>6907.32</f>
        <v>6907.32</v>
      </c>
      <c r="G28" s="51">
        <f t="shared" si="1"/>
        <v>1807.32</v>
      </c>
      <c r="I28" s="47">
        <v>20.0</v>
      </c>
      <c r="J28" s="47" t="s">
        <v>45</v>
      </c>
      <c r="K28" s="55">
        <v>4200.0</v>
      </c>
      <c r="L28" s="55">
        <f>3744.24-269.32</f>
        <v>3474.92</v>
      </c>
      <c r="M28" s="51">
        <f t="shared" si="3"/>
        <v>-725.08</v>
      </c>
      <c r="Z28" s="1"/>
      <c r="AA28" s="47">
        <v>20.0</v>
      </c>
      <c r="AB28" s="47" t="s">
        <v>47</v>
      </c>
      <c r="AC28" s="55">
        <v>5729.6424838115245</v>
      </c>
      <c r="AE28" s="47">
        <v>20.0</v>
      </c>
      <c r="AF28" s="47" t="s">
        <v>47</v>
      </c>
      <c r="AG28" s="55">
        <v>5149.064224731811</v>
      </c>
    </row>
    <row r="29" ht="15.75" customHeight="1">
      <c r="C29" s="47">
        <v>21.0</v>
      </c>
      <c r="D29" s="47" t="s">
        <v>46</v>
      </c>
      <c r="E29" s="59">
        <v>6600.0</v>
      </c>
      <c r="F29" s="59">
        <f>4699.75</f>
        <v>4699.75</v>
      </c>
      <c r="G29" s="51">
        <f t="shared" si="1"/>
        <v>-1900.25</v>
      </c>
      <c r="I29" s="47">
        <v>21.0</v>
      </c>
      <c r="J29" s="47" t="s">
        <v>46</v>
      </c>
      <c r="K29" s="55">
        <v>4700.0</v>
      </c>
      <c r="L29" s="55">
        <f>4303.69-328.08</f>
        <v>3975.61</v>
      </c>
      <c r="M29" s="51">
        <f t="shared" si="3"/>
        <v>-724.39</v>
      </c>
      <c r="Z29" s="1"/>
      <c r="AA29" s="47">
        <v>21.0</v>
      </c>
      <c r="AB29" s="47" t="s">
        <v>48</v>
      </c>
      <c r="AC29" s="55">
        <v>10976.423460536806</v>
      </c>
      <c r="AE29" s="47">
        <v>21.0</v>
      </c>
      <c r="AF29" s="47" t="s">
        <v>48</v>
      </c>
      <c r="AG29" s="55">
        <v>9903.204150647543</v>
      </c>
    </row>
    <row r="30" ht="15.75" customHeight="1">
      <c r="C30" s="47">
        <v>22.0</v>
      </c>
      <c r="D30" s="47" t="s">
        <v>40</v>
      </c>
      <c r="E30" s="59">
        <v>5400.0</v>
      </c>
      <c r="F30" s="59">
        <f>5405.5</f>
        <v>5405.5</v>
      </c>
      <c r="G30" s="51">
        <f t="shared" si="1"/>
        <v>5.5</v>
      </c>
      <c r="I30" s="47">
        <v>22.0</v>
      </c>
      <c r="J30" s="47" t="s">
        <v>40</v>
      </c>
      <c r="K30" s="55">
        <v>7300.0</v>
      </c>
      <c r="L30" s="55">
        <f>4553.5-318.58</f>
        <v>4234.92</v>
      </c>
      <c r="M30" s="51">
        <f t="shared" si="3"/>
        <v>-3065.08</v>
      </c>
      <c r="Z30" s="1"/>
      <c r="AA30" s="47">
        <v>22.0</v>
      </c>
      <c r="AB30" s="47" t="s">
        <v>41</v>
      </c>
      <c r="AC30" s="55">
        <v>15640.477265424954</v>
      </c>
      <c r="AE30" s="47">
        <v>22.0</v>
      </c>
      <c r="AF30" s="47" t="s">
        <v>41</v>
      </c>
      <c r="AG30" s="55">
        <v>14759.462049867156</v>
      </c>
    </row>
    <row r="31" ht="15.75" customHeight="1">
      <c r="C31" s="47">
        <v>23.0</v>
      </c>
      <c r="D31" s="47" t="s">
        <v>47</v>
      </c>
      <c r="E31" s="59">
        <v>7600.0</v>
      </c>
      <c r="F31" s="59">
        <f>5841.5</f>
        <v>5841.5</v>
      </c>
      <c r="G31" s="51">
        <f t="shared" si="1"/>
        <v>-1758.5</v>
      </c>
      <c r="I31" s="47">
        <v>23.0</v>
      </c>
      <c r="J31" s="47" t="s">
        <v>47</v>
      </c>
      <c r="K31" s="55">
        <v>5000.0</v>
      </c>
      <c r="L31" s="55">
        <f>3711.55-218.67</f>
        <v>3492.88</v>
      </c>
      <c r="M31" s="51">
        <f t="shared" si="3"/>
        <v>-1507.12</v>
      </c>
      <c r="Z31" s="1"/>
      <c r="AA31" s="47">
        <v>23.0</v>
      </c>
      <c r="AB31" s="47" t="s">
        <v>44</v>
      </c>
      <c r="AC31" s="55">
        <v>22910.126645649678</v>
      </c>
      <c r="AE31" s="47">
        <v>23.0</v>
      </c>
      <c r="AF31" s="47" t="s">
        <v>44</v>
      </c>
      <c r="AG31" s="55">
        <v>21054.200172483044</v>
      </c>
    </row>
    <row r="32" ht="15.75" customHeight="1">
      <c r="C32" s="47">
        <v>24.0</v>
      </c>
      <c r="D32" s="47" t="s">
        <v>48</v>
      </c>
      <c r="E32" s="59">
        <v>12800.0</v>
      </c>
      <c r="F32" s="59">
        <f>10407.6-140</f>
        <v>10267.6</v>
      </c>
      <c r="G32" s="51">
        <f t="shared" si="1"/>
        <v>-2532.4</v>
      </c>
      <c r="I32" s="47">
        <v>24.0</v>
      </c>
      <c r="J32" s="47" t="s">
        <v>48</v>
      </c>
      <c r="K32" s="55">
        <v>9300.0</v>
      </c>
      <c r="L32" s="55">
        <f>11220.39-785.92</f>
        <v>10434.47</v>
      </c>
      <c r="M32" s="51">
        <f t="shared" si="3"/>
        <v>1134.47</v>
      </c>
      <c r="Z32" s="1"/>
      <c r="AA32" s="47">
        <v>24.0</v>
      </c>
      <c r="AB32" s="47" t="s">
        <v>45</v>
      </c>
      <c r="AC32" s="55">
        <v>3316.464135569674</v>
      </c>
      <c r="AE32" s="47">
        <v>24.0</v>
      </c>
      <c r="AF32" s="47" t="s">
        <v>45</v>
      </c>
      <c r="AG32" s="55">
        <v>3094.1613402399603</v>
      </c>
    </row>
    <row r="33" ht="15.75" customHeight="1">
      <c r="C33" s="47">
        <v>25.0</v>
      </c>
      <c r="D33" s="47" t="s">
        <v>41</v>
      </c>
      <c r="E33" s="59">
        <v>18500.0</v>
      </c>
      <c r="F33" s="59">
        <f>19685.15</f>
        <v>19685.15</v>
      </c>
      <c r="G33" s="51">
        <f t="shared" si="1"/>
        <v>1185.15</v>
      </c>
      <c r="H33" s="58">
        <v>61.0</v>
      </c>
      <c r="I33" s="47">
        <v>25.0</v>
      </c>
      <c r="J33" s="47" t="s">
        <v>41</v>
      </c>
      <c r="K33" s="55">
        <v>13500.0</v>
      </c>
      <c r="L33" s="63">
        <f>12765.14-1088.26+41.97</f>
        <v>11718.85</v>
      </c>
      <c r="M33" s="51">
        <f t="shared" si="3"/>
        <v>-1781.15</v>
      </c>
      <c r="Z33" s="1"/>
      <c r="AA33" s="47">
        <v>25.0</v>
      </c>
      <c r="AB33" s="47" t="s">
        <v>46</v>
      </c>
      <c r="AC33" s="55">
        <v>5123.541387223321</v>
      </c>
      <c r="AE33" s="47">
        <v>25.0</v>
      </c>
      <c r="AF33" s="47" t="s">
        <v>46</v>
      </c>
      <c r="AG33" s="55">
        <v>5968.2884643621965</v>
      </c>
    </row>
    <row r="34" ht="15.75" customHeight="1">
      <c r="C34" s="47">
        <v>26.0</v>
      </c>
      <c r="D34" s="47" t="s">
        <v>44</v>
      </c>
      <c r="E34" s="59">
        <v>23000.0</v>
      </c>
      <c r="F34" s="59">
        <f>19529.55</f>
        <v>19529.55</v>
      </c>
      <c r="G34" s="51">
        <f t="shared" si="1"/>
        <v>-3470.45</v>
      </c>
      <c r="I34" s="47">
        <v>26.0</v>
      </c>
      <c r="J34" s="47" t="s">
        <v>44</v>
      </c>
      <c r="K34" s="55">
        <v>23500.0</v>
      </c>
      <c r="L34" s="55">
        <f>21454.2-1523.84</f>
        <v>19930.36</v>
      </c>
      <c r="M34" s="51">
        <f t="shared" si="3"/>
        <v>-3569.64</v>
      </c>
      <c r="Z34" s="1"/>
      <c r="AA34" s="47">
        <v>26.0</v>
      </c>
      <c r="AB34" s="47" t="s">
        <v>40</v>
      </c>
      <c r="AC34" s="55">
        <v>8143.120072758521</v>
      </c>
      <c r="AE34" s="47">
        <v>26.0</v>
      </c>
      <c r="AF34" s="47" t="s">
        <v>40</v>
      </c>
      <c r="AG34" s="55">
        <v>8217.299574705034</v>
      </c>
    </row>
    <row r="35" ht="15.75" customHeight="1">
      <c r="C35" s="47">
        <v>27.0</v>
      </c>
      <c r="D35" s="47" t="s">
        <v>45</v>
      </c>
      <c r="E35" s="59">
        <v>5100.0</v>
      </c>
      <c r="F35" s="59">
        <f>2817.3</f>
        <v>2817.3</v>
      </c>
      <c r="G35" s="51">
        <f t="shared" si="1"/>
        <v>-2282.7</v>
      </c>
      <c r="I35" s="47">
        <v>27.0</v>
      </c>
      <c r="J35" s="47" t="s">
        <v>45</v>
      </c>
      <c r="K35" s="55">
        <v>4200.0</v>
      </c>
      <c r="L35" s="55">
        <f>4331.7-277.64</f>
        <v>4054.06</v>
      </c>
      <c r="M35" s="51">
        <f t="shared" si="3"/>
        <v>-145.94</v>
      </c>
      <c r="Z35" s="1"/>
      <c r="AA35" s="47">
        <v>27.0</v>
      </c>
      <c r="AB35" s="47" t="s">
        <v>47</v>
      </c>
      <c r="AC35" s="55">
        <v>5729.6424838115245</v>
      </c>
      <c r="AE35" s="47">
        <v>27.0</v>
      </c>
      <c r="AF35" s="47" t="s">
        <v>47</v>
      </c>
      <c r="AG35" s="55">
        <v>5149.064224731811</v>
      </c>
    </row>
    <row r="36" ht="15.75" customHeight="1">
      <c r="C36" s="47">
        <v>28.0</v>
      </c>
      <c r="D36" s="47" t="s">
        <v>46</v>
      </c>
      <c r="E36" s="59">
        <v>6600.0</v>
      </c>
      <c r="F36" s="59">
        <f>5722.5</f>
        <v>5722.5</v>
      </c>
      <c r="G36" s="51">
        <f t="shared" si="1"/>
        <v>-877.5</v>
      </c>
      <c r="I36" s="47">
        <v>28.0</v>
      </c>
      <c r="J36" s="47" t="s">
        <v>46</v>
      </c>
      <c r="K36" s="55">
        <v>4700.0</v>
      </c>
      <c r="L36" s="55">
        <f>6278.36-298.4-9</f>
        <v>5970.96</v>
      </c>
      <c r="M36" s="51">
        <f t="shared" si="3"/>
        <v>1270.96</v>
      </c>
      <c r="Z36" s="1"/>
      <c r="AA36" s="47">
        <v>28.0</v>
      </c>
      <c r="AB36" s="47" t="s">
        <v>48</v>
      </c>
      <c r="AC36" s="55">
        <v>10976.423460536806</v>
      </c>
      <c r="AE36" s="47">
        <v>28.0</v>
      </c>
      <c r="AF36" s="47" t="s">
        <v>48</v>
      </c>
      <c r="AG36" s="55">
        <v>9903.204150647543</v>
      </c>
    </row>
    <row r="37" ht="15.75" customHeight="1">
      <c r="C37" s="47">
        <v>29.0</v>
      </c>
      <c r="D37" s="47" t="s">
        <v>40</v>
      </c>
      <c r="E37" s="59">
        <v>5400.0</v>
      </c>
      <c r="F37" s="59">
        <f>5159.51</f>
        <v>5159.51</v>
      </c>
      <c r="G37" s="51">
        <f t="shared" si="1"/>
        <v>-240.49</v>
      </c>
      <c r="I37" s="47">
        <v>29.0</v>
      </c>
      <c r="J37" s="47" t="s">
        <v>40</v>
      </c>
      <c r="K37" s="55">
        <v>7300.0</v>
      </c>
      <c r="L37" s="55">
        <f>5569.51-314.52</f>
        <v>5254.99</v>
      </c>
      <c r="M37" s="51">
        <f t="shared" si="3"/>
        <v>-2045.01</v>
      </c>
      <c r="Z37" s="1"/>
      <c r="AA37" s="47"/>
      <c r="AB37" s="47"/>
      <c r="AC37" s="55"/>
      <c r="AE37" s="47"/>
      <c r="AF37" s="47"/>
      <c r="AG37" s="55"/>
    </row>
    <row r="38" ht="15.75" customHeight="1">
      <c r="C38" s="47">
        <v>30.0</v>
      </c>
      <c r="D38" s="47" t="s">
        <v>47</v>
      </c>
      <c r="E38" s="59">
        <v>7600.0</v>
      </c>
      <c r="F38" s="59">
        <f>8496.1</f>
        <v>8496.1</v>
      </c>
      <c r="G38" s="51">
        <f t="shared" si="1"/>
        <v>896.1</v>
      </c>
      <c r="I38" s="47">
        <v>30.0</v>
      </c>
      <c r="J38" s="47" t="s">
        <v>47</v>
      </c>
      <c r="K38" s="55">
        <v>5000.0</v>
      </c>
      <c r="L38" s="55">
        <f>5425.8-439.25</f>
        <v>4986.55</v>
      </c>
      <c r="M38" s="51">
        <f t="shared" si="3"/>
        <v>-13.45</v>
      </c>
      <c r="Z38" s="1"/>
      <c r="AA38" s="47"/>
      <c r="AB38" s="47"/>
      <c r="AC38" s="55"/>
      <c r="AE38" s="47"/>
      <c r="AF38" s="47"/>
      <c r="AG38" s="55"/>
    </row>
    <row r="39" ht="15.75" customHeight="1">
      <c r="C39" s="47">
        <v>31.0</v>
      </c>
      <c r="D39" s="47" t="s">
        <v>48</v>
      </c>
      <c r="E39" s="59">
        <v>12800.0</v>
      </c>
      <c r="F39" s="59">
        <f>1288.25+10587.2-150</f>
        <v>11725.45</v>
      </c>
      <c r="G39" s="51">
        <f t="shared" si="1"/>
        <v>-1074.55</v>
      </c>
      <c r="I39" s="47">
        <v>31.0</v>
      </c>
      <c r="J39" s="47" t="s">
        <v>48</v>
      </c>
      <c r="K39" s="55">
        <v>9300.0</v>
      </c>
      <c r="L39" s="55">
        <f>10522.22-837.56</f>
        <v>9684.66</v>
      </c>
      <c r="M39" s="51">
        <f t="shared" si="3"/>
        <v>384.66</v>
      </c>
      <c r="Z39" s="1"/>
      <c r="AA39" s="47"/>
      <c r="AB39" s="47"/>
      <c r="AC39" s="55"/>
      <c r="AE39" s="47"/>
      <c r="AF39" s="47"/>
      <c r="AG39" s="55"/>
    </row>
    <row r="40" ht="15.75" customHeight="1">
      <c r="C40" s="8"/>
      <c r="D40" s="8"/>
      <c r="E40" s="107">
        <f t="shared" ref="E40:G40" si="18">SUM(E9:E39)</f>
        <v>365000</v>
      </c>
      <c r="F40" s="107">
        <f t="shared" si="18"/>
        <v>353518.38</v>
      </c>
      <c r="G40" s="105">
        <f t="shared" si="18"/>
        <v>-11481.62</v>
      </c>
      <c r="I40" s="8"/>
      <c r="J40" s="8"/>
      <c r="K40" s="107">
        <f t="shared" ref="K40:M40" si="19">SUM(K9:K39)</f>
        <v>295000</v>
      </c>
      <c r="L40" s="107">
        <f t="shared" si="19"/>
        <v>270821.32</v>
      </c>
      <c r="M40" s="105">
        <f t="shared" si="19"/>
        <v>-24178.68</v>
      </c>
      <c r="Z40" s="1"/>
      <c r="AA40" s="8"/>
      <c r="AB40" s="8"/>
      <c r="AC40" s="107">
        <f>SUM(AC9:AC39)</f>
        <v>287359.1818</v>
      </c>
      <c r="AD40" s="107"/>
      <c r="AE40" s="8"/>
      <c r="AF40" s="8"/>
      <c r="AG40" s="107">
        <f>SUM(AG9:AG39)</f>
        <v>272582.7199</v>
      </c>
    </row>
    <row r="41" ht="15.75" customHeight="1">
      <c r="D41" s="61">
        <f>D44-E40</f>
        <v>0</v>
      </c>
      <c r="F41" s="114">
        <f>F40/D44</f>
        <v>0.9685435068</v>
      </c>
      <c r="G41" s="1"/>
      <c r="I41" s="1"/>
      <c r="J41" s="1"/>
      <c r="K41" s="1"/>
      <c r="L41" s="114">
        <f>L40/J44</f>
        <v>0.9180383729</v>
      </c>
      <c r="M41" s="1"/>
      <c r="Z41" s="1"/>
      <c r="AA41" s="1"/>
      <c r="AB41" s="1"/>
      <c r="AC41" s="1"/>
      <c r="AD41" s="1"/>
      <c r="AE41" s="1"/>
    </row>
    <row r="42" ht="15.75" customHeight="1">
      <c r="C42" s="2"/>
      <c r="D42" s="2"/>
      <c r="E42" s="2"/>
      <c r="F42" s="2"/>
      <c r="J42" s="61"/>
      <c r="K42" s="2"/>
      <c r="L42" s="2"/>
      <c r="Z42" s="1"/>
      <c r="AA42" s="1"/>
      <c r="AC42" s="173" t="s">
        <v>176</v>
      </c>
      <c r="AG42" s="173" t="s">
        <v>177</v>
      </c>
    </row>
    <row r="43" ht="15.75" customHeight="1">
      <c r="C43" s="2"/>
      <c r="D43" s="2"/>
      <c r="E43" s="115" t="s">
        <v>77</v>
      </c>
      <c r="F43" s="118">
        <f>E40+G40</f>
        <v>353518.38</v>
      </c>
      <c r="K43" s="115" t="s">
        <v>77</v>
      </c>
      <c r="L43" s="118">
        <f>K40+M40</f>
        <v>270821.32</v>
      </c>
      <c r="Z43" s="1"/>
      <c r="AA43" s="1"/>
      <c r="AD43" s="13"/>
      <c r="AE43" s="196"/>
    </row>
    <row r="44" ht="15.75" customHeight="1">
      <c r="C44" s="122" t="s">
        <v>29</v>
      </c>
      <c r="D44" s="124">
        <v>365000.0</v>
      </c>
      <c r="E44" s="2"/>
      <c r="F44" s="2"/>
      <c r="I44" s="126" t="s">
        <v>29</v>
      </c>
      <c r="J44" s="124">
        <v>295000.0</v>
      </c>
      <c r="K44" s="2"/>
      <c r="L44" s="2"/>
      <c r="O44" s="61"/>
      <c r="Z44" s="1"/>
      <c r="AA44" s="1"/>
      <c r="AD44" s="196" t="s">
        <v>178</v>
      </c>
    </row>
    <row r="45" ht="15.75" customHeight="1"/>
    <row r="46" ht="15.75" customHeight="1"/>
    <row r="47" ht="15.75" customHeight="1">
      <c r="E47" s="2"/>
      <c r="F47" s="2"/>
      <c r="J47" s="189"/>
      <c r="K47" s="2"/>
      <c r="L47" s="2"/>
      <c r="AB47" s="201"/>
      <c r="AC47" s="61"/>
      <c r="AF47" s="201"/>
      <c r="AG47" s="6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Q9:T9"/>
    <mergeCell ref="V9:X9"/>
    <mergeCell ref="Q19:T19"/>
    <mergeCell ref="V19:X19"/>
    <mergeCell ref="C4:G6"/>
    <mergeCell ref="I4:M6"/>
    <mergeCell ref="C7:G7"/>
    <mergeCell ref="I7:M7"/>
    <mergeCell ref="V7:W7"/>
    <mergeCell ref="AA7:AC7"/>
    <mergeCell ref="AE7:AG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9.67"/>
    <col customWidth="1" min="5" max="5" width="17.44"/>
    <col customWidth="1" min="6" max="6" width="18.33"/>
    <col customWidth="1" min="7" max="7" width="11.11"/>
    <col customWidth="1" min="8" max="9" width="10.56"/>
    <col customWidth="1" min="10" max="10" width="19.67"/>
    <col customWidth="1" min="11" max="12" width="18.67"/>
    <col customWidth="1" min="13" max="13" width="11.44"/>
    <col customWidth="1" min="14" max="15" width="10.56"/>
    <col customWidth="1" min="16" max="17" width="11.0"/>
    <col customWidth="1" min="18" max="18" width="10.56"/>
    <col customWidth="1" min="19" max="19" width="11.0"/>
    <col customWidth="1" min="20" max="20" width="10.56"/>
    <col customWidth="1" min="21" max="21" width="15.33"/>
    <col customWidth="1" min="22" max="22" width="11.0"/>
    <col customWidth="1" min="23" max="23" width="15.33"/>
    <col customWidth="1" min="24" max="24" width="11.0"/>
    <col customWidth="1" min="25" max="26" width="10.56"/>
  </cols>
  <sheetData>
    <row r="1" ht="15.75" customHeight="1"/>
    <row r="2" ht="15.75" customHeight="1"/>
    <row r="3" ht="15.75" customHeight="1"/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</row>
    <row r="9" ht="15.75" customHeight="1">
      <c r="C9" s="47">
        <v>1.0</v>
      </c>
      <c r="D9" s="47" t="s">
        <v>41</v>
      </c>
      <c r="E9" s="55">
        <v>17000.0</v>
      </c>
      <c r="F9" s="228">
        <f>16584.9-227</f>
        <v>16357.9</v>
      </c>
      <c r="G9" s="51">
        <f t="shared" ref="G9:G36" si="1">F9-E9</f>
        <v>-642.1</v>
      </c>
      <c r="I9" s="47">
        <v>1.0</v>
      </c>
      <c r="J9" s="47" t="s">
        <v>41</v>
      </c>
      <c r="K9" s="59">
        <v>16000.0</v>
      </c>
      <c r="L9" s="229">
        <f>13653.88+227-9</f>
        <v>13871.88</v>
      </c>
      <c r="M9" s="51">
        <f t="shared" ref="M9:M36" si="2">L9-K9</f>
        <v>-2128.12</v>
      </c>
      <c r="O9" s="58" t="s">
        <v>45</v>
      </c>
      <c r="P9" s="58">
        <v>3500.0</v>
      </c>
      <c r="Q9" s="58">
        <f t="shared" ref="Q9:Q15" si="3">P9*4</f>
        <v>14000</v>
      </c>
    </row>
    <row r="10" ht="15.75" customHeight="1">
      <c r="C10" s="47">
        <v>2.0</v>
      </c>
      <c r="D10" s="47" t="s">
        <v>44</v>
      </c>
      <c r="E10" s="55">
        <v>21500.0</v>
      </c>
      <c r="F10" s="230">
        <v>13382.7</v>
      </c>
      <c r="G10" s="51">
        <f t="shared" si="1"/>
        <v>-8117.3</v>
      </c>
      <c r="I10" s="47">
        <v>2.0</v>
      </c>
      <c r="J10" s="47" t="s">
        <v>44</v>
      </c>
      <c r="K10" s="59">
        <v>21000.0</v>
      </c>
      <c r="L10" s="229">
        <v>19456.620000000003</v>
      </c>
      <c r="M10" s="51">
        <f t="shared" si="2"/>
        <v>-1543.38</v>
      </c>
      <c r="O10" s="58" t="s">
        <v>46</v>
      </c>
      <c r="P10" s="58">
        <v>5500.0</v>
      </c>
      <c r="Q10" s="58">
        <f t="shared" si="3"/>
        <v>22000</v>
      </c>
    </row>
    <row r="11" ht="15.75" customHeight="1">
      <c r="C11" s="47">
        <v>3.0</v>
      </c>
      <c r="D11" s="47" t="s">
        <v>45</v>
      </c>
      <c r="E11" s="55">
        <v>3300.0</v>
      </c>
      <c r="F11" s="230">
        <v>3689.45</v>
      </c>
      <c r="G11" s="51">
        <f t="shared" si="1"/>
        <v>389.45</v>
      </c>
      <c r="I11" s="47">
        <v>3.0</v>
      </c>
      <c r="J11" s="47" t="s">
        <v>45</v>
      </c>
      <c r="K11" s="59">
        <v>3500.0</v>
      </c>
      <c r="L11" s="229">
        <v>3020.04</v>
      </c>
      <c r="M11" s="51">
        <f t="shared" si="2"/>
        <v>-479.96</v>
      </c>
      <c r="O11" s="58" t="s">
        <v>40</v>
      </c>
      <c r="P11" s="58">
        <v>7800.0</v>
      </c>
      <c r="Q11" s="58">
        <f t="shared" si="3"/>
        <v>31200</v>
      </c>
    </row>
    <row r="12" ht="15.75" customHeight="1">
      <c r="C12" s="47">
        <v>4.0</v>
      </c>
      <c r="D12" s="47" t="s">
        <v>46</v>
      </c>
      <c r="E12" s="55">
        <v>4900.0</v>
      </c>
      <c r="F12" s="230">
        <v>3909.75</v>
      </c>
      <c r="G12" s="51">
        <f t="shared" si="1"/>
        <v>-990.25</v>
      </c>
      <c r="I12" s="47">
        <v>4.0</v>
      </c>
      <c r="J12" s="47" t="s">
        <v>46</v>
      </c>
      <c r="K12" s="59">
        <v>5500.0</v>
      </c>
      <c r="L12" s="229">
        <v>4395.98</v>
      </c>
      <c r="M12" s="51">
        <f t="shared" si="2"/>
        <v>-1104.02</v>
      </c>
      <c r="O12" s="58" t="s">
        <v>47</v>
      </c>
      <c r="P12" s="58">
        <v>5000.0</v>
      </c>
      <c r="Q12" s="58">
        <f t="shared" si="3"/>
        <v>20000</v>
      </c>
    </row>
    <row r="13" ht="15.75" customHeight="1">
      <c r="C13" s="47">
        <v>5.0</v>
      </c>
      <c r="D13" s="47" t="s">
        <v>40</v>
      </c>
      <c r="E13" s="55">
        <v>7900.0</v>
      </c>
      <c r="F13" s="230">
        <v>3198.05</v>
      </c>
      <c r="G13" s="51">
        <f t="shared" si="1"/>
        <v>-4701.95</v>
      </c>
      <c r="I13" s="47">
        <v>5.0</v>
      </c>
      <c r="J13" s="47" t="s">
        <v>40</v>
      </c>
      <c r="K13" s="59">
        <v>7800.0</v>
      </c>
      <c r="L13" s="229">
        <v>5148.889999999999</v>
      </c>
      <c r="M13" s="51">
        <f t="shared" si="2"/>
        <v>-2651.11</v>
      </c>
      <c r="O13" s="58" t="s">
        <v>170</v>
      </c>
      <c r="P13" s="58">
        <v>10000.0</v>
      </c>
      <c r="Q13" s="58">
        <f t="shared" si="3"/>
        <v>40000</v>
      </c>
    </row>
    <row r="14" ht="15.75" customHeight="1">
      <c r="C14" s="47">
        <v>6.0</v>
      </c>
      <c r="D14" s="47" t="s">
        <v>47</v>
      </c>
      <c r="E14" s="55">
        <v>5700.0</v>
      </c>
      <c r="F14" s="230">
        <v>7520.75</v>
      </c>
      <c r="G14" s="51">
        <f t="shared" si="1"/>
        <v>1820.75</v>
      </c>
      <c r="I14" s="47">
        <v>6.0</v>
      </c>
      <c r="J14" s="47" t="s">
        <v>47</v>
      </c>
      <c r="K14" s="59">
        <v>5000.0</v>
      </c>
      <c r="L14" s="229">
        <f>5055.64-8</f>
        <v>5047.64</v>
      </c>
      <c r="M14" s="51">
        <f t="shared" si="2"/>
        <v>47.64</v>
      </c>
      <c r="O14" s="58" t="s">
        <v>171</v>
      </c>
      <c r="P14" s="58">
        <v>16000.0</v>
      </c>
      <c r="Q14" s="58">
        <f t="shared" si="3"/>
        <v>64000</v>
      </c>
    </row>
    <row r="15" ht="15.75" customHeight="1">
      <c r="C15" s="47">
        <v>7.0</v>
      </c>
      <c r="D15" s="47" t="s">
        <v>48</v>
      </c>
      <c r="E15" s="55">
        <v>11000.0</v>
      </c>
      <c r="F15" s="230">
        <f>11946.45-175</f>
        <v>11771.45</v>
      </c>
      <c r="G15" s="51">
        <f t="shared" si="1"/>
        <v>771.45</v>
      </c>
      <c r="I15" s="47">
        <v>7.0</v>
      </c>
      <c r="J15" s="47" t="s">
        <v>48</v>
      </c>
      <c r="K15" s="59">
        <v>10000.0</v>
      </c>
      <c r="L15" s="229">
        <v>11527.039999999999</v>
      </c>
      <c r="M15" s="51">
        <f t="shared" si="2"/>
        <v>1527.04</v>
      </c>
      <c r="O15" s="58" t="s">
        <v>44</v>
      </c>
      <c r="P15" s="58">
        <v>21000.0</v>
      </c>
      <c r="Q15" s="58">
        <f t="shared" si="3"/>
        <v>84000</v>
      </c>
    </row>
    <row r="16" ht="15.75" customHeight="1">
      <c r="C16" s="47">
        <v>8.0</v>
      </c>
      <c r="D16" s="47" t="s">
        <v>41</v>
      </c>
      <c r="E16" s="55">
        <v>17000.0</v>
      </c>
      <c r="F16" s="230">
        <v>18329.15</v>
      </c>
      <c r="G16" s="51">
        <f t="shared" si="1"/>
        <v>1329.15</v>
      </c>
      <c r="I16" s="47">
        <v>8.0</v>
      </c>
      <c r="J16" s="47" t="s">
        <v>41</v>
      </c>
      <c r="K16" s="59">
        <v>16000.0</v>
      </c>
      <c r="L16" s="229">
        <f>14797.45+139.93</f>
        <v>14937.38</v>
      </c>
      <c r="M16" s="51">
        <f t="shared" si="2"/>
        <v>-1062.62</v>
      </c>
      <c r="Q16" s="58">
        <f>SUM(Q9:Q15)</f>
        <v>275200</v>
      </c>
    </row>
    <row r="17" ht="15.75" customHeight="1">
      <c r="C17" s="47">
        <v>9.0</v>
      </c>
      <c r="D17" s="47" t="s">
        <v>44</v>
      </c>
      <c r="E17" s="55">
        <v>21500.0</v>
      </c>
      <c r="F17" s="230">
        <v>14393.12</v>
      </c>
      <c r="G17" s="51">
        <f t="shared" si="1"/>
        <v>-7106.88</v>
      </c>
      <c r="I17" s="47">
        <v>9.0</v>
      </c>
      <c r="J17" s="47" t="s">
        <v>44</v>
      </c>
      <c r="K17" s="59">
        <v>21000.0</v>
      </c>
      <c r="L17" s="229">
        <f>21729.1+119.5</f>
        <v>21848.6</v>
      </c>
      <c r="M17" s="51">
        <f t="shared" si="2"/>
        <v>848.6</v>
      </c>
    </row>
    <row r="18" ht="15.75" customHeight="1">
      <c r="C18" s="47">
        <v>10.0</v>
      </c>
      <c r="D18" s="47" t="s">
        <v>45</v>
      </c>
      <c r="E18" s="55">
        <v>3300.0</v>
      </c>
      <c r="F18" s="230">
        <v>4389.38</v>
      </c>
      <c r="G18" s="51">
        <f t="shared" si="1"/>
        <v>1089.38</v>
      </c>
      <c r="I18" s="47">
        <v>10.0</v>
      </c>
      <c r="J18" s="47" t="s">
        <v>45</v>
      </c>
      <c r="K18" s="59">
        <v>3500.0</v>
      </c>
      <c r="L18" s="229">
        <v>5044.27</v>
      </c>
      <c r="M18" s="51">
        <f t="shared" si="2"/>
        <v>1544.27</v>
      </c>
    </row>
    <row r="19" ht="15.75" customHeight="1">
      <c r="C19" s="47">
        <v>11.0</v>
      </c>
      <c r="D19" s="47" t="s">
        <v>46</v>
      </c>
      <c r="E19" s="55">
        <v>4900.0</v>
      </c>
      <c r="F19" s="230">
        <v>2099.25</v>
      </c>
      <c r="G19" s="51">
        <f t="shared" si="1"/>
        <v>-2800.75</v>
      </c>
      <c r="I19" s="47">
        <v>11.0</v>
      </c>
      <c r="J19" s="47" t="s">
        <v>46</v>
      </c>
      <c r="K19" s="59">
        <v>5500.0</v>
      </c>
      <c r="L19" s="229">
        <v>4938.84</v>
      </c>
      <c r="M19" s="51">
        <f t="shared" si="2"/>
        <v>-561.16</v>
      </c>
    </row>
    <row r="20" ht="15.75" customHeight="1">
      <c r="C20" s="47">
        <v>12.0</v>
      </c>
      <c r="D20" s="47" t="s">
        <v>40</v>
      </c>
      <c r="E20" s="55">
        <v>7900.0</v>
      </c>
      <c r="F20" s="230">
        <v>5569.15</v>
      </c>
      <c r="G20" s="51">
        <f t="shared" si="1"/>
        <v>-2330.85</v>
      </c>
      <c r="I20" s="47">
        <v>12.0</v>
      </c>
      <c r="J20" s="47" t="s">
        <v>40</v>
      </c>
      <c r="K20" s="59">
        <v>7800.0</v>
      </c>
      <c r="L20" s="229">
        <v>3860.73</v>
      </c>
      <c r="M20" s="51">
        <f t="shared" si="2"/>
        <v>-3939.27</v>
      </c>
      <c r="T20" s="70"/>
      <c r="U20" s="71" t="s">
        <v>52</v>
      </c>
      <c r="V20" s="72"/>
      <c r="W20" s="73" t="s">
        <v>53</v>
      </c>
    </row>
    <row r="21" ht="15.75" customHeight="1">
      <c r="C21" s="47">
        <v>13.0</v>
      </c>
      <c r="D21" s="47" t="s">
        <v>47</v>
      </c>
      <c r="E21" s="55">
        <v>5700.0</v>
      </c>
      <c r="F21" s="230">
        <v>4071.25</v>
      </c>
      <c r="G21" s="51">
        <f t="shared" si="1"/>
        <v>-1628.75</v>
      </c>
      <c r="I21" s="47">
        <v>13.0</v>
      </c>
      <c r="J21" s="47" t="s">
        <v>47</v>
      </c>
      <c r="K21" s="59">
        <v>5000.0</v>
      </c>
      <c r="L21" s="229">
        <v>3159.22</v>
      </c>
      <c r="M21" s="51">
        <f t="shared" si="2"/>
        <v>-1840.78</v>
      </c>
      <c r="T21" s="74" t="s">
        <v>29</v>
      </c>
      <c r="U21" s="75">
        <v>285000.0</v>
      </c>
      <c r="V21" s="2" t="s">
        <v>29</v>
      </c>
      <c r="W21" s="76">
        <v>275000.0</v>
      </c>
    </row>
    <row r="22" ht="15.75" customHeight="1">
      <c r="C22" s="47">
        <v>14.0</v>
      </c>
      <c r="D22" s="47" t="s">
        <v>48</v>
      </c>
      <c r="E22" s="55">
        <v>11000.0</v>
      </c>
      <c r="F22" s="230">
        <f>11825.8-165</f>
        <v>11660.8</v>
      </c>
      <c r="G22" s="51">
        <f t="shared" si="1"/>
        <v>660.8</v>
      </c>
      <c r="I22" s="47">
        <v>14.0</v>
      </c>
      <c r="J22" s="47" t="s">
        <v>48</v>
      </c>
      <c r="K22" s="59">
        <v>10000.0</v>
      </c>
      <c r="L22" s="229">
        <v>9617.44</v>
      </c>
      <c r="M22" s="51">
        <f t="shared" si="2"/>
        <v>-382.56</v>
      </c>
      <c r="T22" s="74"/>
      <c r="U22" s="2"/>
      <c r="V22" s="2"/>
      <c r="W22" s="77"/>
    </row>
    <row r="23" ht="15.75" customHeight="1">
      <c r="C23" s="47">
        <v>15.0</v>
      </c>
      <c r="D23" s="47" t="s">
        <v>41</v>
      </c>
      <c r="E23" s="55">
        <v>17000.0</v>
      </c>
      <c r="F23" s="230">
        <v>13379.0</v>
      </c>
      <c r="G23" s="51">
        <f t="shared" si="1"/>
        <v>-3621</v>
      </c>
      <c r="I23" s="47">
        <v>15.0</v>
      </c>
      <c r="J23" s="47" t="s">
        <v>41</v>
      </c>
      <c r="K23" s="59">
        <v>16000.0</v>
      </c>
      <c r="L23" s="229">
        <v>12759.28</v>
      </c>
      <c r="M23" s="51">
        <f t="shared" si="2"/>
        <v>-3240.72</v>
      </c>
      <c r="T23" s="74" t="s">
        <v>58</v>
      </c>
      <c r="U23" s="75">
        <f>SUM(F9:F15)</f>
        <v>59830.05</v>
      </c>
      <c r="V23" s="58" t="s">
        <v>58</v>
      </c>
      <c r="W23" s="76">
        <f>SUM(L9:L15)</f>
        <v>62468.09</v>
      </c>
    </row>
    <row r="24" ht="15.75" customHeight="1">
      <c r="C24" s="47">
        <v>16.0</v>
      </c>
      <c r="D24" s="47" t="s">
        <v>44</v>
      </c>
      <c r="E24" s="55">
        <v>21500.0</v>
      </c>
      <c r="F24" s="230">
        <v>18457.63</v>
      </c>
      <c r="G24" s="51">
        <f t="shared" si="1"/>
        <v>-3042.37</v>
      </c>
      <c r="I24" s="47">
        <v>16.0</v>
      </c>
      <c r="J24" s="47" t="s">
        <v>44</v>
      </c>
      <c r="K24" s="59">
        <v>21000.0</v>
      </c>
      <c r="L24" s="229">
        <f>18643.87-93.16</f>
        <v>18550.71</v>
      </c>
      <c r="M24" s="51">
        <f t="shared" si="2"/>
        <v>-2449.29</v>
      </c>
      <c r="T24" s="74"/>
      <c r="U24" s="79">
        <f>U23/U21</f>
        <v>0.20993</v>
      </c>
      <c r="W24" s="80">
        <f>W23/W21</f>
        <v>0.2271566909</v>
      </c>
      <c r="X24" s="66"/>
    </row>
    <row r="25" ht="15.75" customHeight="1">
      <c r="C25" s="47">
        <v>17.0</v>
      </c>
      <c r="D25" s="47" t="s">
        <v>45</v>
      </c>
      <c r="E25" s="55">
        <v>3300.0</v>
      </c>
      <c r="F25" s="230">
        <v>4651.05</v>
      </c>
      <c r="G25" s="51">
        <f t="shared" si="1"/>
        <v>1351.05</v>
      </c>
      <c r="I25" s="47">
        <v>17.0</v>
      </c>
      <c r="J25" s="47" t="s">
        <v>45</v>
      </c>
      <c r="K25" s="59">
        <v>3500.0</v>
      </c>
      <c r="L25" s="229">
        <f>4136.43-9</f>
        <v>4127.43</v>
      </c>
      <c r="M25" s="51">
        <f t="shared" si="2"/>
        <v>627.43</v>
      </c>
      <c r="T25" s="74"/>
      <c r="U25" s="81"/>
      <c r="W25" s="77"/>
    </row>
    <row r="26" ht="15.75" customHeight="1">
      <c r="C26" s="47">
        <v>18.0</v>
      </c>
      <c r="D26" s="47" t="s">
        <v>46</v>
      </c>
      <c r="E26" s="55">
        <v>4900.0</v>
      </c>
      <c r="F26" s="230">
        <v>2526.5</v>
      </c>
      <c r="G26" s="51">
        <f t="shared" si="1"/>
        <v>-2373.5</v>
      </c>
      <c r="I26" s="47">
        <v>18.0</v>
      </c>
      <c r="J26" s="47" t="s">
        <v>46</v>
      </c>
      <c r="K26" s="59">
        <v>5500.0</v>
      </c>
      <c r="L26" s="229">
        <v>4507.889999999999</v>
      </c>
      <c r="M26" s="51">
        <f t="shared" si="2"/>
        <v>-992.11</v>
      </c>
      <c r="T26" s="74" t="s">
        <v>62</v>
      </c>
      <c r="U26" s="75">
        <f>SUM(F16:F22)</f>
        <v>60512.1</v>
      </c>
      <c r="V26" s="58" t="s">
        <v>62</v>
      </c>
      <c r="W26" s="76">
        <f>SUM(L16:L22)</f>
        <v>63406.48</v>
      </c>
    </row>
    <row r="27" ht="15.75" customHeight="1">
      <c r="C27" s="47">
        <v>19.0</v>
      </c>
      <c r="D27" s="47" t="s">
        <v>40</v>
      </c>
      <c r="E27" s="55">
        <v>7700.0</v>
      </c>
      <c r="F27" s="230">
        <v>11729.85</v>
      </c>
      <c r="G27" s="51">
        <f t="shared" si="1"/>
        <v>4029.85</v>
      </c>
      <c r="I27" s="47">
        <v>19.0</v>
      </c>
      <c r="J27" s="47" t="s">
        <v>40</v>
      </c>
      <c r="K27" s="59">
        <v>7600.0</v>
      </c>
      <c r="L27" s="229">
        <v>3424.7299999999996</v>
      </c>
      <c r="M27" s="51">
        <f t="shared" si="2"/>
        <v>-4175.27</v>
      </c>
      <c r="T27" s="74"/>
      <c r="U27" s="79">
        <f>U26/U21</f>
        <v>0.2123231579</v>
      </c>
      <c r="W27" s="80">
        <f>W26/W21</f>
        <v>0.2305690182</v>
      </c>
    </row>
    <row r="28" ht="15.75" customHeight="1">
      <c r="C28" s="47">
        <v>20.0</v>
      </c>
      <c r="D28" s="47" t="s">
        <v>47</v>
      </c>
      <c r="E28" s="55">
        <v>5700.0</v>
      </c>
      <c r="F28" s="230">
        <v>9548.72</v>
      </c>
      <c r="G28" s="51">
        <f t="shared" si="1"/>
        <v>3848.72</v>
      </c>
      <c r="I28" s="47">
        <v>20.0</v>
      </c>
      <c r="J28" s="47" t="s">
        <v>47</v>
      </c>
      <c r="K28" s="59">
        <v>5000.0</v>
      </c>
      <c r="L28" s="229">
        <v>5282.9</v>
      </c>
      <c r="M28" s="51">
        <f t="shared" si="2"/>
        <v>282.9</v>
      </c>
      <c r="T28" s="74"/>
      <c r="U28" s="81"/>
      <c r="W28" s="77"/>
    </row>
    <row r="29" ht="15.75" customHeight="1">
      <c r="C29" s="47">
        <v>21.0</v>
      </c>
      <c r="D29" s="47" t="s">
        <v>48</v>
      </c>
      <c r="E29" s="55">
        <v>11000.0</v>
      </c>
      <c r="F29" s="230">
        <f>15853.74-150</f>
        <v>15703.74</v>
      </c>
      <c r="G29" s="51">
        <f t="shared" si="1"/>
        <v>4703.74</v>
      </c>
      <c r="I29" s="47">
        <v>21.0</v>
      </c>
      <c r="J29" s="47" t="s">
        <v>48</v>
      </c>
      <c r="K29" s="59">
        <v>10000.0</v>
      </c>
      <c r="L29" s="229">
        <f>10602.04+541.98-20</f>
        <v>11124.02</v>
      </c>
      <c r="M29" s="51">
        <f t="shared" si="2"/>
        <v>1124.02</v>
      </c>
      <c r="T29" s="74" t="s">
        <v>63</v>
      </c>
      <c r="U29" s="75">
        <f>SUM(F23:F29)</f>
        <v>75996.49</v>
      </c>
      <c r="V29" s="58" t="s">
        <v>63</v>
      </c>
      <c r="W29" s="76">
        <f>SUM(L23:L29)</f>
        <v>59776.96</v>
      </c>
    </row>
    <row r="30" ht="15.75" customHeight="1">
      <c r="C30" s="47">
        <v>22.0</v>
      </c>
      <c r="D30" s="47" t="s">
        <v>41</v>
      </c>
      <c r="E30" s="55">
        <v>17000.0</v>
      </c>
      <c r="F30" s="230">
        <v>17164.88</v>
      </c>
      <c r="G30" s="51">
        <f t="shared" si="1"/>
        <v>164.88</v>
      </c>
      <c r="I30" s="47">
        <v>22.0</v>
      </c>
      <c r="J30" s="47" t="s">
        <v>41</v>
      </c>
      <c r="K30" s="59">
        <v>16000.0</v>
      </c>
      <c r="L30" s="229">
        <v>14005.759999999998</v>
      </c>
      <c r="M30" s="51">
        <f t="shared" si="2"/>
        <v>-1994.24</v>
      </c>
      <c r="T30" s="74"/>
      <c r="U30" s="79">
        <f>U29/U21</f>
        <v>0.2666543509</v>
      </c>
      <c r="W30" s="80">
        <f>W29/W21</f>
        <v>0.2173707636</v>
      </c>
    </row>
    <row r="31" ht="15.75" customHeight="1">
      <c r="C31" s="47">
        <v>23.0</v>
      </c>
      <c r="D31" s="47" t="s">
        <v>44</v>
      </c>
      <c r="E31" s="55">
        <v>21500.0</v>
      </c>
      <c r="F31" s="228">
        <f>11102.75-105</f>
        <v>10997.75</v>
      </c>
      <c r="G31" s="51">
        <f t="shared" si="1"/>
        <v>-10502.25</v>
      </c>
      <c r="I31" s="47">
        <v>23.0</v>
      </c>
      <c r="J31" s="47" t="s">
        <v>44</v>
      </c>
      <c r="K31" s="59">
        <v>21000.0</v>
      </c>
      <c r="L31" s="229">
        <f>23612.76+105</f>
        <v>23717.76</v>
      </c>
      <c r="M31" s="51">
        <f t="shared" si="2"/>
        <v>2717.76</v>
      </c>
      <c r="T31" s="74"/>
      <c r="W31" s="82"/>
    </row>
    <row r="32" ht="15.75" customHeight="1">
      <c r="C32" s="47">
        <v>24.0</v>
      </c>
      <c r="D32" s="47" t="s">
        <v>45</v>
      </c>
      <c r="E32" s="55">
        <v>3300.0</v>
      </c>
      <c r="F32" s="230">
        <v>1879.75</v>
      </c>
      <c r="G32" s="51">
        <f t="shared" si="1"/>
        <v>-1420.25</v>
      </c>
      <c r="I32" s="47">
        <v>24.0</v>
      </c>
      <c r="J32" s="47" t="s">
        <v>45</v>
      </c>
      <c r="K32" s="59">
        <v>3500.0</v>
      </c>
      <c r="L32" s="229">
        <v>3058.47</v>
      </c>
      <c r="M32" s="51">
        <f t="shared" si="2"/>
        <v>-441.53</v>
      </c>
      <c r="T32" s="74" t="s">
        <v>64</v>
      </c>
      <c r="U32" s="61">
        <f>SUM(F30:F36)</f>
        <v>52186.51</v>
      </c>
      <c r="V32" s="58" t="s">
        <v>64</v>
      </c>
      <c r="W32" s="83">
        <f>SUM(L30:L36)</f>
        <v>65516.39</v>
      </c>
    </row>
    <row r="33" ht="15.75" customHeight="1">
      <c r="C33" s="47">
        <v>25.0</v>
      </c>
      <c r="D33" s="47" t="s">
        <v>46</v>
      </c>
      <c r="E33" s="55">
        <v>4900.0</v>
      </c>
      <c r="F33" s="59">
        <f>5215.75</f>
        <v>5215.75</v>
      </c>
      <c r="G33" s="51">
        <f t="shared" si="1"/>
        <v>315.75</v>
      </c>
      <c r="H33" s="58">
        <v>61.0</v>
      </c>
      <c r="I33" s="47">
        <v>25.0</v>
      </c>
      <c r="J33" s="47" t="s">
        <v>46</v>
      </c>
      <c r="K33" s="59">
        <v>5500.0</v>
      </c>
      <c r="L33" s="59">
        <f>2707.55</f>
        <v>2707.55</v>
      </c>
      <c r="M33" s="51">
        <f t="shared" si="2"/>
        <v>-2792.45</v>
      </c>
      <c r="T33" s="74"/>
      <c r="U33" s="79">
        <f>U32/U21</f>
        <v>0.1831105614</v>
      </c>
      <c r="W33" s="80">
        <f>W32/W21</f>
        <v>0.2382414182</v>
      </c>
    </row>
    <row r="34" ht="15.75" customHeight="1">
      <c r="C34" s="47">
        <v>26.0</v>
      </c>
      <c r="D34" s="47" t="s">
        <v>40</v>
      </c>
      <c r="E34" s="55">
        <v>7900.0</v>
      </c>
      <c r="F34" s="59">
        <f>3754.25</f>
        <v>3754.25</v>
      </c>
      <c r="G34" s="51">
        <f t="shared" si="1"/>
        <v>-4145.75</v>
      </c>
      <c r="I34" s="47">
        <v>26.0</v>
      </c>
      <c r="J34" s="47" t="s">
        <v>40</v>
      </c>
      <c r="K34" s="59">
        <v>7800.0</v>
      </c>
      <c r="L34" s="59">
        <f>4179.08+60.95</f>
        <v>4240.03</v>
      </c>
      <c r="M34" s="51">
        <f t="shared" si="2"/>
        <v>-3559.97</v>
      </c>
      <c r="T34" s="74" t="s">
        <v>65</v>
      </c>
      <c r="U34" s="61">
        <f>SUM(H40:H42)</f>
        <v>0</v>
      </c>
      <c r="V34" s="58" t="s">
        <v>65</v>
      </c>
      <c r="W34" s="83">
        <f>SUM(N40:N42)</f>
        <v>0</v>
      </c>
    </row>
    <row r="35" ht="15.75" customHeight="1">
      <c r="C35" s="47">
        <v>27.0</v>
      </c>
      <c r="D35" s="47" t="s">
        <v>47</v>
      </c>
      <c r="E35" s="55">
        <v>5700.0</v>
      </c>
      <c r="F35" s="59">
        <f>3639.7</f>
        <v>3639.7</v>
      </c>
      <c r="G35" s="51">
        <f t="shared" si="1"/>
        <v>-2060.3</v>
      </c>
      <c r="I35" s="47">
        <v>27.0</v>
      </c>
      <c r="J35" s="47" t="s">
        <v>47</v>
      </c>
      <c r="K35" s="59">
        <v>5000.0</v>
      </c>
      <c r="L35" s="59">
        <f>7173.07+70.92</f>
        <v>7243.99</v>
      </c>
      <c r="M35" s="51">
        <f t="shared" si="2"/>
        <v>2243.99</v>
      </c>
      <c r="T35" s="84" t="s">
        <v>180</v>
      </c>
      <c r="U35" s="85">
        <f>U34/U21</f>
        <v>0</v>
      </c>
      <c r="V35" s="84" t="s">
        <v>180</v>
      </c>
      <c r="W35" s="87">
        <f>W34/W21</f>
        <v>0</v>
      </c>
    </row>
    <row r="36" ht="15.75" customHeight="1">
      <c r="C36" s="47">
        <v>28.0</v>
      </c>
      <c r="D36" s="47" t="s">
        <v>48</v>
      </c>
      <c r="E36" s="55">
        <v>11000.0</v>
      </c>
      <c r="F36" s="59">
        <f>9659.43-125</f>
        <v>9534.43</v>
      </c>
      <c r="G36" s="51">
        <f t="shared" si="1"/>
        <v>-1465.57</v>
      </c>
      <c r="I36" s="47">
        <v>28.0</v>
      </c>
      <c r="J36" s="47" t="s">
        <v>48</v>
      </c>
      <c r="K36" s="59">
        <v>10000.0</v>
      </c>
      <c r="L36" s="59">
        <f>10542.83</f>
        <v>10542.83</v>
      </c>
      <c r="M36" s="51">
        <f t="shared" si="2"/>
        <v>542.83</v>
      </c>
    </row>
    <row r="37" ht="15.75" customHeight="1">
      <c r="C37" s="47"/>
      <c r="D37" s="47"/>
      <c r="E37" s="55"/>
      <c r="F37" s="59"/>
      <c r="G37" s="51"/>
      <c r="I37" s="47"/>
      <c r="J37" s="47"/>
      <c r="K37" s="55"/>
      <c r="L37" s="55"/>
      <c r="M37" s="51"/>
      <c r="S37" s="179" t="s">
        <v>72</v>
      </c>
      <c r="T37" s="93" t="s">
        <v>73</v>
      </c>
      <c r="U37" s="94">
        <f>U23+U26+U29+U32+U34-490</f>
        <v>248035.15</v>
      </c>
      <c r="V37" s="164" t="s">
        <v>74</v>
      </c>
      <c r="W37" s="96">
        <f>W23+W26+W29+W32+W34-46</f>
        <v>251121.92</v>
      </c>
      <c r="X37" s="179" t="s">
        <v>72</v>
      </c>
    </row>
    <row r="38" ht="15.75" customHeight="1">
      <c r="C38" s="47"/>
      <c r="D38" s="47"/>
      <c r="E38" s="55"/>
      <c r="F38" s="59"/>
      <c r="G38" s="51"/>
      <c r="I38" s="47"/>
      <c r="J38" s="47"/>
      <c r="K38" s="55"/>
      <c r="L38" s="55"/>
      <c r="M38" s="51"/>
      <c r="S38" s="180">
        <f>U38-V38</f>
        <v>-0.1297012281</v>
      </c>
      <c r="T38" s="98"/>
      <c r="U38" s="99">
        <f>U37/U21</f>
        <v>0.8702987719</v>
      </c>
      <c r="V38" s="181">
        <f>28/28</f>
        <v>1</v>
      </c>
      <c r="W38" s="100">
        <f>W37/W21</f>
        <v>0.9131706182</v>
      </c>
      <c r="X38" s="180">
        <f>W38-V38</f>
        <v>-0.08682938182</v>
      </c>
    </row>
    <row r="39" ht="15.75" customHeight="1">
      <c r="C39" s="47"/>
      <c r="D39" s="47"/>
      <c r="E39" s="55"/>
      <c r="F39" s="59"/>
      <c r="G39" s="51">
        <f>F39-E39</f>
        <v>0</v>
      </c>
      <c r="I39" s="47"/>
      <c r="J39" s="47"/>
      <c r="K39" s="55"/>
      <c r="L39" s="55"/>
      <c r="M39" s="51"/>
      <c r="T39" s="98" t="s">
        <v>76</v>
      </c>
      <c r="U39" s="104">
        <f>U21-U37</f>
        <v>36964.85</v>
      </c>
      <c r="V39" s="99"/>
      <c r="W39" s="106">
        <f>W21-W37</f>
        <v>23878.08</v>
      </c>
    </row>
    <row r="40" ht="15.75" customHeight="1">
      <c r="C40" s="8"/>
      <c r="D40" s="8"/>
      <c r="E40" s="107">
        <f t="shared" ref="E40:G40" si="4">SUM(E9:E39)</f>
        <v>285000</v>
      </c>
      <c r="F40" s="107">
        <f t="shared" si="4"/>
        <v>248525.15</v>
      </c>
      <c r="G40" s="105">
        <f t="shared" si="4"/>
        <v>-36474.85</v>
      </c>
      <c r="I40" s="8"/>
      <c r="J40" s="8"/>
      <c r="K40" s="107">
        <f t="shared" ref="K40:M40" si="5">SUM(K9:K39)</f>
        <v>275000</v>
      </c>
      <c r="L40" s="107">
        <f t="shared" si="5"/>
        <v>251167.92</v>
      </c>
      <c r="M40" s="105">
        <f t="shared" si="5"/>
        <v>-23832.08</v>
      </c>
      <c r="T40" s="110"/>
      <c r="U40" s="112">
        <f>U39/U21</f>
        <v>0.1297012281</v>
      </c>
      <c r="V40" s="112"/>
      <c r="W40" s="113">
        <f>W39/W21</f>
        <v>0.08682938182</v>
      </c>
    </row>
    <row r="41" ht="15.75" customHeight="1">
      <c r="D41" s="61">
        <f>D44-E40</f>
        <v>0</v>
      </c>
      <c r="F41" s="114">
        <f>F40/D44</f>
        <v>0.8720180702</v>
      </c>
      <c r="G41" s="1"/>
      <c r="I41" s="1"/>
      <c r="J41" s="1"/>
      <c r="K41" s="1"/>
      <c r="L41" s="114">
        <f>L40/J44</f>
        <v>0.9133378909</v>
      </c>
      <c r="M41" s="1"/>
    </row>
    <row r="42" ht="15.75" customHeight="1">
      <c r="C42" s="2"/>
      <c r="D42" s="2"/>
      <c r="E42" s="2"/>
      <c r="F42" s="2"/>
      <c r="J42" s="61"/>
      <c r="K42" s="2"/>
      <c r="L42" s="2"/>
    </row>
    <row r="43" ht="15.75" customHeight="1">
      <c r="C43" s="2"/>
      <c r="D43" s="2"/>
      <c r="E43" s="115" t="s">
        <v>77</v>
      </c>
      <c r="F43" s="118">
        <f>E40+G40</f>
        <v>248525.15</v>
      </c>
      <c r="K43" s="115" t="s">
        <v>77</v>
      </c>
      <c r="L43" s="118">
        <f>K40+M40</f>
        <v>251167.92</v>
      </c>
    </row>
    <row r="44" ht="15.75" customHeight="1">
      <c r="C44" s="122" t="s">
        <v>29</v>
      </c>
      <c r="D44" s="124">
        <v>285000.0</v>
      </c>
      <c r="E44" s="2"/>
      <c r="F44" s="2"/>
      <c r="I44" s="126" t="s">
        <v>29</v>
      </c>
      <c r="J44" s="124">
        <v>275000.0</v>
      </c>
      <c r="K44" s="2"/>
      <c r="L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4:G6"/>
    <mergeCell ref="I4:M6"/>
    <mergeCell ref="C7:G7"/>
    <mergeCell ref="I7:M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9.44"/>
    <col customWidth="1" min="5" max="6" width="18.44"/>
    <col customWidth="1" min="7" max="7" width="11.44"/>
    <col customWidth="1" min="8" max="8" width="10.56"/>
    <col customWidth="1" min="9" max="9" width="11.11"/>
    <col customWidth="1" min="10" max="10" width="19.44"/>
    <col customWidth="1" min="11" max="12" width="18.67"/>
    <col customWidth="1" min="13" max="13" width="11.44"/>
    <col customWidth="1" min="14" max="16" width="10.56"/>
    <col customWidth="1" min="17" max="18" width="16.44"/>
    <col customWidth="1" min="19" max="19" width="15.11"/>
    <col customWidth="1" min="20" max="20" width="14.0"/>
    <col customWidth="1" min="21" max="21" width="10.56"/>
    <col customWidth="1" min="22" max="22" width="15.11"/>
    <col customWidth="1" min="23" max="23" width="16.33"/>
    <col customWidth="1" min="24" max="24" width="15.33"/>
    <col customWidth="1" min="25" max="25" width="7.78"/>
    <col customWidth="1" hidden="1" min="26" max="26" width="10.78"/>
    <col customWidth="1" min="27" max="27" width="15.33"/>
    <col customWidth="1" min="28" max="28" width="17.11"/>
    <col customWidth="1" min="29" max="29" width="23.78"/>
    <col customWidth="1" min="30" max="30" width="10.56"/>
    <col customWidth="1" min="31" max="31" width="13.0"/>
    <col customWidth="1" min="32" max="32" width="16.78"/>
    <col customWidth="1" min="33" max="33" width="21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  <c r="O3" s="15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AG5" s="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Z6" s="1"/>
      <c r="AA6" s="1"/>
      <c r="AB6" s="1"/>
      <c r="AC6" s="1"/>
      <c r="AD6" s="1"/>
      <c r="AE6" s="1"/>
      <c r="AF6" s="1"/>
      <c r="AG6" s="8"/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Q7" s="1"/>
      <c r="R7" s="3"/>
      <c r="S7" s="3"/>
      <c r="U7" s="1"/>
      <c r="V7" s="3"/>
      <c r="Z7" s="1"/>
      <c r="AA7" s="137" t="s">
        <v>172</v>
      </c>
      <c r="AB7" s="41"/>
      <c r="AC7" s="6"/>
      <c r="AE7" s="137" t="s">
        <v>173</v>
      </c>
      <c r="AF7" s="41"/>
      <c r="AG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1"/>
      <c r="R8" s="1"/>
      <c r="S8" s="3"/>
      <c r="T8" s="3"/>
      <c r="Z8" s="1"/>
      <c r="AA8" s="44" t="s">
        <v>32</v>
      </c>
      <c r="AB8" s="44" t="s">
        <v>33</v>
      </c>
      <c r="AC8" s="138" t="s">
        <v>174</v>
      </c>
      <c r="AE8" s="44" t="s">
        <v>32</v>
      </c>
      <c r="AF8" s="44" t="s">
        <v>33</v>
      </c>
      <c r="AG8" s="138" t="s">
        <v>175</v>
      </c>
    </row>
    <row r="9" ht="15.75" customHeight="1">
      <c r="C9" s="47">
        <v>1.0</v>
      </c>
      <c r="D9" s="47" t="s">
        <v>41</v>
      </c>
      <c r="E9" s="55">
        <v>17000.0</v>
      </c>
      <c r="F9" s="228">
        <f>16584.9-227</f>
        <v>16357.9</v>
      </c>
      <c r="G9" s="51">
        <f t="shared" ref="G9:G36" si="1">F9-E9</f>
        <v>-642.1</v>
      </c>
      <c r="I9" s="47">
        <v>1.0</v>
      </c>
      <c r="J9" s="47" t="s">
        <v>41</v>
      </c>
      <c r="K9" s="59">
        <v>16000.0</v>
      </c>
      <c r="L9" s="229">
        <f>13653.88+227-9</f>
        <v>13871.88</v>
      </c>
      <c r="M9" s="51">
        <f t="shared" ref="M9:M36" si="2">L9-K9</f>
        <v>-2128.12</v>
      </c>
      <c r="Q9" s="139" t="s">
        <v>89</v>
      </c>
      <c r="R9" s="41"/>
      <c r="S9" s="41"/>
      <c r="T9" s="6"/>
      <c r="V9" s="139" t="s">
        <v>1</v>
      </c>
      <c r="W9" s="41"/>
      <c r="X9" s="6"/>
      <c r="Z9" s="1"/>
      <c r="AA9" s="47">
        <v>1.0</v>
      </c>
      <c r="AB9" s="47" t="s">
        <v>41</v>
      </c>
      <c r="AC9" s="177">
        <f>15327.58</f>
        <v>15327.58</v>
      </c>
      <c r="AE9" s="47">
        <v>1.0</v>
      </c>
      <c r="AF9" s="47" t="s">
        <v>41</v>
      </c>
      <c r="AG9" s="177">
        <f>13652.55</f>
        <v>13652.55</v>
      </c>
    </row>
    <row r="10" ht="15.75" customHeight="1">
      <c r="C10" s="47">
        <v>2.0</v>
      </c>
      <c r="D10" s="47" t="s">
        <v>44</v>
      </c>
      <c r="E10" s="55">
        <v>21500.0</v>
      </c>
      <c r="F10" s="230">
        <v>13382.7</v>
      </c>
      <c r="G10" s="51">
        <f t="shared" si="1"/>
        <v>-8117.3</v>
      </c>
      <c r="I10" s="47">
        <v>2.0</v>
      </c>
      <c r="J10" s="47" t="s">
        <v>44</v>
      </c>
      <c r="K10" s="59">
        <v>21000.0</v>
      </c>
      <c r="L10" s="229">
        <v>19456.620000000003</v>
      </c>
      <c r="M10" s="51">
        <f t="shared" si="2"/>
        <v>-1543.38</v>
      </c>
      <c r="Q10" s="140"/>
      <c r="R10" s="141">
        <v>45323.0</v>
      </c>
      <c r="S10" s="141">
        <v>45352.0</v>
      </c>
      <c r="T10" s="142" t="s">
        <v>90</v>
      </c>
      <c r="V10" s="140"/>
      <c r="W10" s="141">
        <v>45689.0</v>
      </c>
      <c r="X10" s="141" t="s">
        <v>179</v>
      </c>
      <c r="Z10" s="1"/>
      <c r="AA10" s="47">
        <v>2.0</v>
      </c>
      <c r="AB10" s="47" t="s">
        <v>44</v>
      </c>
      <c r="AC10" s="177">
        <f>23056.7-700</f>
        <v>22356.7</v>
      </c>
      <c r="AE10" s="47">
        <v>2.0</v>
      </c>
      <c r="AF10" s="47" t="s">
        <v>44</v>
      </c>
      <c r="AG10" s="177">
        <f>21818.06+700</f>
        <v>22518.06</v>
      </c>
    </row>
    <row r="11" ht="15.75" customHeight="1">
      <c r="C11" s="47">
        <v>3.0</v>
      </c>
      <c r="D11" s="47" t="s">
        <v>45</v>
      </c>
      <c r="E11" s="55">
        <v>3300.0</v>
      </c>
      <c r="F11" s="230">
        <v>3689.45</v>
      </c>
      <c r="G11" s="51">
        <f t="shared" si="1"/>
        <v>389.45</v>
      </c>
      <c r="I11" s="47">
        <v>3.0</v>
      </c>
      <c r="J11" s="47" t="s">
        <v>45</v>
      </c>
      <c r="K11" s="59">
        <v>3500.0</v>
      </c>
      <c r="L11" s="229">
        <v>3020.04</v>
      </c>
      <c r="M11" s="51">
        <f t="shared" si="2"/>
        <v>-479.96</v>
      </c>
      <c r="Q11" s="140" t="s">
        <v>6</v>
      </c>
      <c r="R11" s="55">
        <v>4638.64</v>
      </c>
      <c r="S11" s="55">
        <f>2839.49</f>
        <v>2839.49</v>
      </c>
      <c r="T11" s="143">
        <f t="shared" ref="T11:T17" si="3">S11/R11-1</f>
        <v>-0.3878615284</v>
      </c>
      <c r="V11" s="140" t="s">
        <v>6</v>
      </c>
      <c r="W11" s="55">
        <v>3652.4075000000003</v>
      </c>
      <c r="X11" s="144">
        <f t="shared" ref="X11:X17" si="4">W11*T11+W11</f>
        <v>2235.779145</v>
      </c>
      <c r="Z11" s="1"/>
      <c r="AA11" s="47">
        <v>3.0</v>
      </c>
      <c r="AB11" s="47" t="s">
        <v>45</v>
      </c>
      <c r="AC11" s="177">
        <f>8172.9</f>
        <v>8172.9</v>
      </c>
      <c r="AE11" s="47">
        <v>3.0</v>
      </c>
      <c r="AF11" s="47" t="s">
        <v>45</v>
      </c>
      <c r="AG11" s="177">
        <f>11415.27</f>
        <v>11415.27</v>
      </c>
    </row>
    <row r="12" ht="15.75" customHeight="1">
      <c r="C12" s="47">
        <v>4.0</v>
      </c>
      <c r="D12" s="47" t="s">
        <v>46</v>
      </c>
      <c r="E12" s="55">
        <v>4900.0</v>
      </c>
      <c r="F12" s="230">
        <v>3909.75</v>
      </c>
      <c r="G12" s="51">
        <f t="shared" si="1"/>
        <v>-990.25</v>
      </c>
      <c r="I12" s="47">
        <v>4.0</v>
      </c>
      <c r="J12" s="47" t="s">
        <v>46</v>
      </c>
      <c r="K12" s="59">
        <v>5500.0</v>
      </c>
      <c r="L12" s="229">
        <v>4395.98</v>
      </c>
      <c r="M12" s="51">
        <f t="shared" si="2"/>
        <v>-1104.02</v>
      </c>
      <c r="Q12" s="140" t="s">
        <v>10</v>
      </c>
      <c r="R12" s="55">
        <v>5340.88</v>
      </c>
      <c r="S12" s="55">
        <f>3511.54</f>
        <v>3511.54</v>
      </c>
      <c r="T12" s="143">
        <f t="shared" si="3"/>
        <v>-0.342516589</v>
      </c>
      <c r="V12" s="140" t="s">
        <v>10</v>
      </c>
      <c r="W12" s="55">
        <v>3437.8125</v>
      </c>
      <c r="X12" s="144">
        <f t="shared" si="4"/>
        <v>2260.304689</v>
      </c>
      <c r="Z12" s="1"/>
      <c r="AA12" s="47">
        <v>4.0</v>
      </c>
      <c r="AB12" s="47" t="s">
        <v>46</v>
      </c>
      <c r="AC12" s="177">
        <f>7505.88</f>
        <v>7505.88</v>
      </c>
      <c r="AE12" s="47">
        <v>4.0</v>
      </c>
      <c r="AF12" s="47" t="s">
        <v>46</v>
      </c>
      <c r="AG12" s="177">
        <f>14048.09</f>
        <v>14048.09</v>
      </c>
    </row>
    <row r="13" ht="15.75" customHeight="1">
      <c r="C13" s="47">
        <v>5.0</v>
      </c>
      <c r="D13" s="47" t="s">
        <v>40</v>
      </c>
      <c r="E13" s="55">
        <v>7900.0</v>
      </c>
      <c r="F13" s="230">
        <v>3198.05</v>
      </c>
      <c r="G13" s="51">
        <f t="shared" si="1"/>
        <v>-4701.95</v>
      </c>
      <c r="I13" s="47">
        <v>5.0</v>
      </c>
      <c r="J13" s="47" t="s">
        <v>40</v>
      </c>
      <c r="K13" s="59">
        <v>7800.0</v>
      </c>
      <c r="L13" s="229">
        <v>5148.889999999999</v>
      </c>
      <c r="M13" s="51">
        <f t="shared" si="2"/>
        <v>-2651.11</v>
      </c>
      <c r="Q13" s="140" t="s">
        <v>12</v>
      </c>
      <c r="R13" s="55">
        <v>5185.44</v>
      </c>
      <c r="S13" s="55">
        <f>4568.94</f>
        <v>4568.94</v>
      </c>
      <c r="T13" s="143">
        <f t="shared" si="3"/>
        <v>-0.1188905859</v>
      </c>
      <c r="V13" s="140" t="s">
        <v>12</v>
      </c>
      <c r="W13" s="55">
        <v>6062.825000000001</v>
      </c>
      <c r="X13" s="144">
        <f t="shared" si="4"/>
        <v>5342.012183</v>
      </c>
      <c r="Y13" s="61"/>
      <c r="Z13" s="1"/>
      <c r="AA13" s="47">
        <v>5.0</v>
      </c>
      <c r="AB13" s="47" t="s">
        <v>40</v>
      </c>
      <c r="AC13" s="55">
        <v>5342.01218324771</v>
      </c>
      <c r="AE13" s="47">
        <v>5.0</v>
      </c>
      <c r="AF13" s="47" t="s">
        <v>40</v>
      </c>
      <c r="AG13" s="55">
        <v>3712.35501532797</v>
      </c>
    </row>
    <row r="14" ht="15.75" customHeight="1">
      <c r="C14" s="47">
        <v>6.0</v>
      </c>
      <c r="D14" s="47" t="s">
        <v>47</v>
      </c>
      <c r="E14" s="55">
        <v>5700.0</v>
      </c>
      <c r="F14" s="230">
        <v>7520.75</v>
      </c>
      <c r="G14" s="51">
        <f t="shared" si="1"/>
        <v>1820.75</v>
      </c>
      <c r="I14" s="47">
        <v>6.0</v>
      </c>
      <c r="J14" s="47" t="s">
        <v>47</v>
      </c>
      <c r="K14" s="59">
        <v>5000.0</v>
      </c>
      <c r="L14" s="229">
        <f>5055.64-8</f>
        <v>5047.64</v>
      </c>
      <c r="M14" s="51">
        <f t="shared" si="2"/>
        <v>47.64</v>
      </c>
      <c r="Q14" s="140" t="s">
        <v>15</v>
      </c>
      <c r="R14" s="55">
        <v>4518.58</v>
      </c>
      <c r="S14" s="55">
        <f>6310.22</f>
        <v>6310.22</v>
      </c>
      <c r="T14" s="143">
        <f t="shared" si="3"/>
        <v>0.3965050967</v>
      </c>
      <c r="V14" s="140" t="s">
        <v>15</v>
      </c>
      <c r="W14" s="55">
        <v>6195.1050000000005</v>
      </c>
      <c r="X14" s="144">
        <f t="shared" si="4"/>
        <v>8651.495707</v>
      </c>
      <c r="Z14" s="1"/>
      <c r="AA14" s="47">
        <v>6.0</v>
      </c>
      <c r="AB14" s="47" t="s">
        <v>47</v>
      </c>
      <c r="AC14" s="55">
        <v>8651.495707301852</v>
      </c>
      <c r="AE14" s="47">
        <v>6.0</v>
      </c>
      <c r="AF14" s="47" t="s">
        <v>47</v>
      </c>
      <c r="AG14" s="55">
        <v>6345.940309650698</v>
      </c>
    </row>
    <row r="15" ht="15.75" customHeight="1">
      <c r="C15" s="47">
        <v>7.0</v>
      </c>
      <c r="D15" s="47" t="s">
        <v>48</v>
      </c>
      <c r="E15" s="55">
        <v>11000.0</v>
      </c>
      <c r="F15" s="230">
        <f>11946.45-175</f>
        <v>11771.45</v>
      </c>
      <c r="G15" s="51">
        <f t="shared" si="1"/>
        <v>771.45</v>
      </c>
      <c r="I15" s="47">
        <v>7.0</v>
      </c>
      <c r="J15" s="47" t="s">
        <v>48</v>
      </c>
      <c r="K15" s="59">
        <v>10000.0</v>
      </c>
      <c r="L15" s="229">
        <v>11527.039999999999</v>
      </c>
      <c r="M15" s="51">
        <f t="shared" si="2"/>
        <v>1527.04</v>
      </c>
      <c r="Q15" s="140" t="s">
        <v>17</v>
      </c>
      <c r="R15" s="55">
        <f>9904.93</f>
        <v>9904.93</v>
      </c>
      <c r="S15" s="55">
        <v>11480.67</v>
      </c>
      <c r="T15" s="143">
        <f t="shared" si="3"/>
        <v>0.1590864347</v>
      </c>
      <c r="V15" s="140" t="s">
        <v>17</v>
      </c>
      <c r="W15" s="55">
        <v>10387.4</v>
      </c>
      <c r="X15" s="144">
        <f t="shared" si="4"/>
        <v>12039.89443</v>
      </c>
      <c r="Z15" s="1"/>
      <c r="AA15" s="47">
        <v>7.0</v>
      </c>
      <c r="AB15" s="47" t="s">
        <v>48</v>
      </c>
      <c r="AC15" s="55">
        <v>11900.0</v>
      </c>
      <c r="AE15" s="47">
        <v>7.0</v>
      </c>
      <c r="AF15" s="47" t="s">
        <v>48</v>
      </c>
      <c r="AG15" s="55">
        <v>12500.0</v>
      </c>
    </row>
    <row r="16" ht="15.75" customHeight="1">
      <c r="C16" s="47">
        <v>8.0</v>
      </c>
      <c r="D16" s="47" t="s">
        <v>41</v>
      </c>
      <c r="E16" s="55">
        <v>17000.0</v>
      </c>
      <c r="F16" s="230">
        <v>18329.15</v>
      </c>
      <c r="G16" s="51">
        <f t="shared" si="1"/>
        <v>1329.15</v>
      </c>
      <c r="I16" s="47">
        <v>8.0</v>
      </c>
      <c r="J16" s="47" t="s">
        <v>41</v>
      </c>
      <c r="K16" s="59">
        <v>16000.0</v>
      </c>
      <c r="L16" s="229">
        <f>14797.45+139.93</f>
        <v>14937.38</v>
      </c>
      <c r="M16" s="51">
        <f t="shared" si="2"/>
        <v>-1062.62</v>
      </c>
      <c r="Q16" s="140" t="s">
        <v>19</v>
      </c>
      <c r="R16" s="55">
        <v>14612.86</v>
      </c>
      <c r="S16" s="55">
        <f>15582.85</f>
        <v>15582.85</v>
      </c>
      <c r="T16" s="143">
        <f t="shared" si="3"/>
        <v>0.06637920298</v>
      </c>
      <c r="V16" s="140" t="s">
        <v>19</v>
      </c>
      <c r="W16" s="55">
        <v>16307.732500000002</v>
      </c>
      <c r="X16" s="144">
        <f t="shared" si="4"/>
        <v>17390.22679</v>
      </c>
      <c r="Z16" s="1"/>
      <c r="AA16" s="47">
        <v>8.0</v>
      </c>
      <c r="AB16" s="47" t="s">
        <v>41</v>
      </c>
      <c r="AC16" s="55">
        <v>17000.0</v>
      </c>
      <c r="AE16" s="47">
        <v>8.0</v>
      </c>
      <c r="AF16" s="47" t="s">
        <v>41</v>
      </c>
      <c r="AG16" s="55">
        <v>15500.0</v>
      </c>
    </row>
    <row r="17" ht="15.75" customHeight="1">
      <c r="C17" s="47">
        <v>9.0</v>
      </c>
      <c r="D17" s="47" t="s">
        <v>44</v>
      </c>
      <c r="E17" s="55">
        <v>21500.0</v>
      </c>
      <c r="F17" s="230">
        <v>14393.12</v>
      </c>
      <c r="G17" s="51">
        <f t="shared" si="1"/>
        <v>-7106.88</v>
      </c>
      <c r="I17" s="47">
        <v>9.0</v>
      </c>
      <c r="J17" s="47" t="s">
        <v>44</v>
      </c>
      <c r="K17" s="59">
        <v>21000.0</v>
      </c>
      <c r="L17" s="229">
        <f>21729.1+119.5</f>
        <v>21848.6</v>
      </c>
      <c r="M17" s="51">
        <f t="shared" si="2"/>
        <v>848.6</v>
      </c>
      <c r="Q17" s="140" t="s">
        <v>20</v>
      </c>
      <c r="R17" s="55">
        <v>16971.28</v>
      </c>
      <c r="S17" s="55">
        <f>14781.68</f>
        <v>14781.68</v>
      </c>
      <c r="T17" s="145">
        <f t="shared" si="3"/>
        <v>-0.1290179645</v>
      </c>
      <c r="V17" s="140" t="s">
        <v>20</v>
      </c>
      <c r="W17" s="55">
        <v>14307.8</v>
      </c>
      <c r="X17" s="144">
        <f t="shared" si="4"/>
        <v>12461.83677</v>
      </c>
      <c r="Z17" s="1"/>
      <c r="AA17" s="47">
        <v>9.0</v>
      </c>
      <c r="AB17" s="47" t="s">
        <v>44</v>
      </c>
      <c r="AC17" s="55">
        <v>18000.0</v>
      </c>
      <c r="AE17" s="47">
        <v>9.0</v>
      </c>
      <c r="AF17" s="47" t="s">
        <v>44</v>
      </c>
      <c r="AG17" s="55">
        <v>20870.792238900805</v>
      </c>
    </row>
    <row r="18" ht="15.75" customHeight="1">
      <c r="C18" s="47">
        <v>10.0</v>
      </c>
      <c r="D18" s="47" t="s">
        <v>45</v>
      </c>
      <c r="E18" s="55">
        <v>3300.0</v>
      </c>
      <c r="F18" s="230">
        <v>4389.38</v>
      </c>
      <c r="G18" s="51">
        <f t="shared" si="1"/>
        <v>1089.38</v>
      </c>
      <c r="I18" s="47">
        <v>10.0</v>
      </c>
      <c r="J18" s="47" t="s">
        <v>45</v>
      </c>
      <c r="K18" s="59">
        <v>3500.0</v>
      </c>
      <c r="L18" s="229">
        <v>5044.27</v>
      </c>
      <c r="M18" s="51">
        <f t="shared" si="2"/>
        <v>1544.27</v>
      </c>
      <c r="Q18" s="1"/>
      <c r="R18" s="8"/>
      <c r="U18" s="1"/>
      <c r="V18" s="8"/>
      <c r="W18" s="8"/>
      <c r="AA18" s="47">
        <v>10.0</v>
      </c>
      <c r="AB18" s="47" t="s">
        <v>45</v>
      </c>
      <c r="AC18" s="55">
        <v>2235.7791447870495</v>
      </c>
      <c r="AE18" s="47">
        <v>10.0</v>
      </c>
      <c r="AF18" s="47" t="s">
        <v>45</v>
      </c>
      <c r="AG18" s="55">
        <v>3000.0</v>
      </c>
    </row>
    <row r="19" ht="15.75" customHeight="1">
      <c r="C19" s="47">
        <v>11.0</v>
      </c>
      <c r="D19" s="47" t="s">
        <v>46</v>
      </c>
      <c r="E19" s="55">
        <v>4900.0</v>
      </c>
      <c r="F19" s="230">
        <v>2099.25</v>
      </c>
      <c r="G19" s="51">
        <f t="shared" si="1"/>
        <v>-2800.75</v>
      </c>
      <c r="I19" s="47">
        <v>11.0</v>
      </c>
      <c r="J19" s="47" t="s">
        <v>46</v>
      </c>
      <c r="K19" s="59">
        <v>5500.0</v>
      </c>
      <c r="L19" s="229">
        <v>4938.84</v>
      </c>
      <c r="M19" s="51">
        <f t="shared" si="2"/>
        <v>-561.16</v>
      </c>
      <c r="Q19" s="139" t="s">
        <v>93</v>
      </c>
      <c r="R19" s="41"/>
      <c r="S19" s="41"/>
      <c r="T19" s="6"/>
      <c r="V19" s="139" t="s">
        <v>5</v>
      </c>
      <c r="W19" s="41"/>
      <c r="X19" s="6"/>
      <c r="AA19" s="47">
        <v>11.0</v>
      </c>
      <c r="AB19" s="47" t="s">
        <v>46</v>
      </c>
      <c r="AC19" s="55">
        <v>2260.304688787241</v>
      </c>
      <c r="AE19" s="47">
        <v>11.0</v>
      </c>
      <c r="AF19" s="47" t="s">
        <v>46</v>
      </c>
      <c r="AG19" s="55">
        <v>4000.0</v>
      </c>
    </row>
    <row r="20" ht="15.75" customHeight="1">
      <c r="C20" s="47">
        <v>12.0</v>
      </c>
      <c r="D20" s="47" t="s">
        <v>40</v>
      </c>
      <c r="E20" s="55">
        <v>7900.0</v>
      </c>
      <c r="F20" s="230">
        <v>5569.15</v>
      </c>
      <c r="G20" s="51">
        <f t="shared" si="1"/>
        <v>-2330.85</v>
      </c>
      <c r="I20" s="47">
        <v>12.0</v>
      </c>
      <c r="J20" s="47" t="s">
        <v>40</v>
      </c>
      <c r="K20" s="59">
        <v>7800.0</v>
      </c>
      <c r="L20" s="229">
        <v>3860.73</v>
      </c>
      <c r="M20" s="51">
        <f t="shared" si="2"/>
        <v>-3939.27</v>
      </c>
      <c r="Q20" s="140"/>
      <c r="R20" s="141">
        <v>45323.0</v>
      </c>
      <c r="S20" s="141">
        <v>45352.0</v>
      </c>
      <c r="T20" s="142" t="s">
        <v>90</v>
      </c>
      <c r="V20" s="140"/>
      <c r="W20" s="141">
        <v>45689.0</v>
      </c>
      <c r="X20" s="141" t="s">
        <v>179</v>
      </c>
      <c r="AA20" s="47">
        <v>12.0</v>
      </c>
      <c r="AB20" s="47" t="s">
        <v>40</v>
      </c>
      <c r="AC20" s="55">
        <v>5342.01218324771</v>
      </c>
      <c r="AE20" s="47">
        <v>12.0</v>
      </c>
      <c r="AF20" s="47" t="s">
        <v>40</v>
      </c>
      <c r="AG20" s="55">
        <v>3800.0</v>
      </c>
    </row>
    <row r="21" ht="15.75" customHeight="1">
      <c r="C21" s="47">
        <v>13.0</v>
      </c>
      <c r="D21" s="47" t="s">
        <v>47</v>
      </c>
      <c r="E21" s="55">
        <v>5700.0</v>
      </c>
      <c r="F21" s="230">
        <v>4071.25</v>
      </c>
      <c r="G21" s="51">
        <f t="shared" si="1"/>
        <v>-1628.75</v>
      </c>
      <c r="I21" s="47">
        <v>13.0</v>
      </c>
      <c r="J21" s="47" t="s">
        <v>47</v>
      </c>
      <c r="K21" s="59">
        <v>5000.0</v>
      </c>
      <c r="L21" s="229">
        <v>3159.22</v>
      </c>
      <c r="M21" s="51">
        <f t="shared" si="2"/>
        <v>-1840.78</v>
      </c>
      <c r="Q21" s="140" t="s">
        <v>6</v>
      </c>
      <c r="R21" s="55">
        <f>4226.55</f>
        <v>4226.55</v>
      </c>
      <c r="S21" s="55">
        <f>2488.27</f>
        <v>2488.27</v>
      </c>
      <c r="T21" s="143">
        <f t="shared" ref="T21:T27" si="5">S21/R21-1</f>
        <v>-0.4112763365</v>
      </c>
      <c r="V21" s="140" t="s">
        <v>6</v>
      </c>
      <c r="W21" s="55">
        <f t="shared" ref="W21:W25" si="6">AVERAGE(L11,L18,L25,L32)</f>
        <v>3812.5525</v>
      </c>
      <c r="X21" s="144">
        <f t="shared" ref="X21:X27" si="7">W21*T21+W21</f>
        <v>2244.539875</v>
      </c>
      <c r="AA21" s="47">
        <v>13.0</v>
      </c>
      <c r="AB21" s="47" t="s">
        <v>47</v>
      </c>
      <c r="AC21" s="55">
        <v>8651.495707301852</v>
      </c>
      <c r="AE21" s="47">
        <v>13.0</v>
      </c>
      <c r="AF21" s="47" t="s">
        <v>47</v>
      </c>
      <c r="AG21" s="55">
        <v>6400.0</v>
      </c>
    </row>
    <row r="22" ht="15.75" customHeight="1">
      <c r="C22" s="47">
        <v>14.0</v>
      </c>
      <c r="D22" s="47" t="s">
        <v>48</v>
      </c>
      <c r="E22" s="55">
        <v>11000.0</v>
      </c>
      <c r="F22" s="230">
        <f>11825.8-165</f>
        <v>11660.8</v>
      </c>
      <c r="G22" s="51">
        <f t="shared" si="1"/>
        <v>660.8</v>
      </c>
      <c r="I22" s="47">
        <v>14.0</v>
      </c>
      <c r="J22" s="47" t="s">
        <v>48</v>
      </c>
      <c r="K22" s="59">
        <v>10000.0</v>
      </c>
      <c r="L22" s="229">
        <v>9617.44</v>
      </c>
      <c r="M22" s="51">
        <f t="shared" si="2"/>
        <v>-382.56</v>
      </c>
      <c r="Q22" s="140" t="s">
        <v>10</v>
      </c>
      <c r="R22" s="55">
        <f>5979.4</f>
        <v>5979.4</v>
      </c>
      <c r="S22" s="55">
        <f>3058.85</f>
        <v>3058.85</v>
      </c>
      <c r="T22" s="143">
        <f t="shared" si="5"/>
        <v>-0.4884352945</v>
      </c>
      <c r="V22" s="140" t="s">
        <v>10</v>
      </c>
      <c r="W22" s="55">
        <f t="shared" si="6"/>
        <v>4137.565</v>
      </c>
      <c r="X22" s="144">
        <f t="shared" si="7"/>
        <v>2116.632221</v>
      </c>
      <c r="AA22" s="47">
        <v>14.0</v>
      </c>
      <c r="AB22" s="47" t="s">
        <v>48</v>
      </c>
      <c r="AC22" s="55">
        <v>11900.0</v>
      </c>
      <c r="AE22" s="47">
        <v>14.0</v>
      </c>
      <c r="AF22" s="47" t="s">
        <v>48</v>
      </c>
      <c r="AG22" s="55">
        <v>12500.0</v>
      </c>
    </row>
    <row r="23" ht="15.75" customHeight="1">
      <c r="C23" s="47">
        <v>15.0</v>
      </c>
      <c r="D23" s="47" t="s">
        <v>41</v>
      </c>
      <c r="E23" s="55">
        <v>17000.0</v>
      </c>
      <c r="F23" s="230">
        <v>13379.0</v>
      </c>
      <c r="G23" s="51">
        <f t="shared" si="1"/>
        <v>-3621</v>
      </c>
      <c r="I23" s="47">
        <v>15.0</v>
      </c>
      <c r="J23" s="47" t="s">
        <v>41</v>
      </c>
      <c r="K23" s="59">
        <v>16000.0</v>
      </c>
      <c r="L23" s="229">
        <v>12759.28</v>
      </c>
      <c r="M23" s="51">
        <f t="shared" si="2"/>
        <v>-3240.72</v>
      </c>
      <c r="Q23" s="140" t="s">
        <v>12</v>
      </c>
      <c r="R23" s="55">
        <f>4964.78</f>
        <v>4964.78</v>
      </c>
      <c r="S23" s="55">
        <f>4421.4</f>
        <v>4421.4</v>
      </c>
      <c r="T23" s="143">
        <f t="shared" si="5"/>
        <v>-0.1094469443</v>
      </c>
      <c r="V23" s="140" t="s">
        <v>12</v>
      </c>
      <c r="W23" s="55">
        <f t="shared" si="6"/>
        <v>4168.595</v>
      </c>
      <c r="X23" s="144">
        <f t="shared" si="7"/>
        <v>3712.355015</v>
      </c>
      <c r="AA23" s="47">
        <v>15.0</v>
      </c>
      <c r="AB23" s="47" t="s">
        <v>41</v>
      </c>
      <c r="AC23" s="55">
        <v>17000.0</v>
      </c>
      <c r="AE23" s="47">
        <v>15.0</v>
      </c>
      <c r="AF23" s="47" t="s">
        <v>41</v>
      </c>
      <c r="AG23" s="55">
        <v>15500.0</v>
      </c>
    </row>
    <row r="24" ht="15.75" customHeight="1">
      <c r="C24" s="47">
        <v>16.0</v>
      </c>
      <c r="D24" s="47" t="s">
        <v>44</v>
      </c>
      <c r="E24" s="55">
        <v>21500.0</v>
      </c>
      <c r="F24" s="230">
        <v>18457.63</v>
      </c>
      <c r="G24" s="51">
        <f t="shared" si="1"/>
        <v>-3042.37</v>
      </c>
      <c r="I24" s="47">
        <v>16.0</v>
      </c>
      <c r="J24" s="47" t="s">
        <v>44</v>
      </c>
      <c r="K24" s="59">
        <v>21000.0</v>
      </c>
      <c r="L24" s="229">
        <f>18643.87-93.16</f>
        <v>18550.71</v>
      </c>
      <c r="M24" s="51">
        <f t="shared" si="2"/>
        <v>-2449.29</v>
      </c>
      <c r="Q24" s="140" t="s">
        <v>15</v>
      </c>
      <c r="R24" s="55">
        <f>4965.03</f>
        <v>4965.03</v>
      </c>
      <c r="S24" s="55">
        <f>6078.55</f>
        <v>6078.55</v>
      </c>
      <c r="T24" s="143">
        <f t="shared" si="5"/>
        <v>0.2242725623</v>
      </c>
      <c r="V24" s="140" t="s">
        <v>15</v>
      </c>
      <c r="W24" s="55">
        <f t="shared" si="6"/>
        <v>5183.4375</v>
      </c>
      <c r="X24" s="144">
        <f t="shared" si="7"/>
        <v>6345.94031</v>
      </c>
      <c r="AA24" s="47">
        <v>16.0</v>
      </c>
      <c r="AB24" s="47" t="s">
        <v>44</v>
      </c>
      <c r="AC24" s="55">
        <v>18000.0</v>
      </c>
      <c r="AE24" s="47">
        <v>16.0</v>
      </c>
      <c r="AF24" s="47" t="s">
        <v>44</v>
      </c>
      <c r="AG24" s="55">
        <v>20870.792238900805</v>
      </c>
    </row>
    <row r="25" ht="15.75" customHeight="1">
      <c r="C25" s="47">
        <v>17.0</v>
      </c>
      <c r="D25" s="47" t="s">
        <v>45</v>
      </c>
      <c r="E25" s="55">
        <v>3300.0</v>
      </c>
      <c r="F25" s="230">
        <v>4651.05</v>
      </c>
      <c r="G25" s="51">
        <f t="shared" si="1"/>
        <v>1351.05</v>
      </c>
      <c r="I25" s="47">
        <v>17.0</v>
      </c>
      <c r="J25" s="47" t="s">
        <v>45</v>
      </c>
      <c r="K25" s="59">
        <v>3500.0</v>
      </c>
      <c r="L25" s="229">
        <f>4136.43-9</f>
        <v>4127.43</v>
      </c>
      <c r="M25" s="51">
        <f t="shared" si="2"/>
        <v>627.43</v>
      </c>
      <c r="Q25" s="140" t="s">
        <v>17</v>
      </c>
      <c r="R25" s="55">
        <v>8900.26</v>
      </c>
      <c r="S25" s="13">
        <v>10391.77</v>
      </c>
      <c r="T25" s="143">
        <f t="shared" si="5"/>
        <v>0.1675804976</v>
      </c>
      <c r="V25" s="140" t="s">
        <v>17</v>
      </c>
      <c r="W25" s="55">
        <f t="shared" si="6"/>
        <v>10702.8325</v>
      </c>
      <c r="X25" s="144">
        <f t="shared" si="7"/>
        <v>12496.4185</v>
      </c>
      <c r="AA25" s="176">
        <v>17.0</v>
      </c>
      <c r="AB25" s="176" t="s">
        <v>45</v>
      </c>
      <c r="AC25" s="63"/>
      <c r="AD25" s="238"/>
      <c r="AE25" s="176">
        <v>17.0</v>
      </c>
      <c r="AF25" s="176" t="s">
        <v>45</v>
      </c>
      <c r="AG25" s="63"/>
    </row>
    <row r="26" ht="15.75" customHeight="1">
      <c r="C26" s="47">
        <v>18.0</v>
      </c>
      <c r="D26" s="47" t="s">
        <v>46</v>
      </c>
      <c r="E26" s="55">
        <v>4900.0</v>
      </c>
      <c r="F26" s="230">
        <v>2526.5</v>
      </c>
      <c r="G26" s="51">
        <f t="shared" si="1"/>
        <v>-2373.5</v>
      </c>
      <c r="I26" s="47">
        <v>18.0</v>
      </c>
      <c r="J26" s="47" t="s">
        <v>46</v>
      </c>
      <c r="K26" s="59">
        <v>5500.0</v>
      </c>
      <c r="L26" s="229">
        <v>4507.889999999999</v>
      </c>
      <c r="M26" s="51">
        <f t="shared" si="2"/>
        <v>-992.11</v>
      </c>
      <c r="Q26" s="140" t="s">
        <v>19</v>
      </c>
      <c r="R26" s="55">
        <v>12532.67</v>
      </c>
      <c r="S26" s="55">
        <f>12828.5</f>
        <v>12828.5</v>
      </c>
      <c r="T26" s="143">
        <f t="shared" si="5"/>
        <v>0.02360470674</v>
      </c>
      <c r="V26" s="140" t="s">
        <v>19</v>
      </c>
      <c r="W26" s="55">
        <f t="shared" ref="W26:W27" si="8">AVERAGE(L9,L16,L23,L30)</f>
        <v>13893.575</v>
      </c>
      <c r="X26" s="144">
        <f t="shared" si="7"/>
        <v>14221.52876</v>
      </c>
      <c r="AA26" s="47">
        <v>18.0</v>
      </c>
      <c r="AB26" s="47" t="s">
        <v>46</v>
      </c>
      <c r="AC26" s="55">
        <v>2260.304688787241</v>
      </c>
      <c r="AE26" s="47">
        <v>18.0</v>
      </c>
      <c r="AF26" s="47" t="s">
        <v>46</v>
      </c>
      <c r="AG26" s="55">
        <v>4000.0</v>
      </c>
    </row>
    <row r="27" ht="15.75" customHeight="1">
      <c r="C27" s="47">
        <v>19.0</v>
      </c>
      <c r="D27" s="47" t="s">
        <v>40</v>
      </c>
      <c r="E27" s="55">
        <v>7700.0</v>
      </c>
      <c r="F27" s="230">
        <v>11729.85</v>
      </c>
      <c r="G27" s="51">
        <f t="shared" si="1"/>
        <v>4029.85</v>
      </c>
      <c r="I27" s="47">
        <v>19.0</v>
      </c>
      <c r="J27" s="47" t="s">
        <v>40</v>
      </c>
      <c r="K27" s="59">
        <v>7600.0</v>
      </c>
      <c r="L27" s="229">
        <v>3424.7299999999996</v>
      </c>
      <c r="M27" s="51">
        <f t="shared" si="2"/>
        <v>-4175.27</v>
      </c>
      <c r="Q27" s="140" t="s">
        <v>20</v>
      </c>
      <c r="R27" s="55">
        <v>20006.86</v>
      </c>
      <c r="S27" s="55">
        <f>19985.19</f>
        <v>19985.19</v>
      </c>
      <c r="T27" s="145">
        <f t="shared" si="5"/>
        <v>-0.001083128487</v>
      </c>
      <c r="V27" s="140" t="s">
        <v>20</v>
      </c>
      <c r="W27" s="55">
        <f t="shared" si="8"/>
        <v>20893.4225</v>
      </c>
      <c r="X27" s="144">
        <f t="shared" si="7"/>
        <v>20870.79224</v>
      </c>
      <c r="AA27" s="47">
        <v>19.0</v>
      </c>
      <c r="AB27" s="47" t="s">
        <v>40</v>
      </c>
      <c r="AC27" s="55">
        <v>5342.01218324771</v>
      </c>
      <c r="AE27" s="47">
        <v>19.0</v>
      </c>
      <c r="AF27" s="47" t="s">
        <v>40</v>
      </c>
      <c r="AG27" s="55">
        <v>3800.0</v>
      </c>
    </row>
    <row r="28" ht="15.75" customHeight="1">
      <c r="C28" s="47">
        <v>20.0</v>
      </c>
      <c r="D28" s="47" t="s">
        <v>47</v>
      </c>
      <c r="E28" s="55">
        <v>5700.0</v>
      </c>
      <c r="F28" s="230">
        <v>9548.72</v>
      </c>
      <c r="G28" s="51">
        <f t="shared" si="1"/>
        <v>3848.72</v>
      </c>
      <c r="I28" s="47">
        <v>20.0</v>
      </c>
      <c r="J28" s="47" t="s">
        <v>47</v>
      </c>
      <c r="K28" s="59">
        <v>5000.0</v>
      </c>
      <c r="L28" s="229">
        <v>5282.9</v>
      </c>
      <c r="M28" s="51">
        <f t="shared" si="2"/>
        <v>282.9</v>
      </c>
      <c r="Z28" s="1"/>
      <c r="AA28" s="47">
        <v>20.0</v>
      </c>
      <c r="AB28" s="47" t="s">
        <v>47</v>
      </c>
      <c r="AC28" s="55">
        <v>8651.495707301852</v>
      </c>
      <c r="AE28" s="47">
        <v>20.0</v>
      </c>
      <c r="AF28" s="47" t="s">
        <v>47</v>
      </c>
      <c r="AG28" s="55">
        <v>6345.940309650698</v>
      </c>
    </row>
    <row r="29" ht="15.75" customHeight="1">
      <c r="C29" s="47">
        <v>21.0</v>
      </c>
      <c r="D29" s="47" t="s">
        <v>48</v>
      </c>
      <c r="E29" s="55">
        <v>11000.0</v>
      </c>
      <c r="F29" s="230">
        <f>15853.74-150</f>
        <v>15703.74</v>
      </c>
      <c r="G29" s="51">
        <f t="shared" si="1"/>
        <v>4703.74</v>
      </c>
      <c r="I29" s="47">
        <v>21.0</v>
      </c>
      <c r="J29" s="47" t="s">
        <v>48</v>
      </c>
      <c r="K29" s="59">
        <v>10000.0</v>
      </c>
      <c r="L29" s="229">
        <f>10602.04+541.98-20</f>
        <v>11124.02</v>
      </c>
      <c r="M29" s="51">
        <f t="shared" si="2"/>
        <v>1124.02</v>
      </c>
      <c r="Z29" s="1"/>
      <c r="AA29" s="47">
        <v>21.0</v>
      </c>
      <c r="AB29" s="47" t="s">
        <v>48</v>
      </c>
      <c r="AC29" s="55">
        <v>11900.0</v>
      </c>
      <c r="AE29" s="47">
        <v>21.0</v>
      </c>
      <c r="AF29" s="47" t="s">
        <v>48</v>
      </c>
      <c r="AG29" s="55">
        <v>12500.0</v>
      </c>
    </row>
    <row r="30" ht="15.75" customHeight="1">
      <c r="C30" s="47">
        <v>22.0</v>
      </c>
      <c r="D30" s="47" t="s">
        <v>41</v>
      </c>
      <c r="E30" s="55">
        <v>17000.0</v>
      </c>
      <c r="F30" s="230">
        <v>17164.88</v>
      </c>
      <c r="G30" s="51">
        <f t="shared" si="1"/>
        <v>164.88</v>
      </c>
      <c r="I30" s="47">
        <v>22.0</v>
      </c>
      <c r="J30" s="47" t="s">
        <v>41</v>
      </c>
      <c r="K30" s="59">
        <v>16000.0</v>
      </c>
      <c r="L30" s="229">
        <v>14005.759999999998</v>
      </c>
      <c r="M30" s="51">
        <f t="shared" si="2"/>
        <v>-1994.24</v>
      </c>
      <c r="Z30" s="1"/>
      <c r="AA30" s="47">
        <v>22.0</v>
      </c>
      <c r="AB30" s="47" t="s">
        <v>41</v>
      </c>
      <c r="AC30" s="55">
        <v>17000.0</v>
      </c>
      <c r="AE30" s="47">
        <v>22.0</v>
      </c>
      <c r="AF30" s="47" t="s">
        <v>41</v>
      </c>
      <c r="AG30" s="55">
        <v>15500.0</v>
      </c>
    </row>
    <row r="31" ht="15.75" customHeight="1">
      <c r="C31" s="47">
        <v>23.0</v>
      </c>
      <c r="D31" s="47" t="s">
        <v>44</v>
      </c>
      <c r="E31" s="55">
        <v>21500.0</v>
      </c>
      <c r="F31" s="228">
        <f>11102.75-105</f>
        <v>10997.75</v>
      </c>
      <c r="G31" s="51">
        <f t="shared" si="1"/>
        <v>-10502.25</v>
      </c>
      <c r="I31" s="47">
        <v>23.0</v>
      </c>
      <c r="J31" s="47" t="s">
        <v>44</v>
      </c>
      <c r="K31" s="59">
        <v>21000.0</v>
      </c>
      <c r="L31" s="229">
        <f>23612.76+105</f>
        <v>23717.76</v>
      </c>
      <c r="M31" s="51">
        <f t="shared" si="2"/>
        <v>2717.76</v>
      </c>
      <c r="Z31" s="1"/>
      <c r="AA31" s="47">
        <v>23.0</v>
      </c>
      <c r="AB31" s="47" t="s">
        <v>44</v>
      </c>
      <c r="AC31" s="55">
        <v>18000.0</v>
      </c>
      <c r="AE31" s="47">
        <v>23.0</v>
      </c>
      <c r="AF31" s="47" t="s">
        <v>44</v>
      </c>
      <c r="AG31" s="55">
        <v>20870.792238900805</v>
      </c>
    </row>
    <row r="32" ht="15.75" customHeight="1">
      <c r="C32" s="47">
        <v>24.0</v>
      </c>
      <c r="D32" s="47" t="s">
        <v>45</v>
      </c>
      <c r="E32" s="55">
        <v>3300.0</v>
      </c>
      <c r="F32" s="230">
        <v>1879.75</v>
      </c>
      <c r="G32" s="51">
        <f t="shared" si="1"/>
        <v>-1420.25</v>
      </c>
      <c r="I32" s="47">
        <v>24.0</v>
      </c>
      <c r="J32" s="47" t="s">
        <v>45</v>
      </c>
      <c r="K32" s="59">
        <v>3500.0</v>
      </c>
      <c r="L32" s="229">
        <v>3058.47</v>
      </c>
      <c r="M32" s="51">
        <f t="shared" si="2"/>
        <v>-441.53</v>
      </c>
      <c r="Z32" s="1"/>
      <c r="AA32" s="47">
        <v>24.0</v>
      </c>
      <c r="AB32" s="47" t="s">
        <v>45</v>
      </c>
      <c r="AC32" s="55">
        <v>2235.7791447870495</v>
      </c>
      <c r="AE32" s="47">
        <v>24.0</v>
      </c>
      <c r="AF32" s="47" t="s">
        <v>45</v>
      </c>
      <c r="AG32" s="55">
        <v>3000.0</v>
      </c>
    </row>
    <row r="33" ht="15.75" customHeight="1">
      <c r="C33" s="47">
        <v>25.0</v>
      </c>
      <c r="D33" s="47" t="s">
        <v>46</v>
      </c>
      <c r="E33" s="55">
        <v>4900.0</v>
      </c>
      <c r="F33" s="59">
        <f>5215.75</f>
        <v>5215.75</v>
      </c>
      <c r="G33" s="51">
        <f t="shared" si="1"/>
        <v>315.75</v>
      </c>
      <c r="H33" s="58">
        <v>61.0</v>
      </c>
      <c r="I33" s="47">
        <v>25.0</v>
      </c>
      <c r="J33" s="47" t="s">
        <v>46</v>
      </c>
      <c r="K33" s="59">
        <v>5500.0</v>
      </c>
      <c r="L33" s="59">
        <f>2707.55</f>
        <v>2707.55</v>
      </c>
      <c r="M33" s="51">
        <f t="shared" si="2"/>
        <v>-2792.45</v>
      </c>
      <c r="Z33" s="1"/>
      <c r="AA33" s="47">
        <v>25.0</v>
      </c>
      <c r="AB33" s="47" t="s">
        <v>46</v>
      </c>
      <c r="AC33" s="55">
        <v>2260.304688787241</v>
      </c>
      <c r="AE33" s="47">
        <v>25.0</v>
      </c>
      <c r="AF33" s="47" t="s">
        <v>46</v>
      </c>
      <c r="AG33" s="55">
        <v>4000.0</v>
      </c>
    </row>
    <row r="34" ht="15.75" customHeight="1">
      <c r="C34" s="47">
        <v>26.0</v>
      </c>
      <c r="D34" s="47" t="s">
        <v>40</v>
      </c>
      <c r="E34" s="55">
        <v>7900.0</v>
      </c>
      <c r="F34" s="59">
        <f>3754.25</f>
        <v>3754.25</v>
      </c>
      <c r="G34" s="51">
        <f t="shared" si="1"/>
        <v>-4145.75</v>
      </c>
      <c r="I34" s="47">
        <v>26.0</v>
      </c>
      <c r="J34" s="47" t="s">
        <v>40</v>
      </c>
      <c r="K34" s="59">
        <v>7800.0</v>
      </c>
      <c r="L34" s="59">
        <f>4179.08+60.95</f>
        <v>4240.03</v>
      </c>
      <c r="M34" s="51">
        <f t="shared" si="2"/>
        <v>-3559.97</v>
      </c>
      <c r="Z34" s="1"/>
      <c r="AA34" s="47">
        <v>26.0</v>
      </c>
      <c r="AB34" s="47" t="s">
        <v>40</v>
      </c>
      <c r="AC34" s="55">
        <v>5342.01218324771</v>
      </c>
      <c r="AE34" s="47">
        <v>26.0</v>
      </c>
      <c r="AF34" s="47" t="s">
        <v>40</v>
      </c>
      <c r="AG34" s="55">
        <v>3800.0</v>
      </c>
    </row>
    <row r="35" ht="15.75" customHeight="1">
      <c r="C35" s="47">
        <v>27.0</v>
      </c>
      <c r="D35" s="47" t="s">
        <v>47</v>
      </c>
      <c r="E35" s="55">
        <v>5700.0</v>
      </c>
      <c r="F35" s="59">
        <f>3639.7</f>
        <v>3639.7</v>
      </c>
      <c r="G35" s="51">
        <f t="shared" si="1"/>
        <v>-2060.3</v>
      </c>
      <c r="I35" s="47">
        <v>27.0</v>
      </c>
      <c r="J35" s="47" t="s">
        <v>47</v>
      </c>
      <c r="K35" s="59">
        <v>5000.0</v>
      </c>
      <c r="L35" s="59">
        <f>7173.07+70.92</f>
        <v>7243.99</v>
      </c>
      <c r="M35" s="51">
        <f t="shared" si="2"/>
        <v>2243.99</v>
      </c>
      <c r="Z35" s="1"/>
      <c r="AA35" s="47">
        <v>27.0</v>
      </c>
      <c r="AB35" s="47" t="s">
        <v>47</v>
      </c>
      <c r="AC35" s="55">
        <v>8651.495707301852</v>
      </c>
      <c r="AE35" s="47">
        <v>27.0</v>
      </c>
      <c r="AF35" s="47" t="s">
        <v>47</v>
      </c>
      <c r="AG35" s="55">
        <v>6345.940309650698</v>
      </c>
    </row>
    <row r="36" ht="15.75" customHeight="1">
      <c r="C36" s="47">
        <v>28.0</v>
      </c>
      <c r="D36" s="47" t="s">
        <v>48</v>
      </c>
      <c r="E36" s="55">
        <v>11000.0</v>
      </c>
      <c r="F36" s="59">
        <f>9659.43-125</f>
        <v>9534.43</v>
      </c>
      <c r="G36" s="51">
        <f t="shared" si="1"/>
        <v>-1465.57</v>
      </c>
      <c r="I36" s="47">
        <v>28.0</v>
      </c>
      <c r="J36" s="47" t="s">
        <v>48</v>
      </c>
      <c r="K36" s="59">
        <v>10000.0</v>
      </c>
      <c r="L36" s="59">
        <f>10542.83</f>
        <v>10542.83</v>
      </c>
      <c r="M36" s="51">
        <f t="shared" si="2"/>
        <v>542.83</v>
      </c>
      <c r="Z36" s="1"/>
      <c r="AA36" s="47">
        <v>28.0</v>
      </c>
      <c r="AB36" s="47" t="s">
        <v>48</v>
      </c>
      <c r="AC36" s="55">
        <v>11900.0</v>
      </c>
      <c r="AE36" s="47">
        <v>28.0</v>
      </c>
      <c r="AF36" s="47" t="s">
        <v>48</v>
      </c>
      <c r="AG36" s="55">
        <v>12500.0</v>
      </c>
    </row>
    <row r="37" ht="15.75" customHeight="1">
      <c r="C37" s="47"/>
      <c r="D37" s="47"/>
      <c r="E37" s="55"/>
      <c r="F37" s="59"/>
      <c r="G37" s="51"/>
      <c r="I37" s="47"/>
      <c r="J37" s="47"/>
      <c r="K37" s="55"/>
      <c r="L37" s="55"/>
      <c r="M37" s="51"/>
      <c r="Z37" s="1"/>
      <c r="AA37" s="47">
        <v>29.0</v>
      </c>
      <c r="AB37" s="47" t="s">
        <v>41</v>
      </c>
      <c r="AC37" s="55">
        <v>17000.0</v>
      </c>
      <c r="AE37" s="47">
        <v>29.0</v>
      </c>
      <c r="AF37" s="47" t="s">
        <v>41</v>
      </c>
      <c r="AG37" s="55">
        <v>15500.0</v>
      </c>
    </row>
    <row r="38" ht="15.75" customHeight="1">
      <c r="C38" s="47"/>
      <c r="D38" s="47"/>
      <c r="E38" s="55"/>
      <c r="F38" s="59"/>
      <c r="G38" s="51"/>
      <c r="I38" s="47"/>
      <c r="J38" s="47"/>
      <c r="K38" s="55"/>
      <c r="L38" s="55"/>
      <c r="M38" s="51"/>
      <c r="Z38" s="1"/>
      <c r="AA38" s="47">
        <v>30.0</v>
      </c>
      <c r="AB38" s="47" t="s">
        <v>44</v>
      </c>
      <c r="AC38" s="55">
        <v>18000.0</v>
      </c>
      <c r="AE38" s="47">
        <v>30.0</v>
      </c>
      <c r="AF38" s="47" t="s">
        <v>44</v>
      </c>
      <c r="AG38" s="55">
        <v>20870.792238900805</v>
      </c>
    </row>
    <row r="39" ht="15.75" customHeight="1">
      <c r="C39" s="47"/>
      <c r="D39" s="47"/>
      <c r="E39" s="55"/>
      <c r="F39" s="59"/>
      <c r="G39" s="51">
        <f>F39-E39</f>
        <v>0</v>
      </c>
      <c r="I39" s="47"/>
      <c r="J39" s="47"/>
      <c r="K39" s="55"/>
      <c r="L39" s="55"/>
      <c r="M39" s="51"/>
      <c r="Z39" s="1"/>
      <c r="AA39" s="47">
        <v>31.0</v>
      </c>
      <c r="AB39" s="47" t="s">
        <v>45</v>
      </c>
      <c r="AC39" s="55">
        <v>2235.7791447870495</v>
      </c>
      <c r="AE39" s="47">
        <v>31.0</v>
      </c>
      <c r="AF39" s="47" t="s">
        <v>45</v>
      </c>
      <c r="AG39" s="55">
        <v>3000.0</v>
      </c>
    </row>
    <row r="40" ht="15.75" customHeight="1">
      <c r="C40" s="8"/>
      <c r="D40" s="8"/>
      <c r="E40" s="107">
        <f t="shared" ref="E40:G40" si="9">SUM(E9:E39)</f>
        <v>285000</v>
      </c>
      <c r="F40" s="107">
        <f t="shared" si="9"/>
        <v>248525.15</v>
      </c>
      <c r="G40" s="105">
        <f t="shared" si="9"/>
        <v>-36474.85</v>
      </c>
      <c r="I40" s="8"/>
      <c r="J40" s="8"/>
      <c r="K40" s="107">
        <f t="shared" ref="K40:M40" si="10">SUM(K9:K39)</f>
        <v>275000</v>
      </c>
      <c r="L40" s="107">
        <f t="shared" si="10"/>
        <v>251167.92</v>
      </c>
      <c r="M40" s="105">
        <f t="shared" si="10"/>
        <v>-23832.08</v>
      </c>
      <c r="Z40" s="1"/>
      <c r="AA40" s="8"/>
      <c r="AB40" s="8"/>
      <c r="AC40" s="107">
        <f>SUM(AC9:AC39)</f>
        <v>310425.3431</v>
      </c>
      <c r="AD40" s="107"/>
      <c r="AE40" s="8"/>
      <c r="AF40" s="8"/>
      <c r="AG40" s="107">
        <f>SUM(AG9:AG39)</f>
        <v>318667.3149</v>
      </c>
    </row>
    <row r="41" ht="15.75" customHeight="1">
      <c r="D41" s="61">
        <f>D44-E40</f>
        <v>0</v>
      </c>
      <c r="F41" s="114">
        <f>F40/D44</f>
        <v>0.8720180702</v>
      </c>
      <c r="G41" s="1"/>
      <c r="I41" s="1"/>
      <c r="J41" s="1"/>
      <c r="K41" s="1"/>
      <c r="L41" s="114">
        <f>L40/J44</f>
        <v>0.9133378909</v>
      </c>
      <c r="M41" s="1"/>
      <c r="Z41" s="1"/>
      <c r="AA41" s="1"/>
      <c r="AB41" s="1"/>
      <c r="AC41" s="1"/>
      <c r="AD41" s="1"/>
      <c r="AE41" s="1"/>
      <c r="AG41" s="13"/>
    </row>
    <row r="42" ht="15.75" customHeight="1">
      <c r="C42" s="2"/>
      <c r="D42" s="2"/>
      <c r="E42" s="2"/>
      <c r="F42" s="2"/>
      <c r="J42" s="61"/>
      <c r="K42" s="2"/>
      <c r="L42" s="2"/>
      <c r="Z42" s="1"/>
      <c r="AA42" s="1"/>
      <c r="AC42" s="173" t="s">
        <v>115</v>
      </c>
      <c r="AG42" s="173" t="s">
        <v>194</v>
      </c>
    </row>
    <row r="43" ht="15.75" customHeight="1">
      <c r="C43" s="2"/>
      <c r="D43" s="2"/>
      <c r="E43" s="115" t="s">
        <v>77</v>
      </c>
      <c r="F43" s="118">
        <f>E40+G40</f>
        <v>248525.15</v>
      </c>
      <c r="K43" s="115" t="s">
        <v>77</v>
      </c>
      <c r="L43" s="118">
        <f>K40+M40</f>
        <v>251167.92</v>
      </c>
      <c r="Z43" s="1"/>
      <c r="AA43" s="1"/>
      <c r="AD43" s="13"/>
      <c r="AE43" s="196"/>
    </row>
    <row r="44" ht="15.75" customHeight="1">
      <c r="C44" s="122" t="s">
        <v>29</v>
      </c>
      <c r="D44" s="124">
        <v>285000.0</v>
      </c>
      <c r="E44" s="2"/>
      <c r="F44" s="2"/>
      <c r="I44" s="126" t="s">
        <v>29</v>
      </c>
      <c r="J44" s="124">
        <v>275000.0</v>
      </c>
      <c r="K44" s="2"/>
      <c r="L44" s="2"/>
      <c r="O44" s="61"/>
      <c r="Z44" s="1"/>
      <c r="AA44" s="1"/>
      <c r="AD44" s="196" t="s">
        <v>197</v>
      </c>
    </row>
    <row r="45" ht="15.75" customHeight="1"/>
    <row r="46" ht="15.75" customHeight="1"/>
    <row r="47" ht="15.75" customHeight="1">
      <c r="E47" s="2"/>
      <c r="F47" s="2"/>
      <c r="J47" s="189"/>
      <c r="K47" s="2"/>
      <c r="L47" s="2"/>
      <c r="AB47" s="201"/>
      <c r="AC47" s="61"/>
      <c r="AF47" s="201"/>
      <c r="AG47" s="6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Q9:T9"/>
    <mergeCell ref="V9:X9"/>
    <mergeCell ref="Q19:T19"/>
    <mergeCell ref="V19:X19"/>
    <mergeCell ref="C4:G6"/>
    <mergeCell ref="I4:M6"/>
    <mergeCell ref="C7:G7"/>
    <mergeCell ref="I7:M7"/>
    <mergeCell ref="V7:W7"/>
    <mergeCell ref="AA7:AC7"/>
    <mergeCell ref="AE7:AG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1.11"/>
    <col customWidth="1" min="5" max="5" width="19.33"/>
    <col customWidth="1" min="6" max="6" width="19.0"/>
    <col customWidth="1" min="7" max="7" width="18.44"/>
    <col customWidth="1" min="8" max="8" width="12.78"/>
    <col customWidth="1" min="9" max="9" width="11.0"/>
    <col customWidth="1" min="10" max="10" width="15.33"/>
    <col customWidth="1" min="11" max="11" width="19.11"/>
    <col customWidth="1" min="12" max="12" width="18.0"/>
    <col customWidth="1" min="13" max="13" width="21.44"/>
    <col customWidth="1" min="14" max="14" width="12.78"/>
    <col customWidth="1" min="15" max="15" width="11.0"/>
    <col customWidth="1" min="16" max="17" width="10.56"/>
    <col customWidth="1" min="18" max="18" width="11.33"/>
    <col customWidth="1" min="19" max="19" width="15.78"/>
    <col customWidth="1" min="20" max="20" width="15.44"/>
    <col customWidth="1" min="21" max="21" width="16.0"/>
    <col customWidth="1" min="22" max="22" width="15.44"/>
    <col customWidth="1" min="23" max="23" width="11.11"/>
    <col customWidth="1" min="24" max="25" width="10.56"/>
    <col customWidth="1" min="26" max="26" width="11.67"/>
    <col customWidth="1" min="27" max="27" width="13.78"/>
    <col customWidth="1" min="28" max="29" width="10.56"/>
    <col customWidth="1" min="30" max="30" width="14.11"/>
    <col customWidth="1" min="31" max="31" width="13.44"/>
    <col customWidth="1" min="32" max="32" width="13.0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D9" s="47">
        <v>1.0</v>
      </c>
      <c r="E9" s="47" t="s">
        <v>41</v>
      </c>
      <c r="F9" s="177">
        <f t="shared" ref="F9:G9" si="1">15327.58</f>
        <v>15327.58</v>
      </c>
      <c r="G9" s="177">
        <f t="shared" si="1"/>
        <v>15327.58</v>
      </c>
      <c r="H9" s="51">
        <f t="shared" ref="H9:H24" si="3">G9-F9</f>
        <v>0</v>
      </c>
      <c r="J9" s="47">
        <v>1.0</v>
      </c>
      <c r="K9" s="47" t="s">
        <v>41</v>
      </c>
      <c r="L9" s="177">
        <f>13652.55</f>
        <v>13652.55</v>
      </c>
      <c r="M9" s="177">
        <f>14676.93-1024.38</f>
        <v>13652.55</v>
      </c>
      <c r="N9" s="51">
        <f t="shared" ref="N9:N24" si="5">M9-L9</f>
        <v>0</v>
      </c>
    </row>
    <row r="10" ht="15.75" customHeight="1">
      <c r="D10" s="47">
        <v>2.0</v>
      </c>
      <c r="E10" s="47" t="s">
        <v>44</v>
      </c>
      <c r="F10" s="177">
        <f t="shared" ref="F10:G10" si="2">23056.7-700</f>
        <v>22356.7</v>
      </c>
      <c r="G10" s="89">
        <f t="shared" si="2"/>
        <v>22356.7</v>
      </c>
      <c r="H10" s="51">
        <f t="shared" si="3"/>
        <v>0</v>
      </c>
      <c r="J10" s="47">
        <v>2.0</v>
      </c>
      <c r="K10" s="47" t="s">
        <v>44</v>
      </c>
      <c r="L10" s="177">
        <f t="shared" ref="L10:M10" si="4">21818.06+700</f>
        <v>22518.06</v>
      </c>
      <c r="M10" s="89">
        <f t="shared" si="4"/>
        <v>22518.06</v>
      </c>
      <c r="N10" s="51">
        <f t="shared" si="5"/>
        <v>0</v>
      </c>
    </row>
    <row r="11" ht="15.75" customHeight="1">
      <c r="D11" s="47">
        <v>3.0</v>
      </c>
      <c r="E11" s="47" t="s">
        <v>45</v>
      </c>
      <c r="F11" s="177">
        <f t="shared" ref="F11:G11" si="6">8172.9</f>
        <v>8172.9</v>
      </c>
      <c r="G11" s="177">
        <f t="shared" si="6"/>
        <v>8172.9</v>
      </c>
      <c r="H11" s="51">
        <f t="shared" si="3"/>
        <v>0</v>
      </c>
      <c r="J11" s="47">
        <v>3.0</v>
      </c>
      <c r="K11" s="47" t="s">
        <v>45</v>
      </c>
      <c r="L11" s="177">
        <f t="shared" ref="L11:M11" si="7">11415.27</f>
        <v>11415.27</v>
      </c>
      <c r="M11" s="177">
        <f t="shared" si="7"/>
        <v>11415.27</v>
      </c>
      <c r="N11" s="51">
        <f t="shared" si="5"/>
        <v>0</v>
      </c>
    </row>
    <row r="12" ht="15.75" customHeight="1">
      <c r="D12" s="47">
        <v>4.0</v>
      </c>
      <c r="E12" s="47" t="s">
        <v>46</v>
      </c>
      <c r="F12" s="177">
        <f t="shared" ref="F12:G12" si="8">7505.88</f>
        <v>7505.88</v>
      </c>
      <c r="G12" s="177">
        <f t="shared" si="8"/>
        <v>7505.88</v>
      </c>
      <c r="H12" s="51">
        <f t="shared" si="3"/>
        <v>0</v>
      </c>
      <c r="J12" s="47">
        <v>4.0</v>
      </c>
      <c r="K12" s="47" t="s">
        <v>46</v>
      </c>
      <c r="L12" s="177">
        <f t="shared" ref="L12:M12" si="9">14048.09</f>
        <v>14048.09</v>
      </c>
      <c r="M12" s="177">
        <f t="shared" si="9"/>
        <v>14048.09</v>
      </c>
      <c r="N12" s="51">
        <f t="shared" si="5"/>
        <v>0</v>
      </c>
    </row>
    <row r="13" ht="15.75" customHeight="1">
      <c r="D13" s="47">
        <v>5.0</v>
      </c>
      <c r="E13" s="47" t="s">
        <v>40</v>
      </c>
      <c r="F13" s="55">
        <f>5342.01218324771-19.36</f>
        <v>5322.652183</v>
      </c>
      <c r="G13" s="197">
        <f>6955.5</f>
        <v>6955.5</v>
      </c>
      <c r="H13" s="51">
        <f t="shared" si="3"/>
        <v>1632.847817</v>
      </c>
      <c r="J13" s="47">
        <v>5.0</v>
      </c>
      <c r="K13" s="47" t="s">
        <v>40</v>
      </c>
      <c r="L13" s="55">
        <v>3866.03</v>
      </c>
      <c r="M13" s="197">
        <f>9254.25-512.3</f>
        <v>8741.95</v>
      </c>
      <c r="N13" s="51">
        <f t="shared" si="5"/>
        <v>4875.92</v>
      </c>
    </row>
    <row r="14" ht="15.75" customHeight="1">
      <c r="D14" s="47">
        <v>6.0</v>
      </c>
      <c r="E14" s="47" t="s">
        <v>47</v>
      </c>
      <c r="F14" s="55">
        <v>8000.0</v>
      </c>
      <c r="G14" s="59">
        <f>4888.75</f>
        <v>4888.75</v>
      </c>
      <c r="H14" s="51">
        <f t="shared" si="3"/>
        <v>-3111.25</v>
      </c>
      <c r="J14" s="47">
        <v>6.0</v>
      </c>
      <c r="K14" s="47" t="s">
        <v>47</v>
      </c>
      <c r="L14" s="55">
        <v>6000.0</v>
      </c>
      <c r="M14" s="55">
        <f>5505.73-294.73</f>
        <v>5211</v>
      </c>
      <c r="N14" s="51">
        <f t="shared" si="5"/>
        <v>-789</v>
      </c>
    </row>
    <row r="15" ht="15.75" customHeight="1">
      <c r="D15" s="47">
        <v>7.0</v>
      </c>
      <c r="E15" s="47" t="s">
        <v>48</v>
      </c>
      <c r="F15" s="55">
        <v>11900.0</v>
      </c>
      <c r="G15" s="59">
        <f>8723.25+406-120</f>
        <v>9009.25</v>
      </c>
      <c r="H15" s="51">
        <f t="shared" si="3"/>
        <v>-2890.75</v>
      </c>
      <c r="J15" s="47">
        <v>7.0</v>
      </c>
      <c r="K15" s="47" t="s">
        <v>48</v>
      </c>
      <c r="L15" s="55">
        <v>12500.0</v>
      </c>
      <c r="M15" s="55">
        <f>11823.49-568.63</f>
        <v>11254.86</v>
      </c>
      <c r="N15" s="51">
        <f t="shared" si="5"/>
        <v>-1245.14</v>
      </c>
    </row>
    <row r="16" ht="15.75" customHeight="1">
      <c r="D16" s="47">
        <v>8.0</v>
      </c>
      <c r="E16" s="47" t="s">
        <v>41</v>
      </c>
      <c r="F16" s="55">
        <v>17000.0</v>
      </c>
      <c r="G16" s="59">
        <v>24173.24</v>
      </c>
      <c r="H16" s="51">
        <f t="shared" si="3"/>
        <v>7173.24</v>
      </c>
      <c r="J16" s="47">
        <v>8.0</v>
      </c>
      <c r="K16" s="47" t="s">
        <v>41</v>
      </c>
      <c r="L16" s="55">
        <v>15500.0</v>
      </c>
      <c r="M16" s="55">
        <f>12886.98-795.83-20</f>
        <v>12071.15</v>
      </c>
      <c r="N16" s="51">
        <f t="shared" si="5"/>
        <v>-3428.85</v>
      </c>
    </row>
    <row r="17" ht="15.75" customHeight="1">
      <c r="D17" s="47">
        <v>9.0</v>
      </c>
      <c r="E17" s="47" t="s">
        <v>44</v>
      </c>
      <c r="F17" s="55">
        <v>18000.0</v>
      </c>
      <c r="G17" s="59">
        <f>18195.7</f>
        <v>18195.7</v>
      </c>
      <c r="H17" s="51">
        <f t="shared" si="3"/>
        <v>195.7</v>
      </c>
      <c r="J17" s="47">
        <v>9.0</v>
      </c>
      <c r="K17" s="47" t="s">
        <v>44</v>
      </c>
      <c r="L17" s="55">
        <v>20000.0</v>
      </c>
      <c r="M17" s="55">
        <f>20397.28-1150.77</f>
        <v>19246.51</v>
      </c>
      <c r="N17" s="51">
        <f t="shared" si="5"/>
        <v>-753.49</v>
      </c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45</v>
      </c>
      <c r="F18" s="55">
        <v>2235.7791447870495</v>
      </c>
      <c r="G18" s="59">
        <f>2408.5+753.7</f>
        <v>3162.2</v>
      </c>
      <c r="H18" s="51">
        <f t="shared" si="3"/>
        <v>926.4208552</v>
      </c>
      <c r="J18" s="47">
        <v>10.0</v>
      </c>
      <c r="K18" s="47" t="s">
        <v>45</v>
      </c>
      <c r="L18" s="55">
        <v>3100.0</v>
      </c>
      <c r="M18" s="55">
        <f>3452.94-155.85</f>
        <v>3297.09</v>
      </c>
      <c r="N18" s="51">
        <f t="shared" si="5"/>
        <v>197.09</v>
      </c>
      <c r="S18" s="74" t="s">
        <v>29</v>
      </c>
      <c r="T18" s="75">
        <v>308000.0</v>
      </c>
      <c r="U18" s="2" t="s">
        <v>29</v>
      </c>
      <c r="V18" s="76">
        <v>315000.0</v>
      </c>
    </row>
    <row r="19" ht="15.75" customHeight="1">
      <c r="D19" s="47">
        <v>11.0</v>
      </c>
      <c r="E19" s="47" t="s">
        <v>46</v>
      </c>
      <c r="F19" s="55">
        <v>2260.304688787241</v>
      </c>
      <c r="G19" s="59">
        <f>1755.35+1834</f>
        <v>3589.35</v>
      </c>
      <c r="H19" s="51">
        <f t="shared" si="3"/>
        <v>1329.045311</v>
      </c>
      <c r="J19" s="47">
        <v>11.0</v>
      </c>
      <c r="K19" s="47" t="s">
        <v>46</v>
      </c>
      <c r="L19" s="55">
        <v>4000.0</v>
      </c>
      <c r="M19" s="55">
        <f>5331.63-226.61</f>
        <v>5105.02</v>
      </c>
      <c r="N19" s="51">
        <f t="shared" si="5"/>
        <v>1105.02</v>
      </c>
      <c r="S19" s="74"/>
      <c r="T19" s="2"/>
      <c r="U19" s="2"/>
      <c r="V19" s="77"/>
    </row>
    <row r="20" ht="15.75" customHeight="1">
      <c r="D20" s="47">
        <v>12.0</v>
      </c>
      <c r="E20" s="47" t="s">
        <v>40</v>
      </c>
      <c r="F20" s="55">
        <v>5342.01218324771</v>
      </c>
      <c r="G20" s="59">
        <f>3851.75</f>
        <v>3851.75</v>
      </c>
      <c r="H20" s="51">
        <f t="shared" si="3"/>
        <v>-1490.262183</v>
      </c>
      <c r="J20" s="47">
        <v>12.0</v>
      </c>
      <c r="K20" s="47" t="s">
        <v>40</v>
      </c>
      <c r="L20" s="55">
        <v>3800.0</v>
      </c>
      <c r="M20" s="55">
        <f>4670.7-200.91</f>
        <v>4469.79</v>
      </c>
      <c r="N20" s="51">
        <f t="shared" si="5"/>
        <v>669.79</v>
      </c>
      <c r="S20" s="74" t="s">
        <v>58</v>
      </c>
      <c r="T20" s="75">
        <f>SUM(G9:G15)</f>
        <v>74216.56</v>
      </c>
      <c r="U20" s="58" t="s">
        <v>58</v>
      </c>
      <c r="V20" s="76">
        <f>SUM(M9:M15)</f>
        <v>86841.78</v>
      </c>
    </row>
    <row r="21" ht="15.75" customHeight="1">
      <c r="D21" s="47">
        <v>13.0</v>
      </c>
      <c r="E21" s="47" t="s">
        <v>47</v>
      </c>
      <c r="F21" s="55">
        <v>8200.0</v>
      </c>
      <c r="G21" s="59">
        <f>6029.86</f>
        <v>6029.86</v>
      </c>
      <c r="H21" s="51">
        <f t="shared" si="3"/>
        <v>-2170.14</v>
      </c>
      <c r="J21" s="47">
        <v>13.0</v>
      </c>
      <c r="K21" s="47" t="s">
        <v>47</v>
      </c>
      <c r="L21" s="55">
        <v>6400.0</v>
      </c>
      <c r="M21" s="55">
        <f>4176.01-109+138.96</f>
        <v>4205.97</v>
      </c>
      <c r="N21" s="51">
        <f t="shared" si="5"/>
        <v>-2194.03</v>
      </c>
      <c r="S21" s="74"/>
      <c r="T21" s="79">
        <f>T20/T18</f>
        <v>0.2409628571</v>
      </c>
      <c r="V21" s="80">
        <f>V20/V18</f>
        <v>0.2756881905</v>
      </c>
      <c r="W21" s="66"/>
    </row>
    <row r="22" ht="15.75" customHeight="1">
      <c r="D22" s="47">
        <v>14.0</v>
      </c>
      <c r="E22" s="47" t="s">
        <v>48</v>
      </c>
      <c r="F22" s="55">
        <v>11900.0</v>
      </c>
      <c r="G22" s="59">
        <f>9465.3-190-230</f>
        <v>9045.3</v>
      </c>
      <c r="H22" s="51">
        <f t="shared" si="3"/>
        <v>-2854.7</v>
      </c>
      <c r="J22" s="47">
        <v>14.0</v>
      </c>
      <c r="K22" s="47" t="s">
        <v>48</v>
      </c>
      <c r="L22" s="55">
        <v>12500.0</v>
      </c>
      <c r="M22" s="55">
        <f>13251.57-728.19-8-12-201.02</f>
        <v>12302.36</v>
      </c>
      <c r="N22" s="51">
        <f t="shared" si="5"/>
        <v>-197.64</v>
      </c>
      <c r="S22" s="74"/>
      <c r="T22" s="81"/>
      <c r="V22" s="77"/>
      <c r="Y22" s="231" t="s">
        <v>52</v>
      </c>
      <c r="Z22" s="9"/>
      <c r="AA22" s="9"/>
      <c r="AB22" s="9"/>
      <c r="AC22" s="9"/>
      <c r="AD22" s="9"/>
      <c r="AE22" s="12"/>
    </row>
    <row r="23" ht="15.75" customHeight="1">
      <c r="D23" s="47">
        <v>15.0</v>
      </c>
      <c r="E23" s="47" t="s">
        <v>41</v>
      </c>
      <c r="F23" s="55">
        <v>17000.0</v>
      </c>
      <c r="G23" s="59">
        <f>13423.75+782</f>
        <v>14205.75</v>
      </c>
      <c r="H23" s="51">
        <f t="shared" si="3"/>
        <v>-2794.25</v>
      </c>
      <c r="J23" s="47">
        <v>15.0</v>
      </c>
      <c r="K23" s="47" t="s">
        <v>41</v>
      </c>
      <c r="L23" s="55">
        <v>15500.0</v>
      </c>
      <c r="M23" s="55">
        <f>14180.97-399.85</f>
        <v>13781.12</v>
      </c>
      <c r="N23" s="51">
        <f t="shared" si="5"/>
        <v>-1718.88</v>
      </c>
      <c r="S23" s="74" t="s">
        <v>62</v>
      </c>
      <c r="T23" s="75">
        <f>SUM(G16:G22)</f>
        <v>68047.4</v>
      </c>
      <c r="U23" s="58" t="s">
        <v>62</v>
      </c>
      <c r="V23" s="76">
        <f>SUM(M16:M22)</f>
        <v>60697.89</v>
      </c>
      <c r="Y23" s="232" t="s">
        <v>181</v>
      </c>
      <c r="Z23" s="233"/>
      <c r="AA23" s="234"/>
      <c r="AC23" s="235" t="s">
        <v>182</v>
      </c>
      <c r="AD23" s="233"/>
      <c r="AE23" s="234"/>
    </row>
    <row r="24" ht="15.75" customHeight="1">
      <c r="D24" s="47">
        <v>16.0</v>
      </c>
      <c r="E24" s="47" t="s">
        <v>44</v>
      </c>
      <c r="F24" s="55">
        <v>18000.0</v>
      </c>
      <c r="G24" s="59">
        <f>14629.25</f>
        <v>14629.25</v>
      </c>
      <c r="H24" s="51">
        <f t="shared" si="3"/>
        <v>-3370.75</v>
      </c>
      <c r="J24" s="47">
        <v>16.0</v>
      </c>
      <c r="K24" s="47" t="s">
        <v>44</v>
      </c>
      <c r="L24" s="55">
        <v>20000.0</v>
      </c>
      <c r="M24" s="59">
        <f>18839.85-1016.1</f>
        <v>17823.75</v>
      </c>
      <c r="N24" s="51">
        <f t="shared" si="5"/>
        <v>-2176.25</v>
      </c>
      <c r="S24" s="74"/>
      <c r="T24" s="79">
        <f>T23/T18</f>
        <v>0.2209331169</v>
      </c>
      <c r="V24" s="80">
        <f>V23/V18</f>
        <v>0.1926917143</v>
      </c>
      <c r="Y24" s="236" t="s">
        <v>183</v>
      </c>
      <c r="AA24" s="237">
        <v>18408.225000000002</v>
      </c>
      <c r="AC24" s="120" t="s">
        <v>184</v>
      </c>
      <c r="AE24" s="237">
        <v>10738.47</v>
      </c>
      <c r="AF24" s="58" t="s">
        <v>185</v>
      </c>
    </row>
    <row r="25" ht="15.75" customHeight="1">
      <c r="D25" s="176">
        <v>17.0</v>
      </c>
      <c r="E25" s="176" t="s">
        <v>45</v>
      </c>
      <c r="F25" s="63"/>
      <c r="G25" s="63"/>
      <c r="H25" s="51"/>
      <c r="J25" s="176">
        <v>17.0</v>
      </c>
      <c r="K25" s="176" t="s">
        <v>45</v>
      </c>
      <c r="L25" s="63"/>
      <c r="M25" s="63"/>
      <c r="N25" s="51"/>
      <c r="S25" s="74"/>
      <c r="T25" s="81"/>
      <c r="V25" s="77"/>
      <c r="Y25" s="239" t="s">
        <v>186</v>
      </c>
      <c r="AA25" s="240">
        <v>19685.15</v>
      </c>
      <c r="AC25" s="239" t="s">
        <v>187</v>
      </c>
      <c r="AE25" s="240">
        <v>14449.45</v>
      </c>
      <c r="AF25" s="241">
        <f>(AE25/AE24)-1</f>
        <v>0.3455780945</v>
      </c>
    </row>
    <row r="26" ht="19.5" customHeight="1">
      <c r="D26" s="47">
        <v>18.0</v>
      </c>
      <c r="E26" s="47" t="s">
        <v>46</v>
      </c>
      <c r="F26" s="55">
        <v>2260.304688787241</v>
      </c>
      <c r="G26" s="59">
        <f>6583.77</f>
        <v>6583.77</v>
      </c>
      <c r="H26" s="51">
        <f t="shared" ref="H26:H39" si="10">G26-F26</f>
        <v>4323.465311</v>
      </c>
      <c r="J26" s="47">
        <v>18.0</v>
      </c>
      <c r="K26" s="47" t="s">
        <v>46</v>
      </c>
      <c r="L26" s="55">
        <v>4000.0</v>
      </c>
      <c r="M26" s="59">
        <f>4150.52-112.97</f>
        <v>4037.55</v>
      </c>
      <c r="N26" s="51">
        <f t="shared" ref="N26:N39" si="11">M26-L26</f>
        <v>37.55</v>
      </c>
      <c r="S26" s="74" t="s">
        <v>63</v>
      </c>
      <c r="T26" s="75">
        <f>SUM(G23:G29)</f>
        <v>57560.86</v>
      </c>
      <c r="U26" s="58" t="s">
        <v>63</v>
      </c>
      <c r="V26" s="76">
        <f>SUM(M23:M29)</f>
        <v>59377.01</v>
      </c>
      <c r="Y26" s="242" t="s">
        <v>188</v>
      </c>
      <c r="AA26" s="237">
        <v>16307.732500000002</v>
      </c>
      <c r="AC26" s="243" t="s">
        <v>189</v>
      </c>
      <c r="AE26" s="237">
        <v>17000.0</v>
      </c>
      <c r="AF26" s="58" t="s">
        <v>185</v>
      </c>
    </row>
    <row r="27" ht="15.75" customHeight="1">
      <c r="D27" s="47">
        <v>19.0</v>
      </c>
      <c r="E27" s="47" t="s">
        <v>40</v>
      </c>
      <c r="F27" s="55">
        <v>5342.01218324771</v>
      </c>
      <c r="G27" s="59">
        <f>4022.25</f>
        <v>4022.25</v>
      </c>
      <c r="H27" s="51">
        <f t="shared" si="10"/>
        <v>-1319.762183</v>
      </c>
      <c r="J27" s="47">
        <v>19.0</v>
      </c>
      <c r="K27" s="47" t="s">
        <v>40</v>
      </c>
      <c r="L27" s="55">
        <v>3800.0</v>
      </c>
      <c r="M27" s="59">
        <f>6311.74-322.69</f>
        <v>5989.05</v>
      </c>
      <c r="N27" s="51">
        <f t="shared" si="11"/>
        <v>2189.05</v>
      </c>
      <c r="S27" s="74"/>
      <c r="T27" s="79">
        <f>T26/T18</f>
        <v>0.1868859091</v>
      </c>
      <c r="V27" s="80">
        <f>V26/V18</f>
        <v>0.1884984444</v>
      </c>
      <c r="Y27" s="120" t="s">
        <v>190</v>
      </c>
      <c r="AA27" s="237">
        <v>18329.15</v>
      </c>
      <c r="AC27" s="244" t="s">
        <v>191</v>
      </c>
      <c r="AD27" s="245"/>
      <c r="AE27" s="246">
        <v>24173.24</v>
      </c>
      <c r="AF27" s="241">
        <f>(AE27/AE26)-1</f>
        <v>0.4219552941</v>
      </c>
    </row>
    <row r="28" ht="15.75" customHeight="1">
      <c r="D28" s="47">
        <v>20.0</v>
      </c>
      <c r="E28" s="47" t="s">
        <v>47</v>
      </c>
      <c r="F28" s="55">
        <v>8000.0</v>
      </c>
      <c r="G28" s="59">
        <f>5459.3</f>
        <v>5459.3</v>
      </c>
      <c r="H28" s="51">
        <f t="shared" si="10"/>
        <v>-2540.7</v>
      </c>
      <c r="J28" s="47">
        <v>20.0</v>
      </c>
      <c r="K28" s="47" t="s">
        <v>47</v>
      </c>
      <c r="L28" s="55">
        <v>6400.0</v>
      </c>
      <c r="M28" s="59">
        <f>6287.46-254.69</f>
        <v>6032.77</v>
      </c>
      <c r="N28" s="51">
        <f t="shared" si="11"/>
        <v>-367.23</v>
      </c>
      <c r="S28" s="74"/>
      <c r="V28" s="82"/>
      <c r="Y28" s="244" t="s">
        <v>192</v>
      </c>
      <c r="Z28" s="245"/>
      <c r="AA28" s="246">
        <v>24173.24</v>
      </c>
    </row>
    <row r="29" ht="15.75" customHeight="1">
      <c r="D29" s="47">
        <v>21.0</v>
      </c>
      <c r="E29" s="47" t="s">
        <v>48</v>
      </c>
      <c r="F29" s="55">
        <v>11900.0</v>
      </c>
      <c r="G29" s="59">
        <f>12835.54-175</f>
        <v>12660.54</v>
      </c>
      <c r="H29" s="51">
        <f t="shared" si="10"/>
        <v>760.54</v>
      </c>
      <c r="J29" s="47">
        <v>21.0</v>
      </c>
      <c r="K29" s="47" t="s">
        <v>48</v>
      </c>
      <c r="L29" s="55">
        <v>12500.0</v>
      </c>
      <c r="M29" s="59">
        <f>12304.23-591.46</f>
        <v>11712.77</v>
      </c>
      <c r="N29" s="51">
        <f t="shared" si="11"/>
        <v>-787.23</v>
      </c>
      <c r="S29" s="74" t="s">
        <v>64</v>
      </c>
      <c r="T29" s="61">
        <f>SUM(G30:G36)</f>
        <v>73935.45</v>
      </c>
      <c r="U29" s="58" t="s">
        <v>64</v>
      </c>
      <c r="V29" s="83">
        <f>SUM(M30:M36)</f>
        <v>61256.49</v>
      </c>
      <c r="Y29" s="14"/>
      <c r="AC29" s="46" t="s">
        <v>193</v>
      </c>
      <c r="AD29" s="6"/>
      <c r="AE29" s="247">
        <f>(AE27/AE25)-1</f>
        <v>0.6729522577</v>
      </c>
    </row>
    <row r="30" ht="19.5" customHeight="1">
      <c r="D30" s="47">
        <v>22.0</v>
      </c>
      <c r="E30" s="47" t="s">
        <v>41</v>
      </c>
      <c r="F30" s="55">
        <v>17000.0</v>
      </c>
      <c r="G30" s="59">
        <f>22310.71</f>
        <v>22310.71</v>
      </c>
      <c r="H30" s="51">
        <f t="shared" si="10"/>
        <v>5310.71</v>
      </c>
      <c r="J30" s="47">
        <v>22.0</v>
      </c>
      <c r="K30" s="47" t="s">
        <v>41</v>
      </c>
      <c r="L30" s="55">
        <v>15500.0</v>
      </c>
      <c r="M30" s="59">
        <f>13794.41-359.97</f>
        <v>13434.44</v>
      </c>
      <c r="N30" s="51">
        <f t="shared" si="11"/>
        <v>-2065.56</v>
      </c>
      <c r="S30" s="74"/>
      <c r="T30" s="79">
        <f>T29/T18</f>
        <v>0.2400501623</v>
      </c>
      <c r="V30" s="80">
        <f>V29/V18</f>
        <v>0.1944650476</v>
      </c>
      <c r="Y30" s="248" t="s">
        <v>200</v>
      </c>
      <c r="Z30" s="19"/>
      <c r="AA30" s="249">
        <f>(AA28/AA25)-1</f>
        <v>0.2279936907</v>
      </c>
    </row>
    <row r="31" ht="19.5" customHeight="1">
      <c r="D31" s="47">
        <v>23.0</v>
      </c>
      <c r="E31" s="47" t="s">
        <v>44</v>
      </c>
      <c r="F31" s="55">
        <v>18000.0</v>
      </c>
      <c r="G31" s="59">
        <f>16377.25</f>
        <v>16377.25</v>
      </c>
      <c r="H31" s="51">
        <f t="shared" si="10"/>
        <v>-1622.75</v>
      </c>
      <c r="J31" s="47">
        <v>23.0</v>
      </c>
      <c r="K31" s="47" t="s">
        <v>44</v>
      </c>
      <c r="L31" s="55">
        <v>20000.0</v>
      </c>
      <c r="M31" s="59">
        <f>17948.72-1174.47</f>
        <v>16774.25</v>
      </c>
      <c r="N31" s="51">
        <f t="shared" si="11"/>
        <v>-3225.75</v>
      </c>
      <c r="S31" s="74" t="s">
        <v>65</v>
      </c>
      <c r="T31" s="61">
        <f>SUM(G37:G39)</f>
        <v>36619.91</v>
      </c>
      <c r="U31" s="58" t="s">
        <v>65</v>
      </c>
      <c r="V31" s="83">
        <f>SUM(M37:M39)</f>
        <v>44077.56</v>
      </c>
      <c r="Y31" s="231" t="s">
        <v>201</v>
      </c>
      <c r="Z31" s="9"/>
      <c r="AA31" s="9"/>
      <c r="AB31" s="9"/>
      <c r="AC31" s="9"/>
      <c r="AD31" s="9"/>
      <c r="AE31" s="12"/>
    </row>
    <row r="32" ht="15.75" customHeight="1">
      <c r="D32" s="47">
        <v>24.0</v>
      </c>
      <c r="E32" s="47" t="s">
        <v>45</v>
      </c>
      <c r="F32" s="55">
        <v>2235.7791447870495</v>
      </c>
      <c r="G32" s="59">
        <f>3629.15</f>
        <v>3629.15</v>
      </c>
      <c r="H32" s="51">
        <f t="shared" si="10"/>
        <v>1393.370855</v>
      </c>
      <c r="J32" s="47">
        <v>24.0</v>
      </c>
      <c r="K32" s="47" t="s">
        <v>45</v>
      </c>
      <c r="L32" s="55">
        <v>3100.0</v>
      </c>
      <c r="M32" s="59">
        <f>3333.28-82.94</f>
        <v>3250.34</v>
      </c>
      <c r="N32" s="51">
        <f t="shared" si="11"/>
        <v>150.34</v>
      </c>
      <c r="S32" s="84" t="s">
        <v>180</v>
      </c>
      <c r="T32" s="85">
        <f>T31/T18</f>
        <v>0.1188958117</v>
      </c>
      <c r="U32" s="84" t="s">
        <v>180</v>
      </c>
      <c r="V32" s="87">
        <f>V31/V18</f>
        <v>0.1399287619</v>
      </c>
      <c r="Y32" s="251" t="s">
        <v>181</v>
      </c>
      <c r="Z32" s="233"/>
      <c r="AA32" s="234"/>
      <c r="AC32" s="252" t="s">
        <v>182</v>
      </c>
      <c r="AD32" s="233"/>
      <c r="AE32" s="234"/>
    </row>
    <row r="33" ht="15.75" customHeight="1">
      <c r="D33" s="47">
        <v>25.0</v>
      </c>
      <c r="E33" s="47" t="s">
        <v>46</v>
      </c>
      <c r="F33" s="55">
        <v>2260.304688787241</v>
      </c>
      <c r="G33" s="59">
        <f>6225.75</f>
        <v>6225.75</v>
      </c>
      <c r="H33" s="51">
        <f t="shared" si="10"/>
        <v>3965.445311</v>
      </c>
      <c r="J33" s="47">
        <v>25.0</v>
      </c>
      <c r="K33" s="47" t="s">
        <v>46</v>
      </c>
      <c r="L33" s="55">
        <v>4000.0</v>
      </c>
      <c r="M33" s="59">
        <f>6605.02-166.88</f>
        <v>6438.14</v>
      </c>
      <c r="N33" s="51">
        <f t="shared" si="11"/>
        <v>2438.14</v>
      </c>
      <c r="Y33" s="236" t="s">
        <v>183</v>
      </c>
      <c r="AA33" s="237">
        <v>13080.609999999999</v>
      </c>
      <c r="AC33" s="120" t="s">
        <v>184</v>
      </c>
      <c r="AE33" s="237">
        <v>10243.63</v>
      </c>
      <c r="AF33" s="58" t="s">
        <v>185</v>
      </c>
    </row>
    <row r="34" ht="15.75" customHeight="1">
      <c r="D34" s="47">
        <v>26.0</v>
      </c>
      <c r="E34" s="47" t="s">
        <v>40</v>
      </c>
      <c r="F34" s="55">
        <v>5342.01218324771</v>
      </c>
      <c r="G34" s="59">
        <f>6970.9</f>
        <v>6970.9</v>
      </c>
      <c r="H34" s="51">
        <f t="shared" si="10"/>
        <v>1628.887817</v>
      </c>
      <c r="J34" s="47">
        <v>26.0</v>
      </c>
      <c r="K34" s="47" t="s">
        <v>40</v>
      </c>
      <c r="L34" s="55">
        <v>3800.0</v>
      </c>
      <c r="M34" s="55">
        <f>5364.8-235.9</f>
        <v>5128.9</v>
      </c>
      <c r="N34" s="51">
        <f t="shared" si="11"/>
        <v>1328.9</v>
      </c>
      <c r="R34" s="92" t="s">
        <v>72</v>
      </c>
      <c r="S34" s="93" t="s">
        <v>73</v>
      </c>
      <c r="T34" s="94">
        <f>T20+T23+T26+T29+T31</f>
        <v>310380.18</v>
      </c>
      <c r="U34" s="164" t="s">
        <v>74</v>
      </c>
      <c r="V34" s="96">
        <f>V20+V23+V26+V29+V31</f>
        <v>312250.73</v>
      </c>
      <c r="W34" s="179" t="s">
        <v>72</v>
      </c>
      <c r="Y34" s="239" t="s">
        <v>186</v>
      </c>
      <c r="AA34" s="240">
        <v>15073.02</v>
      </c>
      <c r="AC34" s="239" t="s">
        <v>187</v>
      </c>
      <c r="AE34" s="240">
        <v>10984.33</v>
      </c>
      <c r="AF34" s="241">
        <f>(AE34/AE33)-1</f>
        <v>0.07230835163</v>
      </c>
    </row>
    <row r="35" ht="19.5" customHeight="1">
      <c r="D35" s="47">
        <v>27.0</v>
      </c>
      <c r="E35" s="47" t="s">
        <v>47</v>
      </c>
      <c r="F35" s="55">
        <v>8000.0</v>
      </c>
      <c r="G35" s="59">
        <f>5358.6</f>
        <v>5358.6</v>
      </c>
      <c r="H35" s="51">
        <f t="shared" si="10"/>
        <v>-2641.4</v>
      </c>
      <c r="J35" s="47">
        <v>27.0</v>
      </c>
      <c r="K35" s="47" t="s">
        <v>47</v>
      </c>
      <c r="L35" s="55">
        <v>6000.0</v>
      </c>
      <c r="M35" s="55">
        <f>5117.45-221.91</f>
        <v>4895.54</v>
      </c>
      <c r="N35" s="51">
        <f t="shared" si="11"/>
        <v>-1104.46</v>
      </c>
      <c r="R35" s="97">
        <f>T35-U35</f>
        <v>0.007727857143</v>
      </c>
      <c r="S35" s="98"/>
      <c r="T35" s="99">
        <f>T34/T18</f>
        <v>1.007727857</v>
      </c>
      <c r="U35" s="181">
        <f>30/30</f>
        <v>1</v>
      </c>
      <c r="V35" s="100">
        <f>V34/V18</f>
        <v>0.9912721587</v>
      </c>
      <c r="W35" s="180">
        <f>V35-U35</f>
        <v>-0.00872784127</v>
      </c>
      <c r="Y35" s="242" t="s">
        <v>188</v>
      </c>
      <c r="AA35" s="237">
        <v>13893.575</v>
      </c>
      <c r="AC35" s="253" t="s">
        <v>189</v>
      </c>
      <c r="AE35" s="237">
        <v>15500.0</v>
      </c>
      <c r="AF35" s="58" t="s">
        <v>185</v>
      </c>
    </row>
    <row r="36" ht="15.75" customHeight="1">
      <c r="D36" s="47">
        <v>28.0</v>
      </c>
      <c r="E36" s="47" t="s">
        <v>48</v>
      </c>
      <c r="F36" s="55">
        <v>11900.0</v>
      </c>
      <c r="G36" s="59">
        <f>13151.36-88.27</f>
        <v>13063.09</v>
      </c>
      <c r="H36" s="51">
        <f t="shared" si="10"/>
        <v>1163.09</v>
      </c>
      <c r="J36" s="47">
        <v>28.0</v>
      </c>
      <c r="K36" s="47" t="s">
        <v>48</v>
      </c>
      <c r="L36" s="55">
        <v>12500.0</v>
      </c>
      <c r="M36" s="55">
        <f>11888.57-553.69</f>
        <v>11334.88</v>
      </c>
      <c r="N36" s="51">
        <f t="shared" si="11"/>
        <v>-1165.12</v>
      </c>
      <c r="S36" s="98" t="s">
        <v>76</v>
      </c>
      <c r="T36" s="104">
        <f>T18-T34</f>
        <v>-2380.18</v>
      </c>
      <c r="U36" s="99"/>
      <c r="V36" s="106">
        <f>V18-V34</f>
        <v>2749.27</v>
      </c>
      <c r="Y36" s="120" t="s">
        <v>190</v>
      </c>
      <c r="AA36" s="237">
        <v>14937.380000000001</v>
      </c>
      <c r="AC36" s="244" t="s">
        <v>191</v>
      </c>
      <c r="AD36" s="245"/>
      <c r="AE36" s="246">
        <f>12886.98-795.83</f>
        <v>12091.15</v>
      </c>
      <c r="AF36" s="254">
        <f>(AE36/AE35)-1</f>
        <v>-0.2199258065</v>
      </c>
    </row>
    <row r="37" ht="15.75" customHeight="1">
      <c r="D37" s="47">
        <v>29.0</v>
      </c>
      <c r="E37" s="47" t="s">
        <v>41</v>
      </c>
      <c r="F37" s="55">
        <v>17000.0</v>
      </c>
      <c r="G37" s="59">
        <f>14679.86</f>
        <v>14679.86</v>
      </c>
      <c r="H37" s="51">
        <f t="shared" si="10"/>
        <v>-2320.14</v>
      </c>
      <c r="J37" s="47">
        <v>29.0</v>
      </c>
      <c r="K37" s="47" t="s">
        <v>41</v>
      </c>
      <c r="L37" s="55">
        <v>15500.0</v>
      </c>
      <c r="M37" s="55">
        <f>17794.17-1230.53</f>
        <v>16563.64</v>
      </c>
      <c r="N37" s="51">
        <f t="shared" si="11"/>
        <v>1063.64</v>
      </c>
      <c r="S37" s="110"/>
      <c r="T37" s="112">
        <f>T36/T18</f>
        <v>-0.007727857143</v>
      </c>
      <c r="U37" s="112"/>
      <c r="V37" s="113">
        <f>V36/V18</f>
        <v>0.00872784127</v>
      </c>
      <c r="Y37" s="244" t="s">
        <v>192</v>
      </c>
      <c r="Z37" s="245"/>
      <c r="AA37" s="246">
        <f>12886.98-795.83</f>
        <v>12091.15</v>
      </c>
    </row>
    <row r="38" ht="15.75" customHeight="1">
      <c r="D38" s="47">
        <v>30.0</v>
      </c>
      <c r="E38" s="47" t="s">
        <v>44</v>
      </c>
      <c r="F38" s="55">
        <v>18000.0</v>
      </c>
      <c r="G38" s="59">
        <f>18721.8</f>
        <v>18721.8</v>
      </c>
      <c r="H38" s="51">
        <f t="shared" si="10"/>
        <v>721.8</v>
      </c>
      <c r="J38" s="47">
        <v>30.0</v>
      </c>
      <c r="K38" s="47" t="s">
        <v>44</v>
      </c>
      <c r="L38" s="55">
        <v>20000.0</v>
      </c>
      <c r="M38" s="55">
        <f>24143.11-1754.22</f>
        <v>22388.89</v>
      </c>
      <c r="N38" s="51">
        <f t="shared" si="11"/>
        <v>2388.89</v>
      </c>
      <c r="Y38" s="14"/>
      <c r="AC38" s="46" t="s">
        <v>193</v>
      </c>
      <c r="AD38" s="6"/>
      <c r="AE38" s="247">
        <f>(AE36/AE34)-1</f>
        <v>0.1007635422</v>
      </c>
    </row>
    <row r="39" ht="15.75" customHeight="1">
      <c r="D39" s="47">
        <v>31.0</v>
      </c>
      <c r="E39" s="47" t="s">
        <v>45</v>
      </c>
      <c r="F39" s="55">
        <v>2235.7791447870495</v>
      </c>
      <c r="G39" s="59">
        <f>3218.25</f>
        <v>3218.25</v>
      </c>
      <c r="H39" s="51">
        <f t="shared" si="10"/>
        <v>982.4708552</v>
      </c>
      <c r="J39" s="47">
        <v>31.0</v>
      </c>
      <c r="K39" s="47" t="s">
        <v>45</v>
      </c>
      <c r="L39" s="55">
        <v>3100.0</v>
      </c>
      <c r="M39" s="55">
        <f>5201.97-76.94</f>
        <v>5125.03</v>
      </c>
      <c r="N39" s="51">
        <f t="shared" si="11"/>
        <v>2025.03</v>
      </c>
      <c r="Y39" s="255" t="s">
        <v>200</v>
      </c>
      <c r="Z39" s="6"/>
      <c r="AA39" s="256">
        <f>(AA37/AA34)-1</f>
        <v>-0.1978283051</v>
      </c>
    </row>
    <row r="40" ht="15.75" customHeight="1">
      <c r="D40" s="8"/>
      <c r="E40" s="8"/>
      <c r="F40" s="107">
        <f t="shared" ref="F40:H40" si="12">SUM(F9:F39)</f>
        <v>308000.0002</v>
      </c>
      <c r="G40" s="107">
        <f t="shared" si="12"/>
        <v>310380.18</v>
      </c>
      <c r="H40" s="105">
        <f t="shared" si="12"/>
        <v>2380.179766</v>
      </c>
      <c r="J40" s="8"/>
      <c r="K40" s="8"/>
      <c r="L40" s="107">
        <f t="shared" ref="L40:N40" si="13">SUM(L9:L39)</f>
        <v>315000</v>
      </c>
      <c r="M40" s="107">
        <f t="shared" si="13"/>
        <v>312250.73</v>
      </c>
      <c r="N40" s="105">
        <f t="shared" si="13"/>
        <v>-2749.27</v>
      </c>
      <c r="Q40" s="61"/>
    </row>
    <row r="41" ht="15.75" customHeight="1">
      <c r="E41" s="61"/>
      <c r="G41" s="114">
        <f>G40/E44</f>
        <v>1.007727857</v>
      </c>
      <c r="H41" s="1"/>
      <c r="J41" s="1"/>
      <c r="K41" s="1"/>
      <c r="L41" s="1"/>
      <c r="M41" s="114">
        <f>M40/K44</f>
        <v>0.9912721587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310380.18</v>
      </c>
      <c r="L43" s="115" t="s">
        <v>77</v>
      </c>
      <c r="M43" s="118">
        <f>L40+N40</f>
        <v>312250.73</v>
      </c>
    </row>
    <row r="44" ht="15.75" customHeight="1">
      <c r="D44" s="122" t="s">
        <v>29</v>
      </c>
      <c r="E44" s="124">
        <v>308000.0</v>
      </c>
      <c r="F44" s="2"/>
      <c r="G44" s="2"/>
      <c r="J44" s="126" t="s">
        <v>29</v>
      </c>
      <c r="K44" s="124">
        <v>315000.0</v>
      </c>
      <c r="L44" s="2"/>
      <c r="M44" s="2"/>
    </row>
    <row r="45" ht="15.75" customHeight="1"/>
    <row r="46" ht="15.75" customHeight="1"/>
    <row r="47" ht="15.75" customHeight="1">
      <c r="J47" s="61">
        <f>K44+E44</f>
        <v>623000</v>
      </c>
    </row>
    <row r="48" ht="15.75" customHeight="1">
      <c r="J48" s="121">
        <f>G40+M40</f>
        <v>622630.91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D4:H6"/>
    <mergeCell ref="J4:N6"/>
    <mergeCell ref="D7:H7"/>
    <mergeCell ref="J7:N7"/>
    <mergeCell ref="Y22:AE22"/>
    <mergeCell ref="Y23:AA23"/>
    <mergeCell ref="Y24:Z24"/>
    <mergeCell ref="AC23:AE23"/>
    <mergeCell ref="AC24:AD24"/>
    <mergeCell ref="Y25:Z25"/>
    <mergeCell ref="AC25:AD25"/>
    <mergeCell ref="Y26:Z26"/>
    <mergeCell ref="AC26:AD26"/>
    <mergeCell ref="AC27:AD27"/>
    <mergeCell ref="AC32:AE32"/>
    <mergeCell ref="AC33:AD33"/>
    <mergeCell ref="Y28:Z28"/>
    <mergeCell ref="Y29:Z29"/>
    <mergeCell ref="AC29:AD29"/>
    <mergeCell ref="Y30:Z30"/>
    <mergeCell ref="Y31:AE31"/>
    <mergeCell ref="Y32:AA32"/>
    <mergeCell ref="Y33:Z33"/>
    <mergeCell ref="Y38:Z38"/>
    <mergeCell ref="Y39:Z39"/>
    <mergeCell ref="Y34:Z34"/>
    <mergeCell ref="AC34:AD34"/>
    <mergeCell ref="Y35:Z35"/>
    <mergeCell ref="AC35:AD35"/>
    <mergeCell ref="AC36:AD36"/>
    <mergeCell ref="Y37:Z37"/>
    <mergeCell ref="AC38:AD38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0"/>
    <col customWidth="1" min="4" max="4" width="19.44"/>
    <col customWidth="1" min="5" max="6" width="18.44"/>
    <col customWidth="1" min="7" max="7" width="11.44"/>
    <col customWidth="1" min="8" max="8" width="10.56"/>
    <col customWidth="1" min="9" max="9" width="11.11"/>
    <col customWidth="1" min="10" max="10" width="19.44"/>
    <col customWidth="1" min="11" max="12" width="18.67"/>
    <col customWidth="1" min="13" max="13" width="11.44"/>
    <col customWidth="1" min="14" max="15" width="10.56"/>
    <col customWidth="1" min="16" max="16" width="15.0"/>
    <col customWidth="1" min="17" max="18" width="16.44"/>
    <col customWidth="1" min="19" max="19" width="15.11"/>
    <col customWidth="1" min="20" max="20" width="14.0"/>
    <col customWidth="1" min="21" max="21" width="15.0"/>
    <col customWidth="1" min="22" max="22" width="15.11"/>
    <col customWidth="1" min="23" max="23" width="16.33"/>
    <col customWidth="1" min="24" max="24" width="15.33"/>
    <col customWidth="1" min="25" max="25" width="16.11"/>
    <col customWidth="1" min="26" max="26" width="18.67"/>
    <col customWidth="1" min="27" max="27" width="15.33"/>
    <col customWidth="1" min="28" max="28" width="17.11"/>
    <col customWidth="1" min="29" max="29" width="23.78"/>
    <col customWidth="1" min="30" max="30" width="18.67"/>
    <col customWidth="1" min="31" max="31" width="13.0"/>
    <col customWidth="1" min="32" max="32" width="16.78"/>
    <col customWidth="1" min="33" max="33" width="21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  <c r="O3" s="15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AG5" s="2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Z6" s="1"/>
      <c r="AA6" s="1"/>
      <c r="AB6" s="1"/>
      <c r="AC6" s="1"/>
      <c r="AD6" s="1"/>
      <c r="AE6" s="1"/>
      <c r="AF6" s="1"/>
      <c r="AG6" s="8"/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Q7" s="1"/>
      <c r="R7" s="3"/>
      <c r="S7" s="3"/>
      <c r="U7" s="1"/>
      <c r="V7" s="3"/>
      <c r="X7" s="137" t="s">
        <v>195</v>
      </c>
      <c r="Y7" s="41"/>
      <c r="Z7" s="6"/>
      <c r="AB7" s="137" t="s">
        <v>196</v>
      </c>
      <c r="AC7" s="41"/>
      <c r="AD7" s="6"/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1"/>
      <c r="R8" s="1"/>
      <c r="S8" s="3"/>
      <c r="T8" s="3"/>
      <c r="X8" s="44" t="s">
        <v>32</v>
      </c>
      <c r="Y8" s="44" t="s">
        <v>33</v>
      </c>
      <c r="Z8" s="138" t="s">
        <v>198</v>
      </c>
      <c r="AB8" s="44" t="s">
        <v>32</v>
      </c>
      <c r="AC8" s="44" t="s">
        <v>33</v>
      </c>
      <c r="AD8" s="138" t="s">
        <v>199</v>
      </c>
    </row>
    <row r="9" ht="15.75" customHeight="1">
      <c r="C9" s="47">
        <v>1.0</v>
      </c>
      <c r="D9" s="47" t="s">
        <v>41</v>
      </c>
      <c r="E9" s="177">
        <f t="shared" ref="E9:F9" si="1">15327.58</f>
        <v>15327.58</v>
      </c>
      <c r="F9" s="177">
        <f t="shared" si="1"/>
        <v>15327.58</v>
      </c>
      <c r="G9" s="51">
        <f t="shared" ref="G9:G24" si="3">F9-E9</f>
        <v>0</v>
      </c>
      <c r="I9" s="47">
        <v>1.0</v>
      </c>
      <c r="J9" s="47" t="s">
        <v>41</v>
      </c>
      <c r="K9" s="177">
        <f>13652.55</f>
        <v>13652.55</v>
      </c>
      <c r="L9" s="177">
        <f>14676.93-1024.38</f>
        <v>13652.55</v>
      </c>
      <c r="M9" s="51">
        <f t="shared" ref="M9:M24" si="5">L9-K9</f>
        <v>0</v>
      </c>
      <c r="O9" s="139" t="s">
        <v>89</v>
      </c>
      <c r="P9" s="41"/>
      <c r="Q9" s="41"/>
      <c r="R9" s="6"/>
      <c r="T9" s="139" t="s">
        <v>1</v>
      </c>
      <c r="U9" s="41"/>
      <c r="V9" s="6"/>
      <c r="X9" s="47">
        <v>1.0</v>
      </c>
      <c r="Y9" s="47" t="s">
        <v>46</v>
      </c>
      <c r="Z9" s="59">
        <v>6391.699263535372</v>
      </c>
      <c r="AB9" s="47">
        <v>1.0</v>
      </c>
      <c r="AC9" s="47" t="s">
        <v>46</v>
      </c>
      <c r="AD9" s="250">
        <v>7600.0</v>
      </c>
    </row>
    <row r="10" ht="15.75" customHeight="1">
      <c r="C10" s="47">
        <v>2.0</v>
      </c>
      <c r="D10" s="47" t="s">
        <v>44</v>
      </c>
      <c r="E10" s="177">
        <f t="shared" ref="E10:F10" si="2">23056.7-700</f>
        <v>22356.7</v>
      </c>
      <c r="F10" s="89">
        <f t="shared" si="2"/>
        <v>22356.7</v>
      </c>
      <c r="G10" s="51">
        <f t="shared" si="3"/>
        <v>0</v>
      </c>
      <c r="I10" s="47">
        <v>2.0</v>
      </c>
      <c r="J10" s="47" t="s">
        <v>44</v>
      </c>
      <c r="K10" s="177">
        <f t="shared" ref="K10:L10" si="4">21818.06+700</f>
        <v>22518.06</v>
      </c>
      <c r="L10" s="89">
        <f t="shared" si="4"/>
        <v>22518.06</v>
      </c>
      <c r="M10" s="51">
        <f t="shared" si="5"/>
        <v>0</v>
      </c>
      <c r="O10" s="140"/>
      <c r="P10" s="141">
        <v>45352.0</v>
      </c>
      <c r="Q10" s="141">
        <v>45383.0</v>
      </c>
      <c r="R10" s="142" t="s">
        <v>90</v>
      </c>
      <c r="T10" s="140"/>
      <c r="U10" s="141">
        <v>45717.0</v>
      </c>
      <c r="V10" s="141" t="s">
        <v>202</v>
      </c>
      <c r="X10" s="47">
        <v>2.0</v>
      </c>
      <c r="Y10" s="47" t="s">
        <v>40</v>
      </c>
      <c r="Z10" s="59">
        <v>5704.560625878214</v>
      </c>
      <c r="AB10" s="47">
        <v>2.0</v>
      </c>
      <c r="AC10" s="47" t="s">
        <v>40</v>
      </c>
      <c r="AD10" s="59">
        <v>6459.991070893835</v>
      </c>
    </row>
    <row r="11" ht="15.75" customHeight="1">
      <c r="C11" s="47">
        <v>3.0</v>
      </c>
      <c r="D11" s="47" t="s">
        <v>45</v>
      </c>
      <c r="E11" s="177">
        <f t="shared" ref="E11:F11" si="6">8172.9</f>
        <v>8172.9</v>
      </c>
      <c r="F11" s="177">
        <f t="shared" si="6"/>
        <v>8172.9</v>
      </c>
      <c r="G11" s="51">
        <f t="shared" si="3"/>
        <v>0</v>
      </c>
      <c r="I11" s="47">
        <v>3.0</v>
      </c>
      <c r="J11" s="47" t="s">
        <v>45</v>
      </c>
      <c r="K11" s="177">
        <f t="shared" ref="K11:L11" si="7">11415.27</f>
        <v>11415.27</v>
      </c>
      <c r="L11" s="177">
        <f t="shared" si="7"/>
        <v>11415.27</v>
      </c>
      <c r="M11" s="51">
        <f t="shared" si="5"/>
        <v>0</v>
      </c>
      <c r="O11" s="140" t="s">
        <v>6</v>
      </c>
      <c r="P11" s="55">
        <f>2839.49</f>
        <v>2839.49</v>
      </c>
      <c r="Q11" s="55">
        <f>3927.59</f>
        <v>3927.59</v>
      </c>
      <c r="R11" s="143">
        <f t="shared" ref="R11:R17" si="10">Q11/P11-1</f>
        <v>0.3832026174</v>
      </c>
      <c r="T11" s="140" t="s">
        <v>6</v>
      </c>
      <c r="U11" s="55">
        <f>AVERAGE(F11,F18,F32,F39)</f>
        <v>4545.625</v>
      </c>
      <c r="V11" s="144">
        <f t="shared" ref="V11:V17" si="11">U11*R11+U11</f>
        <v>6287.520398</v>
      </c>
      <c r="X11" s="47">
        <v>3.0</v>
      </c>
      <c r="Y11" s="47" t="s">
        <v>47</v>
      </c>
      <c r="Z11" s="59">
        <v>4738.437032651001</v>
      </c>
      <c r="AB11" s="47">
        <v>3.0</v>
      </c>
      <c r="AC11" s="47" t="s">
        <v>47</v>
      </c>
      <c r="AD11" s="59">
        <v>6936.5085940561485</v>
      </c>
    </row>
    <row r="12" ht="15.75" customHeight="1">
      <c r="C12" s="47">
        <v>4.0</v>
      </c>
      <c r="D12" s="47" t="s">
        <v>46</v>
      </c>
      <c r="E12" s="177">
        <f t="shared" ref="E12:F12" si="8">7505.88</f>
        <v>7505.88</v>
      </c>
      <c r="F12" s="177">
        <f t="shared" si="8"/>
        <v>7505.88</v>
      </c>
      <c r="G12" s="51">
        <f t="shared" si="3"/>
        <v>0</v>
      </c>
      <c r="I12" s="47">
        <v>4.0</v>
      </c>
      <c r="J12" s="47" t="s">
        <v>46</v>
      </c>
      <c r="K12" s="177">
        <f t="shared" ref="K12:L12" si="9">14048.09</f>
        <v>14048.09</v>
      </c>
      <c r="L12" s="177">
        <f t="shared" si="9"/>
        <v>14048.09</v>
      </c>
      <c r="M12" s="51">
        <f t="shared" si="5"/>
        <v>0</v>
      </c>
      <c r="O12" s="140" t="s">
        <v>10</v>
      </c>
      <c r="P12" s="55">
        <f>3511.54</f>
        <v>3511.54</v>
      </c>
      <c r="Q12" s="55">
        <v>3755.69</v>
      </c>
      <c r="R12" s="143">
        <f t="shared" si="10"/>
        <v>0.06952789944</v>
      </c>
      <c r="T12" s="140" t="s">
        <v>10</v>
      </c>
      <c r="U12" s="55">
        <f t="shared" ref="U12:U15" si="12">AVERAGE(F12,F19,F26,F33)</f>
        <v>5976.1875</v>
      </c>
      <c r="V12" s="144">
        <f t="shared" si="11"/>
        <v>6391.699264</v>
      </c>
      <c r="X12" s="47">
        <v>4.0</v>
      </c>
      <c r="Y12" s="47" t="s">
        <v>48</v>
      </c>
      <c r="Z12" s="59">
        <v>10638.144223002666</v>
      </c>
      <c r="AB12" s="47">
        <v>4.0</v>
      </c>
      <c r="AC12" s="47" t="s">
        <v>48</v>
      </c>
      <c r="AD12" s="59">
        <v>10000.558185944263</v>
      </c>
    </row>
    <row r="13" ht="15.75" customHeight="1">
      <c r="C13" s="47">
        <v>5.0</v>
      </c>
      <c r="D13" s="47" t="s">
        <v>40</v>
      </c>
      <c r="E13" s="55">
        <f>5342.01218324771-19.36</f>
        <v>5322.652183</v>
      </c>
      <c r="F13" s="197">
        <f>6955.5</f>
        <v>6955.5</v>
      </c>
      <c r="G13" s="51">
        <f t="shared" si="3"/>
        <v>1632.847817</v>
      </c>
      <c r="I13" s="47">
        <v>5.0</v>
      </c>
      <c r="J13" s="47" t="s">
        <v>40</v>
      </c>
      <c r="K13" s="55">
        <v>3866.03</v>
      </c>
      <c r="L13" s="197">
        <f>9254.25-512.3</f>
        <v>8741.95</v>
      </c>
      <c r="M13" s="51">
        <f t="shared" si="5"/>
        <v>4875.92</v>
      </c>
      <c r="O13" s="140" t="s">
        <v>12</v>
      </c>
      <c r="P13" s="55">
        <f>4568.94</f>
        <v>4568.94</v>
      </c>
      <c r="Q13" s="55">
        <v>4782.26</v>
      </c>
      <c r="R13" s="143">
        <f t="shared" si="10"/>
        <v>0.04668916641</v>
      </c>
      <c r="T13" s="140" t="s">
        <v>12</v>
      </c>
      <c r="U13" s="55">
        <f t="shared" si="12"/>
        <v>5450.1</v>
      </c>
      <c r="V13" s="144">
        <f t="shared" si="11"/>
        <v>5704.560626</v>
      </c>
      <c r="X13" s="47">
        <v>5.0</v>
      </c>
      <c r="Y13" s="47" t="s">
        <v>41</v>
      </c>
      <c r="Z13" s="59">
        <v>21000.0</v>
      </c>
      <c r="AB13" s="47">
        <v>5.0</v>
      </c>
      <c r="AC13" s="47" t="s">
        <v>41</v>
      </c>
      <c r="AD13" s="59">
        <v>13563.427139805899</v>
      </c>
    </row>
    <row r="14" ht="15.75" customHeight="1">
      <c r="C14" s="47">
        <v>6.0</v>
      </c>
      <c r="D14" s="47" t="s">
        <v>47</v>
      </c>
      <c r="E14" s="55">
        <v>8000.0</v>
      </c>
      <c r="F14" s="59">
        <f>4888.75</f>
        <v>4888.75</v>
      </c>
      <c r="G14" s="51">
        <f t="shared" si="3"/>
        <v>-3111.25</v>
      </c>
      <c r="I14" s="47">
        <v>6.0</v>
      </c>
      <c r="J14" s="47" t="s">
        <v>47</v>
      </c>
      <c r="K14" s="55">
        <v>6000.0</v>
      </c>
      <c r="L14" s="55">
        <f>5505.73-294.73</f>
        <v>5211</v>
      </c>
      <c r="M14" s="51">
        <f t="shared" si="5"/>
        <v>-789</v>
      </c>
      <c r="O14" s="140" t="s">
        <v>15</v>
      </c>
      <c r="P14" s="55">
        <f>6310.22</f>
        <v>6310.22</v>
      </c>
      <c r="Q14" s="55">
        <v>5502.37</v>
      </c>
      <c r="R14" s="143">
        <f t="shared" si="10"/>
        <v>-0.1280224778</v>
      </c>
      <c r="T14" s="140" t="s">
        <v>15</v>
      </c>
      <c r="U14" s="55">
        <f t="shared" si="12"/>
        <v>5434.1275</v>
      </c>
      <c r="V14" s="144">
        <f t="shared" si="11"/>
        <v>4738.437033</v>
      </c>
      <c r="X14" s="47">
        <v>6.0</v>
      </c>
      <c r="Y14" s="47" t="s">
        <v>44</v>
      </c>
      <c r="Z14" s="59">
        <v>21000.0</v>
      </c>
      <c r="AB14" s="47">
        <v>6.0</v>
      </c>
      <c r="AC14" s="47" t="s">
        <v>44</v>
      </c>
      <c r="AD14" s="59">
        <v>21009.574853148762</v>
      </c>
    </row>
    <row r="15" ht="15.75" customHeight="1">
      <c r="C15" s="47">
        <v>7.0</v>
      </c>
      <c r="D15" s="47" t="s">
        <v>48</v>
      </c>
      <c r="E15" s="55">
        <v>11900.0</v>
      </c>
      <c r="F15" s="59">
        <f>8723.25+406-120</f>
        <v>9009.25</v>
      </c>
      <c r="G15" s="51">
        <f t="shared" si="3"/>
        <v>-2890.75</v>
      </c>
      <c r="I15" s="47">
        <v>7.0</v>
      </c>
      <c r="J15" s="47" t="s">
        <v>48</v>
      </c>
      <c r="K15" s="55">
        <v>12500.0</v>
      </c>
      <c r="L15" s="55">
        <f>11823.49-568.63</f>
        <v>11254.86</v>
      </c>
      <c r="M15" s="51">
        <f t="shared" si="5"/>
        <v>-1245.14</v>
      </c>
      <c r="O15" s="140" t="s">
        <v>17</v>
      </c>
      <c r="P15" s="55">
        <v>11480.67</v>
      </c>
      <c r="Q15" s="55">
        <f>11159.26</f>
        <v>11159.26</v>
      </c>
      <c r="R15" s="143">
        <f t="shared" si="10"/>
        <v>-0.02799575286</v>
      </c>
      <c r="T15" s="140" t="s">
        <v>17</v>
      </c>
      <c r="U15" s="55">
        <f t="shared" si="12"/>
        <v>10944.545</v>
      </c>
      <c r="V15" s="144">
        <f t="shared" si="11"/>
        <v>10638.14422</v>
      </c>
      <c r="X15" s="47">
        <v>7.0</v>
      </c>
      <c r="Y15" s="47" t="s">
        <v>45</v>
      </c>
      <c r="Z15" s="59">
        <v>6287.5203975890045</v>
      </c>
      <c r="AB15" s="47">
        <v>7.0</v>
      </c>
      <c r="AC15" s="47" t="s">
        <v>45</v>
      </c>
      <c r="AD15" s="59">
        <v>7152.940193648599</v>
      </c>
    </row>
    <row r="16" ht="15.75" customHeight="1">
      <c r="C16" s="47">
        <v>8.0</v>
      </c>
      <c r="D16" s="47" t="s">
        <v>41</v>
      </c>
      <c r="E16" s="55">
        <v>17000.0</v>
      </c>
      <c r="F16" s="59">
        <v>24173.24</v>
      </c>
      <c r="G16" s="51">
        <f t="shared" si="3"/>
        <v>7173.24</v>
      </c>
      <c r="I16" s="47">
        <v>8.0</v>
      </c>
      <c r="J16" s="47" t="s">
        <v>41</v>
      </c>
      <c r="K16" s="55">
        <v>15500.0</v>
      </c>
      <c r="L16" s="55">
        <f>12886.98-795.83-20</f>
        <v>12071.15</v>
      </c>
      <c r="M16" s="51">
        <f t="shared" si="5"/>
        <v>-3428.85</v>
      </c>
      <c r="O16" s="140" t="s">
        <v>19</v>
      </c>
      <c r="P16" s="55">
        <f>15582.85</f>
        <v>15582.85</v>
      </c>
      <c r="Q16" s="55">
        <f>19744.04</f>
        <v>19744.04</v>
      </c>
      <c r="R16" s="143">
        <f t="shared" si="10"/>
        <v>0.2670365177</v>
      </c>
      <c r="T16" s="140" t="s">
        <v>19</v>
      </c>
      <c r="U16" s="55">
        <f t="shared" ref="U16:U17" si="13">AVERAGE(F16,F23,F30,F37,F9)</f>
        <v>18139.428</v>
      </c>
      <c r="V16" s="144">
        <f t="shared" si="11"/>
        <v>22983.31769</v>
      </c>
      <c r="X16" s="47">
        <v>8.0</v>
      </c>
      <c r="Y16" s="47" t="s">
        <v>46</v>
      </c>
      <c r="Z16" s="59">
        <v>6391.699263535372</v>
      </c>
      <c r="AB16" s="47">
        <v>8.0</v>
      </c>
      <c r="AC16" s="47" t="s">
        <v>46</v>
      </c>
      <c r="AD16" s="250">
        <v>7600.0</v>
      </c>
    </row>
    <row r="17" ht="15.75" customHeight="1">
      <c r="C17" s="47">
        <v>9.0</v>
      </c>
      <c r="D17" s="47" t="s">
        <v>44</v>
      </c>
      <c r="E17" s="55">
        <v>18000.0</v>
      </c>
      <c r="F17" s="59">
        <f>18195.7</f>
        <v>18195.7</v>
      </c>
      <c r="G17" s="51">
        <f t="shared" si="3"/>
        <v>195.7</v>
      </c>
      <c r="I17" s="47">
        <v>9.0</v>
      </c>
      <c r="J17" s="47" t="s">
        <v>44</v>
      </c>
      <c r="K17" s="55">
        <v>20000.0</v>
      </c>
      <c r="L17" s="55">
        <f>20397.28-1150.77</f>
        <v>19246.51</v>
      </c>
      <c r="M17" s="51">
        <f t="shared" si="5"/>
        <v>-753.49</v>
      </c>
      <c r="O17" s="140" t="s">
        <v>20</v>
      </c>
      <c r="P17" s="55">
        <f>14781.68</f>
        <v>14781.68</v>
      </c>
      <c r="Q17" s="55">
        <f>17322.1</f>
        <v>17322.1</v>
      </c>
      <c r="R17" s="145">
        <f t="shared" si="10"/>
        <v>0.1718627382</v>
      </c>
      <c r="T17" s="140" t="s">
        <v>20</v>
      </c>
      <c r="U17" s="55">
        <f t="shared" si="13"/>
        <v>18056.14</v>
      </c>
      <c r="V17" s="144">
        <f t="shared" si="11"/>
        <v>21159.31766</v>
      </c>
      <c r="X17" s="47">
        <v>9.0</v>
      </c>
      <c r="Y17" s="47" t="s">
        <v>40</v>
      </c>
      <c r="Z17" s="59">
        <v>5704.560625878214</v>
      </c>
      <c r="AB17" s="47">
        <v>9.0</v>
      </c>
      <c r="AC17" s="47" t="s">
        <v>40</v>
      </c>
      <c r="AD17" s="59">
        <v>6459.991070893835</v>
      </c>
    </row>
    <row r="18" ht="15.75" customHeight="1">
      <c r="C18" s="47">
        <v>10.0</v>
      </c>
      <c r="D18" s="47" t="s">
        <v>45</v>
      </c>
      <c r="E18" s="55">
        <v>2235.7791447870495</v>
      </c>
      <c r="F18" s="59">
        <f>2408.5+753.7</f>
        <v>3162.2</v>
      </c>
      <c r="G18" s="51">
        <f t="shared" si="3"/>
        <v>926.4208552</v>
      </c>
      <c r="I18" s="47">
        <v>10.0</v>
      </c>
      <c r="J18" s="47" t="s">
        <v>45</v>
      </c>
      <c r="K18" s="55">
        <v>3100.0</v>
      </c>
      <c r="L18" s="55">
        <f>3452.94-155.85</f>
        <v>3297.09</v>
      </c>
      <c r="M18" s="51">
        <f t="shared" si="5"/>
        <v>197.09</v>
      </c>
      <c r="O18" s="1"/>
      <c r="P18" s="8"/>
      <c r="S18" s="1"/>
      <c r="T18" s="8"/>
      <c r="U18" s="8"/>
      <c r="X18" s="47">
        <v>10.0</v>
      </c>
      <c r="Y18" s="47" t="s">
        <v>47</v>
      </c>
      <c r="Z18" s="59">
        <v>4738.437032651001</v>
      </c>
      <c r="AB18" s="47">
        <v>10.0</v>
      </c>
      <c r="AC18" s="47" t="s">
        <v>47</v>
      </c>
      <c r="AD18" s="59">
        <v>6936.5085940561485</v>
      </c>
    </row>
    <row r="19" ht="15.75" customHeight="1">
      <c r="C19" s="47">
        <v>11.0</v>
      </c>
      <c r="D19" s="47" t="s">
        <v>46</v>
      </c>
      <c r="E19" s="55">
        <v>2260.304688787241</v>
      </c>
      <c r="F19" s="59">
        <f>1755.35+1834</f>
        <v>3589.35</v>
      </c>
      <c r="G19" s="51">
        <f t="shared" si="3"/>
        <v>1329.045311</v>
      </c>
      <c r="I19" s="47">
        <v>11.0</v>
      </c>
      <c r="J19" s="47" t="s">
        <v>46</v>
      </c>
      <c r="K19" s="55">
        <v>4000.0</v>
      </c>
      <c r="L19" s="55">
        <f>5331.63-226.61</f>
        <v>5105.02</v>
      </c>
      <c r="M19" s="51">
        <f t="shared" si="5"/>
        <v>1105.02</v>
      </c>
      <c r="O19" s="139" t="s">
        <v>93</v>
      </c>
      <c r="P19" s="41"/>
      <c r="Q19" s="41"/>
      <c r="R19" s="6"/>
      <c r="T19" s="139" t="s">
        <v>5</v>
      </c>
      <c r="U19" s="41"/>
      <c r="V19" s="6"/>
      <c r="X19" s="47">
        <v>11.0</v>
      </c>
      <c r="Y19" s="47" t="s">
        <v>48</v>
      </c>
      <c r="Z19" s="59">
        <v>10638.144223002666</v>
      </c>
      <c r="AB19" s="47">
        <v>11.0</v>
      </c>
      <c r="AC19" s="47" t="s">
        <v>48</v>
      </c>
      <c r="AD19" s="59">
        <v>10000.558185944263</v>
      </c>
    </row>
    <row r="20" ht="15.75" customHeight="1">
      <c r="C20" s="47">
        <v>12.0</v>
      </c>
      <c r="D20" s="47" t="s">
        <v>40</v>
      </c>
      <c r="E20" s="55">
        <v>5342.01218324771</v>
      </c>
      <c r="F20" s="59">
        <f>3851.75</f>
        <v>3851.75</v>
      </c>
      <c r="G20" s="51">
        <f t="shared" si="3"/>
        <v>-1490.262183</v>
      </c>
      <c r="I20" s="47">
        <v>12.0</v>
      </c>
      <c r="J20" s="47" t="s">
        <v>40</v>
      </c>
      <c r="K20" s="55">
        <v>3800.0</v>
      </c>
      <c r="L20" s="55">
        <f>4670.7-200.91</f>
        <v>4469.79</v>
      </c>
      <c r="M20" s="51">
        <f t="shared" si="5"/>
        <v>669.79</v>
      </c>
      <c r="O20" s="140"/>
      <c r="P20" s="141">
        <v>45352.0</v>
      </c>
      <c r="Q20" s="141">
        <v>45383.0</v>
      </c>
      <c r="R20" s="142" t="s">
        <v>90</v>
      </c>
      <c r="T20" s="140"/>
      <c r="U20" s="141">
        <v>45717.0</v>
      </c>
      <c r="V20" s="141" t="s">
        <v>202</v>
      </c>
      <c r="X20" s="47">
        <v>12.0</v>
      </c>
      <c r="Y20" s="47" t="s">
        <v>41</v>
      </c>
      <c r="Z20" s="59">
        <v>21000.0</v>
      </c>
      <c r="AB20" s="47">
        <v>12.0</v>
      </c>
      <c r="AC20" s="47" t="s">
        <v>41</v>
      </c>
      <c r="AD20" s="59">
        <v>13563.427139805899</v>
      </c>
    </row>
    <row r="21" ht="15.75" customHeight="1">
      <c r="C21" s="47">
        <v>13.0</v>
      </c>
      <c r="D21" s="47" t="s">
        <v>47</v>
      </c>
      <c r="E21" s="55">
        <v>8200.0</v>
      </c>
      <c r="F21" s="59">
        <f>6029.86</f>
        <v>6029.86</v>
      </c>
      <c r="G21" s="51">
        <f t="shared" si="3"/>
        <v>-2170.14</v>
      </c>
      <c r="I21" s="47">
        <v>13.0</v>
      </c>
      <c r="J21" s="47" t="s">
        <v>47</v>
      </c>
      <c r="K21" s="55">
        <v>6400.0</v>
      </c>
      <c r="L21" s="55">
        <f>4176.01-109+138.96</f>
        <v>4205.97</v>
      </c>
      <c r="M21" s="51">
        <f t="shared" si="5"/>
        <v>-2194.03</v>
      </c>
      <c r="O21" s="140" t="s">
        <v>6</v>
      </c>
      <c r="P21" s="55">
        <f>2488.27</f>
        <v>2488.27</v>
      </c>
      <c r="Q21" s="55">
        <f>3083.62</f>
        <v>3083.62</v>
      </c>
      <c r="R21" s="143">
        <f t="shared" ref="R21:R27" si="14">Q21/P21-1</f>
        <v>0.2392626202</v>
      </c>
      <c r="T21" s="140" t="s">
        <v>6</v>
      </c>
      <c r="U21" s="55">
        <f>AVERAGE(L11,L18,L32,L39)</f>
        <v>5771.9325</v>
      </c>
      <c r="V21" s="144">
        <f t="shared" ref="V21:V27" si="15">U21*R21+U21</f>
        <v>7152.940194</v>
      </c>
      <c r="X21" s="47">
        <v>13.0</v>
      </c>
      <c r="Y21" s="47" t="s">
        <v>44</v>
      </c>
      <c r="Z21" s="59">
        <v>21000.0</v>
      </c>
      <c r="AB21" s="47">
        <v>13.0</v>
      </c>
      <c r="AC21" s="47" t="s">
        <v>44</v>
      </c>
      <c r="AD21" s="59">
        <v>21009.574853148762</v>
      </c>
    </row>
    <row r="22" ht="15.75" customHeight="1">
      <c r="C22" s="47">
        <v>14.0</v>
      </c>
      <c r="D22" s="47" t="s">
        <v>48</v>
      </c>
      <c r="E22" s="55">
        <v>11900.0</v>
      </c>
      <c r="F22" s="59">
        <f>9465.3-190-230</f>
        <v>9045.3</v>
      </c>
      <c r="G22" s="51">
        <f t="shared" si="3"/>
        <v>-2854.7</v>
      </c>
      <c r="I22" s="47">
        <v>14.0</v>
      </c>
      <c r="J22" s="47" t="s">
        <v>48</v>
      </c>
      <c r="K22" s="55">
        <v>12500.0</v>
      </c>
      <c r="L22" s="55">
        <f>13251.57-728.19-8-12-201.02</f>
        <v>12302.36</v>
      </c>
      <c r="M22" s="51">
        <f t="shared" si="5"/>
        <v>-197.64</v>
      </c>
      <c r="O22" s="140" t="s">
        <v>10</v>
      </c>
      <c r="P22" s="55">
        <f>3058.85</f>
        <v>3058.85</v>
      </c>
      <c r="Q22" s="55">
        <f>6676.79</f>
        <v>6676.79</v>
      </c>
      <c r="R22" s="143">
        <f t="shared" si="14"/>
        <v>1.182777841</v>
      </c>
      <c r="T22" s="140" t="s">
        <v>10</v>
      </c>
      <c r="U22" s="55">
        <f t="shared" ref="U22:U25" si="16">AVERAGE(L12,L19,L26,L33)</f>
        <v>7407.2</v>
      </c>
      <c r="V22" s="144">
        <f t="shared" si="15"/>
        <v>16168.27203</v>
      </c>
      <c r="X22" s="47">
        <v>14.0</v>
      </c>
      <c r="Y22" s="47" t="s">
        <v>45</v>
      </c>
      <c r="Z22" s="59">
        <v>6287.5203975890045</v>
      </c>
      <c r="AB22" s="47">
        <v>14.0</v>
      </c>
      <c r="AC22" s="47" t="s">
        <v>45</v>
      </c>
      <c r="AD22" s="59">
        <v>7152.940193648599</v>
      </c>
    </row>
    <row r="23" ht="15.75" customHeight="1">
      <c r="C23" s="47">
        <v>15.0</v>
      </c>
      <c r="D23" s="47" t="s">
        <v>41</v>
      </c>
      <c r="E23" s="55">
        <v>17000.0</v>
      </c>
      <c r="F23" s="59">
        <f>13423.75+782</f>
        <v>14205.75</v>
      </c>
      <c r="G23" s="51">
        <f t="shared" si="3"/>
        <v>-2794.25</v>
      </c>
      <c r="I23" s="47">
        <v>15.0</v>
      </c>
      <c r="J23" s="47" t="s">
        <v>41</v>
      </c>
      <c r="K23" s="55">
        <v>15500.0</v>
      </c>
      <c r="L23" s="55">
        <f>14180.97-399.85</f>
        <v>13781.12</v>
      </c>
      <c r="M23" s="51">
        <f t="shared" si="5"/>
        <v>-1718.88</v>
      </c>
      <c r="O23" s="140" t="s">
        <v>12</v>
      </c>
      <c r="P23" s="55">
        <f>4421.4</f>
        <v>4421.4</v>
      </c>
      <c r="Q23" s="55">
        <v>4695.86</v>
      </c>
      <c r="R23" s="143">
        <f t="shared" si="14"/>
        <v>0.06207536075</v>
      </c>
      <c r="T23" s="140" t="s">
        <v>12</v>
      </c>
      <c r="U23" s="55">
        <f t="shared" si="16"/>
        <v>6082.4225</v>
      </c>
      <c r="V23" s="144">
        <f t="shared" si="15"/>
        <v>6459.991071</v>
      </c>
      <c r="X23" s="47">
        <v>15.0</v>
      </c>
      <c r="Y23" s="47" t="s">
        <v>46</v>
      </c>
      <c r="Z23" s="59">
        <v>6391.699263535372</v>
      </c>
      <c r="AB23" s="47">
        <v>15.0</v>
      </c>
      <c r="AC23" s="47" t="s">
        <v>46</v>
      </c>
      <c r="AD23" s="250">
        <v>7600.0</v>
      </c>
    </row>
    <row r="24" ht="15.75" customHeight="1">
      <c r="C24" s="47">
        <v>16.0</v>
      </c>
      <c r="D24" s="47" t="s">
        <v>44</v>
      </c>
      <c r="E24" s="55">
        <v>18000.0</v>
      </c>
      <c r="F24" s="59">
        <f>14629.25</f>
        <v>14629.25</v>
      </c>
      <c r="G24" s="51">
        <f t="shared" si="3"/>
        <v>-3370.75</v>
      </c>
      <c r="I24" s="47">
        <v>16.0</v>
      </c>
      <c r="J24" s="47" t="s">
        <v>44</v>
      </c>
      <c r="K24" s="55">
        <v>20000.0</v>
      </c>
      <c r="L24" s="59">
        <f>18839.85-1016.1</f>
        <v>17823.75</v>
      </c>
      <c r="M24" s="51">
        <f t="shared" si="5"/>
        <v>-2176.25</v>
      </c>
      <c r="O24" s="140" t="s">
        <v>15</v>
      </c>
      <c r="P24" s="55">
        <f>6078.55</f>
        <v>6078.55</v>
      </c>
      <c r="Q24" s="55">
        <f>8289.67</f>
        <v>8289.67</v>
      </c>
      <c r="R24" s="143">
        <f t="shared" si="14"/>
        <v>0.3637578041</v>
      </c>
      <c r="T24" s="140" t="s">
        <v>15</v>
      </c>
      <c r="U24" s="55">
        <f t="shared" si="16"/>
        <v>5086.32</v>
      </c>
      <c r="V24" s="144">
        <f t="shared" si="15"/>
        <v>6936.508594</v>
      </c>
      <c r="X24" s="47">
        <v>16.0</v>
      </c>
      <c r="Y24" s="47" t="s">
        <v>40</v>
      </c>
      <c r="Z24" s="59">
        <v>5704.560625878214</v>
      </c>
      <c r="AB24" s="47">
        <v>16.0</v>
      </c>
      <c r="AC24" s="47" t="s">
        <v>40</v>
      </c>
      <c r="AD24" s="59">
        <v>6459.991070893835</v>
      </c>
    </row>
    <row r="25" ht="15.75" customHeight="1">
      <c r="C25" s="176">
        <v>17.0</v>
      </c>
      <c r="D25" s="176" t="s">
        <v>45</v>
      </c>
      <c r="E25" s="63"/>
      <c r="F25" s="63"/>
      <c r="G25" s="51"/>
      <c r="I25" s="176">
        <v>17.0</v>
      </c>
      <c r="J25" s="176" t="s">
        <v>45</v>
      </c>
      <c r="K25" s="63"/>
      <c r="L25" s="63"/>
      <c r="M25" s="51"/>
      <c r="O25" s="140" t="s">
        <v>17</v>
      </c>
      <c r="P25" s="13">
        <v>10391.77</v>
      </c>
      <c r="Q25" s="13">
        <f>8919.54</f>
        <v>8919.54</v>
      </c>
      <c r="R25" s="143">
        <f t="shared" si="14"/>
        <v>-0.1416726891</v>
      </c>
      <c r="T25" s="140" t="s">
        <v>17</v>
      </c>
      <c r="U25" s="55">
        <f t="shared" si="16"/>
        <v>11651.2175</v>
      </c>
      <c r="V25" s="144">
        <f t="shared" si="15"/>
        <v>10000.55819</v>
      </c>
      <c r="X25" s="47">
        <v>17.0</v>
      </c>
      <c r="Y25" s="47" t="s">
        <v>47</v>
      </c>
      <c r="Z25" s="59">
        <v>4738.437032651001</v>
      </c>
      <c r="AA25" s="195"/>
      <c r="AB25" s="47">
        <v>17.0</v>
      </c>
      <c r="AC25" s="47" t="s">
        <v>47</v>
      </c>
      <c r="AD25" s="59">
        <v>6936.5085940561485</v>
      </c>
    </row>
    <row r="26" ht="15.75" customHeight="1">
      <c r="C26" s="47">
        <v>18.0</v>
      </c>
      <c r="D26" s="47" t="s">
        <v>46</v>
      </c>
      <c r="E26" s="55">
        <v>2260.304688787241</v>
      </c>
      <c r="F26" s="59">
        <f>6583.77</f>
        <v>6583.77</v>
      </c>
      <c r="G26" s="51">
        <f t="shared" ref="G26:G39" si="17">F26-E26</f>
        <v>4323.465311</v>
      </c>
      <c r="I26" s="47">
        <v>18.0</v>
      </c>
      <c r="J26" s="47" t="s">
        <v>46</v>
      </c>
      <c r="K26" s="55">
        <v>4000.0</v>
      </c>
      <c r="L26" s="59">
        <f>4150.52-112.97</f>
        <v>4037.55</v>
      </c>
      <c r="M26" s="51">
        <f t="shared" ref="M26:M39" si="18">L26-K26</f>
        <v>37.55</v>
      </c>
      <c r="O26" s="140" t="s">
        <v>19</v>
      </c>
      <c r="P26" s="55">
        <f>12828.5</f>
        <v>12828.5</v>
      </c>
      <c r="Q26" s="55">
        <v>12517.35</v>
      </c>
      <c r="R26" s="143">
        <f t="shared" si="14"/>
        <v>-0.02425458939</v>
      </c>
      <c r="T26" s="140" t="s">
        <v>19</v>
      </c>
      <c r="U26" s="55">
        <f t="shared" ref="U26:U27" si="19">AVERAGE(L9,L16,L23,L30,L37)</f>
        <v>13900.58</v>
      </c>
      <c r="V26" s="144">
        <f t="shared" si="15"/>
        <v>13563.42714</v>
      </c>
      <c r="X26" s="47">
        <v>18.0</v>
      </c>
      <c r="Y26" s="47" t="s">
        <v>48</v>
      </c>
      <c r="Z26" s="59">
        <v>10638.144223002666</v>
      </c>
      <c r="AB26" s="47">
        <v>18.0</v>
      </c>
      <c r="AC26" s="47" t="s">
        <v>48</v>
      </c>
      <c r="AD26" s="59">
        <v>10000.558185944263</v>
      </c>
    </row>
    <row r="27" ht="15.75" customHeight="1">
      <c r="C27" s="47">
        <v>19.0</v>
      </c>
      <c r="D27" s="47" t="s">
        <v>40</v>
      </c>
      <c r="E27" s="55">
        <v>5342.01218324771</v>
      </c>
      <c r="F27" s="59">
        <f>4022.25</f>
        <v>4022.25</v>
      </c>
      <c r="G27" s="51">
        <f t="shared" si="17"/>
        <v>-1319.762183</v>
      </c>
      <c r="I27" s="47">
        <v>19.0</v>
      </c>
      <c r="J27" s="47" t="s">
        <v>40</v>
      </c>
      <c r="K27" s="55">
        <v>3800.0</v>
      </c>
      <c r="L27" s="59">
        <f>6311.74-322.69</f>
        <v>5989.05</v>
      </c>
      <c r="M27" s="51">
        <f t="shared" si="18"/>
        <v>2189.05</v>
      </c>
      <c r="O27" s="140" t="s">
        <v>20</v>
      </c>
      <c r="P27" s="55">
        <f>19985.19</f>
        <v>19985.19</v>
      </c>
      <c r="Q27" s="55">
        <v>21259.45</v>
      </c>
      <c r="R27" s="145">
        <f t="shared" si="14"/>
        <v>0.06376021444</v>
      </c>
      <c r="T27" s="140" t="s">
        <v>20</v>
      </c>
      <c r="U27" s="55">
        <f t="shared" si="19"/>
        <v>19750.292</v>
      </c>
      <c r="V27" s="144">
        <f t="shared" si="15"/>
        <v>21009.57485</v>
      </c>
      <c r="X27" s="47">
        <v>19.0</v>
      </c>
      <c r="Y27" s="47" t="s">
        <v>41</v>
      </c>
      <c r="Z27" s="59">
        <v>21000.0</v>
      </c>
      <c r="AB27" s="47">
        <v>19.0</v>
      </c>
      <c r="AC27" s="47" t="s">
        <v>41</v>
      </c>
      <c r="AD27" s="59">
        <v>13563.427139805899</v>
      </c>
    </row>
    <row r="28" ht="15.75" customHeight="1">
      <c r="C28" s="47">
        <v>20.0</v>
      </c>
      <c r="D28" s="47" t="s">
        <v>47</v>
      </c>
      <c r="E28" s="55">
        <v>8000.0</v>
      </c>
      <c r="F28" s="59">
        <f>5459.3</f>
        <v>5459.3</v>
      </c>
      <c r="G28" s="51">
        <f t="shared" si="17"/>
        <v>-2540.7</v>
      </c>
      <c r="I28" s="47">
        <v>20.0</v>
      </c>
      <c r="J28" s="47" t="s">
        <v>47</v>
      </c>
      <c r="K28" s="55">
        <v>6400.0</v>
      </c>
      <c r="L28" s="59">
        <f>6287.46-254.69</f>
        <v>6032.77</v>
      </c>
      <c r="M28" s="51">
        <f t="shared" si="18"/>
        <v>-367.23</v>
      </c>
      <c r="X28" s="47">
        <v>20.0</v>
      </c>
      <c r="Y28" s="47" t="s">
        <v>44</v>
      </c>
      <c r="Z28" s="59">
        <v>21000.0</v>
      </c>
      <c r="AB28" s="47">
        <v>20.0</v>
      </c>
      <c r="AC28" s="47" t="s">
        <v>44</v>
      </c>
      <c r="AD28" s="59">
        <v>21009.574853148762</v>
      </c>
    </row>
    <row r="29" ht="15.75" customHeight="1">
      <c r="C29" s="47">
        <v>21.0</v>
      </c>
      <c r="D29" s="47" t="s">
        <v>48</v>
      </c>
      <c r="E29" s="55">
        <v>11900.0</v>
      </c>
      <c r="F29" s="59">
        <f>12835.54-175</f>
        <v>12660.54</v>
      </c>
      <c r="G29" s="51">
        <f t="shared" si="17"/>
        <v>760.54</v>
      </c>
      <c r="I29" s="47">
        <v>21.0</v>
      </c>
      <c r="J29" s="47" t="s">
        <v>48</v>
      </c>
      <c r="K29" s="55">
        <v>12500.0</v>
      </c>
      <c r="L29" s="59">
        <f>12304.23-591.46</f>
        <v>11712.77</v>
      </c>
      <c r="M29" s="51">
        <f t="shared" si="18"/>
        <v>-787.23</v>
      </c>
      <c r="X29" s="47">
        <v>21.0</v>
      </c>
      <c r="Y29" s="47" t="s">
        <v>45</v>
      </c>
      <c r="Z29" s="59">
        <v>6287.5203975890045</v>
      </c>
      <c r="AB29" s="47">
        <v>21.0</v>
      </c>
      <c r="AC29" s="47" t="s">
        <v>45</v>
      </c>
      <c r="AD29" s="59">
        <v>7152.940193648599</v>
      </c>
    </row>
    <row r="30" ht="15.75" customHeight="1">
      <c r="C30" s="47">
        <v>22.0</v>
      </c>
      <c r="D30" s="47" t="s">
        <v>41</v>
      </c>
      <c r="E30" s="55">
        <v>17000.0</v>
      </c>
      <c r="F30" s="59">
        <f>22310.71</f>
        <v>22310.71</v>
      </c>
      <c r="G30" s="51">
        <f t="shared" si="17"/>
        <v>5310.71</v>
      </c>
      <c r="I30" s="47">
        <v>22.0</v>
      </c>
      <c r="J30" s="47" t="s">
        <v>41</v>
      </c>
      <c r="K30" s="55">
        <v>15500.0</v>
      </c>
      <c r="L30" s="59">
        <f>13794.41-359.97</f>
        <v>13434.44</v>
      </c>
      <c r="M30" s="51">
        <f t="shared" si="18"/>
        <v>-2065.56</v>
      </c>
      <c r="X30" s="47">
        <v>22.0</v>
      </c>
      <c r="Y30" s="47" t="s">
        <v>46</v>
      </c>
      <c r="Z30" s="59">
        <v>6391.699263535372</v>
      </c>
      <c r="AB30" s="47">
        <v>22.0</v>
      </c>
      <c r="AC30" s="47" t="s">
        <v>46</v>
      </c>
      <c r="AD30" s="250">
        <v>7600.0</v>
      </c>
    </row>
    <row r="31" ht="15.75" customHeight="1">
      <c r="C31" s="47">
        <v>23.0</v>
      </c>
      <c r="D31" s="47" t="s">
        <v>44</v>
      </c>
      <c r="E31" s="55">
        <v>18000.0</v>
      </c>
      <c r="F31" s="59">
        <f>16377.25</f>
        <v>16377.25</v>
      </c>
      <c r="G31" s="51">
        <f t="shared" si="17"/>
        <v>-1622.75</v>
      </c>
      <c r="I31" s="47">
        <v>23.0</v>
      </c>
      <c r="J31" s="47" t="s">
        <v>44</v>
      </c>
      <c r="K31" s="55">
        <v>20000.0</v>
      </c>
      <c r="L31" s="59">
        <f>17948.72-1174.47</f>
        <v>16774.25</v>
      </c>
      <c r="M31" s="51">
        <f t="shared" si="18"/>
        <v>-3225.75</v>
      </c>
      <c r="X31" s="47">
        <v>23.0</v>
      </c>
      <c r="Y31" s="47" t="s">
        <v>40</v>
      </c>
      <c r="Z31" s="59">
        <v>5704.560625878214</v>
      </c>
      <c r="AB31" s="47">
        <v>23.0</v>
      </c>
      <c r="AC31" s="47" t="s">
        <v>40</v>
      </c>
      <c r="AD31" s="59">
        <v>6459.991070893835</v>
      </c>
    </row>
    <row r="32" ht="15.75" customHeight="1">
      <c r="C32" s="47">
        <v>24.0</v>
      </c>
      <c r="D32" s="47" t="s">
        <v>45</v>
      </c>
      <c r="E32" s="55">
        <v>2235.7791447870495</v>
      </c>
      <c r="F32" s="59">
        <f>3629.15</f>
        <v>3629.15</v>
      </c>
      <c r="G32" s="51">
        <f t="shared" si="17"/>
        <v>1393.370855</v>
      </c>
      <c r="I32" s="47">
        <v>24.0</v>
      </c>
      <c r="J32" s="47" t="s">
        <v>45</v>
      </c>
      <c r="K32" s="55">
        <v>3100.0</v>
      </c>
      <c r="L32" s="59">
        <f>3333.28-82.94</f>
        <v>3250.34</v>
      </c>
      <c r="M32" s="51">
        <f t="shared" si="18"/>
        <v>150.34</v>
      </c>
      <c r="X32" s="47">
        <v>24.0</v>
      </c>
      <c r="Y32" s="47" t="s">
        <v>47</v>
      </c>
      <c r="Z32" s="59">
        <v>4738.437032651001</v>
      </c>
      <c r="AB32" s="47">
        <v>24.0</v>
      </c>
      <c r="AC32" s="47" t="s">
        <v>47</v>
      </c>
      <c r="AD32" s="59">
        <v>6936.5085940561485</v>
      </c>
    </row>
    <row r="33" ht="15.75" customHeight="1">
      <c r="C33" s="47">
        <v>25.0</v>
      </c>
      <c r="D33" s="47" t="s">
        <v>46</v>
      </c>
      <c r="E33" s="55">
        <v>2260.304688787241</v>
      </c>
      <c r="F33" s="59">
        <f>6225.75</f>
        <v>6225.75</v>
      </c>
      <c r="G33" s="51">
        <f t="shared" si="17"/>
        <v>3965.445311</v>
      </c>
      <c r="I33" s="47">
        <v>25.0</v>
      </c>
      <c r="J33" s="47" t="s">
        <v>46</v>
      </c>
      <c r="K33" s="55">
        <v>4000.0</v>
      </c>
      <c r="L33" s="59">
        <f>6605.02-166.88</f>
        <v>6438.14</v>
      </c>
      <c r="M33" s="51">
        <f t="shared" si="18"/>
        <v>2438.14</v>
      </c>
      <c r="X33" s="47">
        <v>25.0</v>
      </c>
      <c r="Y33" s="47" t="s">
        <v>48</v>
      </c>
      <c r="Z33" s="59">
        <v>10638.144223002666</v>
      </c>
      <c r="AB33" s="47">
        <v>25.0</v>
      </c>
      <c r="AC33" s="47" t="s">
        <v>48</v>
      </c>
      <c r="AD33" s="59">
        <v>10000.558185944263</v>
      </c>
    </row>
    <row r="34" ht="15.75" customHeight="1">
      <c r="C34" s="47">
        <v>26.0</v>
      </c>
      <c r="D34" s="47" t="s">
        <v>40</v>
      </c>
      <c r="E34" s="55">
        <v>5342.01218324771</v>
      </c>
      <c r="F34" s="59">
        <f>6970.9</f>
        <v>6970.9</v>
      </c>
      <c r="G34" s="51">
        <f t="shared" si="17"/>
        <v>1628.887817</v>
      </c>
      <c r="I34" s="47">
        <v>26.0</v>
      </c>
      <c r="J34" s="47" t="s">
        <v>40</v>
      </c>
      <c r="K34" s="55">
        <v>3800.0</v>
      </c>
      <c r="L34" s="55">
        <f>5364.8-235.9</f>
        <v>5128.9</v>
      </c>
      <c r="M34" s="51">
        <f t="shared" si="18"/>
        <v>1328.9</v>
      </c>
      <c r="X34" s="47">
        <v>26.0</v>
      </c>
      <c r="Y34" s="47" t="s">
        <v>41</v>
      </c>
      <c r="Z34" s="59">
        <v>21000.0</v>
      </c>
      <c r="AB34" s="47">
        <v>26.0</v>
      </c>
      <c r="AC34" s="47" t="s">
        <v>41</v>
      </c>
      <c r="AD34" s="59">
        <v>13563.427139805899</v>
      </c>
    </row>
    <row r="35" ht="15.75" customHeight="1">
      <c r="C35" s="47">
        <v>27.0</v>
      </c>
      <c r="D35" s="47" t="s">
        <v>47</v>
      </c>
      <c r="E35" s="55">
        <v>8000.0</v>
      </c>
      <c r="F35" s="59">
        <f>5358.6</f>
        <v>5358.6</v>
      </c>
      <c r="G35" s="51">
        <f t="shared" si="17"/>
        <v>-2641.4</v>
      </c>
      <c r="I35" s="47">
        <v>27.0</v>
      </c>
      <c r="J35" s="47" t="s">
        <v>47</v>
      </c>
      <c r="K35" s="55">
        <v>6000.0</v>
      </c>
      <c r="L35" s="55">
        <f>5117.45-221.91</f>
        <v>4895.54</v>
      </c>
      <c r="M35" s="51">
        <f t="shared" si="18"/>
        <v>-1104.46</v>
      </c>
      <c r="X35" s="47">
        <v>27.0</v>
      </c>
      <c r="Y35" s="47" t="s">
        <v>44</v>
      </c>
      <c r="Z35" s="59">
        <v>21000.0</v>
      </c>
      <c r="AB35" s="47">
        <v>27.0</v>
      </c>
      <c r="AC35" s="47" t="s">
        <v>44</v>
      </c>
      <c r="AD35" s="59">
        <v>21009.574853148762</v>
      </c>
    </row>
    <row r="36" ht="15.75" customHeight="1">
      <c r="C36" s="47">
        <v>28.0</v>
      </c>
      <c r="D36" s="47" t="s">
        <v>48</v>
      </c>
      <c r="E36" s="55">
        <v>11900.0</v>
      </c>
      <c r="F36" s="59">
        <f>13151.36-88.27</f>
        <v>13063.09</v>
      </c>
      <c r="G36" s="51">
        <f t="shared" si="17"/>
        <v>1163.09</v>
      </c>
      <c r="I36" s="47">
        <v>28.0</v>
      </c>
      <c r="J36" s="47" t="s">
        <v>48</v>
      </c>
      <c r="K36" s="55">
        <v>12500.0</v>
      </c>
      <c r="L36" s="55">
        <f>11888.57-553.69</f>
        <v>11334.88</v>
      </c>
      <c r="M36" s="51">
        <f t="shared" si="18"/>
        <v>-1165.12</v>
      </c>
      <c r="X36" s="47">
        <v>28.0</v>
      </c>
      <c r="Y36" s="47" t="s">
        <v>45</v>
      </c>
      <c r="Z36" s="59">
        <v>6287.5203975890045</v>
      </c>
      <c r="AB36" s="47">
        <v>28.0</v>
      </c>
      <c r="AC36" s="47" t="s">
        <v>45</v>
      </c>
      <c r="AD36" s="59">
        <v>7152.940193648599</v>
      </c>
    </row>
    <row r="37" ht="15.75" customHeight="1">
      <c r="C37" s="47">
        <v>29.0</v>
      </c>
      <c r="D37" s="47" t="s">
        <v>41</v>
      </c>
      <c r="E37" s="55">
        <v>17000.0</v>
      </c>
      <c r="F37" s="59">
        <f>14679.86</f>
        <v>14679.86</v>
      </c>
      <c r="G37" s="51">
        <f t="shared" si="17"/>
        <v>-2320.14</v>
      </c>
      <c r="I37" s="47">
        <v>29.0</v>
      </c>
      <c r="J37" s="47" t="s">
        <v>41</v>
      </c>
      <c r="K37" s="55">
        <v>15500.0</v>
      </c>
      <c r="L37" s="55">
        <f>17794.17-1230.53</f>
        <v>16563.64</v>
      </c>
      <c r="M37" s="51">
        <f t="shared" si="18"/>
        <v>1063.64</v>
      </c>
      <c r="X37" s="47">
        <v>29.0</v>
      </c>
      <c r="Y37" s="47" t="s">
        <v>46</v>
      </c>
      <c r="Z37" s="59">
        <v>6391.699263535372</v>
      </c>
      <c r="AB37" s="47">
        <v>29.0</v>
      </c>
      <c r="AC37" s="47" t="s">
        <v>46</v>
      </c>
      <c r="AD37" s="250">
        <v>7600.0</v>
      </c>
    </row>
    <row r="38" ht="15.75" customHeight="1">
      <c r="C38" s="47">
        <v>30.0</v>
      </c>
      <c r="D38" s="47" t="s">
        <v>44</v>
      </c>
      <c r="E38" s="55">
        <v>18000.0</v>
      </c>
      <c r="F38" s="59">
        <f>18721.8</f>
        <v>18721.8</v>
      </c>
      <c r="G38" s="51">
        <f t="shared" si="17"/>
        <v>721.8</v>
      </c>
      <c r="I38" s="47">
        <v>30.0</v>
      </c>
      <c r="J38" s="47" t="s">
        <v>44</v>
      </c>
      <c r="K38" s="55">
        <v>20000.0</v>
      </c>
      <c r="L38" s="55">
        <f>24143.11-1754.22</f>
        <v>22388.89</v>
      </c>
      <c r="M38" s="51">
        <f t="shared" si="18"/>
        <v>2388.89</v>
      </c>
      <c r="X38" s="47">
        <v>30.0</v>
      </c>
      <c r="Y38" s="47" t="s">
        <v>40</v>
      </c>
      <c r="Z38" s="59">
        <v>5704.560625878214</v>
      </c>
      <c r="AB38" s="47">
        <v>30.0</v>
      </c>
      <c r="AC38" s="47" t="s">
        <v>40</v>
      </c>
      <c r="AD38" s="59">
        <v>6459.991070893835</v>
      </c>
    </row>
    <row r="39" ht="15.75" customHeight="1">
      <c r="C39" s="47">
        <v>31.0</v>
      </c>
      <c r="D39" s="47" t="s">
        <v>45</v>
      </c>
      <c r="E39" s="55">
        <v>2235.7791447870495</v>
      </c>
      <c r="F39" s="59">
        <f>3218.25</f>
        <v>3218.25</v>
      </c>
      <c r="G39" s="51">
        <f t="shared" si="17"/>
        <v>982.4708552</v>
      </c>
      <c r="I39" s="47">
        <v>31.0</v>
      </c>
      <c r="J39" s="47" t="s">
        <v>45</v>
      </c>
      <c r="K39" s="55">
        <v>3100.0</v>
      </c>
      <c r="L39" s="55">
        <f>5201.97-76.94</f>
        <v>5125.03</v>
      </c>
      <c r="M39" s="51">
        <f t="shared" si="18"/>
        <v>2025.03</v>
      </c>
      <c r="X39" s="47"/>
      <c r="Y39" s="47"/>
      <c r="Z39" s="59"/>
      <c r="AB39" s="47"/>
      <c r="AC39" s="47"/>
      <c r="AD39" s="59"/>
    </row>
    <row r="40" ht="15.75" customHeight="1">
      <c r="C40" s="8"/>
      <c r="D40" s="8"/>
      <c r="E40" s="107">
        <f t="shared" ref="E40:G40" si="20">SUM(E9:E39)</f>
        <v>308000.0002</v>
      </c>
      <c r="F40" s="107">
        <f t="shared" si="20"/>
        <v>310380.18</v>
      </c>
      <c r="G40" s="105">
        <f t="shared" si="20"/>
        <v>2380.179766</v>
      </c>
      <c r="I40" s="8"/>
      <c r="J40" s="8"/>
      <c r="K40" s="107">
        <f t="shared" ref="K40:M40" si="21">SUM(K9:K39)</f>
        <v>315000</v>
      </c>
      <c r="L40" s="107">
        <f t="shared" si="21"/>
        <v>312250.73</v>
      </c>
      <c r="M40" s="105">
        <f t="shared" si="21"/>
        <v>-2749.27</v>
      </c>
      <c r="X40" s="8"/>
      <c r="Y40" s="8"/>
      <c r="Z40" s="107">
        <f>SUM(Z9:Z39)</f>
        <v>315137.7061</v>
      </c>
      <c r="AA40" s="107"/>
      <c r="AB40" s="8"/>
      <c r="AC40" s="8"/>
      <c r="AD40" s="107">
        <f>SUM(AD9:AD39)</f>
        <v>304951.9912</v>
      </c>
    </row>
    <row r="41" ht="15.75" customHeight="1">
      <c r="D41" s="61"/>
      <c r="F41" s="114">
        <f>F40/D44</f>
        <v>1.007727857</v>
      </c>
      <c r="G41" s="1"/>
      <c r="I41" s="1"/>
      <c r="J41" s="1"/>
      <c r="K41" s="1"/>
      <c r="L41" s="114">
        <f>L40/J44</f>
        <v>0.9912721587</v>
      </c>
      <c r="M41" s="1"/>
      <c r="X41" s="1"/>
      <c r="Y41" s="1"/>
      <c r="Z41" s="1"/>
      <c r="AA41" s="1"/>
      <c r="AB41" s="1"/>
      <c r="AD41" s="13"/>
    </row>
    <row r="42" ht="15.75" customHeight="1">
      <c r="C42" s="2"/>
      <c r="D42" s="2"/>
      <c r="E42" s="2"/>
      <c r="F42" s="2"/>
      <c r="J42" s="61"/>
      <c r="K42" s="2"/>
      <c r="L42" s="2"/>
      <c r="X42" s="1"/>
      <c r="Z42" s="258" t="s">
        <v>203</v>
      </c>
      <c r="AD42" s="258" t="s">
        <v>194</v>
      </c>
    </row>
    <row r="43" ht="15.75" customHeight="1">
      <c r="C43" s="2"/>
      <c r="D43" s="2"/>
      <c r="E43" s="115" t="s">
        <v>77</v>
      </c>
      <c r="F43" s="118">
        <f>E40+G40</f>
        <v>310380.18</v>
      </c>
      <c r="K43" s="115" t="s">
        <v>77</v>
      </c>
      <c r="L43" s="118">
        <f>K40+M40</f>
        <v>312250.73</v>
      </c>
      <c r="X43" s="1"/>
      <c r="AA43" s="13"/>
      <c r="AB43" s="196"/>
    </row>
    <row r="44" ht="15.75" customHeight="1">
      <c r="C44" s="122" t="s">
        <v>29</v>
      </c>
      <c r="D44" s="124">
        <v>308000.0</v>
      </c>
      <c r="E44" s="2"/>
      <c r="F44" s="2"/>
      <c r="I44" s="126" t="s">
        <v>29</v>
      </c>
      <c r="J44" s="124">
        <v>315000.0</v>
      </c>
      <c r="K44" s="2"/>
      <c r="L44" s="2"/>
      <c r="O44" s="61"/>
      <c r="X44" s="1"/>
      <c r="AA44" s="196" t="s">
        <v>197</v>
      </c>
    </row>
    <row r="45" ht="15.75" customHeight="1"/>
    <row r="46" ht="15.75" customHeight="1"/>
    <row r="47" ht="15.75" customHeight="1">
      <c r="E47" s="2"/>
      <c r="F47" s="2"/>
      <c r="J47" s="189"/>
      <c r="K47" s="2"/>
      <c r="L47" s="2"/>
      <c r="AB47" s="201"/>
      <c r="AC47" s="61"/>
      <c r="AF47" s="201"/>
      <c r="AG47" s="6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O9:R9"/>
    <mergeCell ref="T9:V9"/>
    <mergeCell ref="O19:R19"/>
    <mergeCell ref="T19:V19"/>
    <mergeCell ref="C4:G6"/>
    <mergeCell ref="I4:M6"/>
    <mergeCell ref="C7:G7"/>
    <mergeCell ref="I7:M7"/>
    <mergeCell ref="V7:W7"/>
    <mergeCell ref="X7:Z7"/>
    <mergeCell ref="AB7:AD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1.11"/>
    <col customWidth="1" min="5" max="5" width="19.33"/>
    <col customWidth="1" min="6" max="6" width="19.0"/>
    <col customWidth="1" min="7" max="7" width="18.44"/>
    <col customWidth="1" min="8" max="8" width="12.78"/>
    <col customWidth="1" min="9" max="9" width="11.0"/>
    <col customWidth="1" min="10" max="10" width="15.33"/>
    <col customWidth="1" min="11" max="11" width="19.11"/>
    <col customWidth="1" min="12" max="12" width="18.0"/>
    <col customWidth="1" min="13" max="13" width="21.44"/>
    <col customWidth="1" min="14" max="14" width="12.78"/>
    <col customWidth="1" min="15" max="15" width="11.0"/>
    <col customWidth="1" min="16" max="17" width="10.56"/>
    <col customWidth="1" min="18" max="18" width="11.33"/>
    <col customWidth="1" min="19" max="19" width="15.78"/>
    <col customWidth="1" min="20" max="20" width="15.44"/>
    <col customWidth="1" min="21" max="21" width="16.0"/>
    <col customWidth="1" min="22" max="22" width="15.44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D9" s="47">
        <v>1.0</v>
      </c>
      <c r="E9" s="47" t="s">
        <v>46</v>
      </c>
      <c r="F9" s="59">
        <v>6391.699263535372</v>
      </c>
      <c r="G9" s="59">
        <f>4568.65</f>
        <v>4568.65</v>
      </c>
      <c r="H9" s="51">
        <f t="shared" ref="H9:H32" si="1">G9-F9</f>
        <v>-1823.049264</v>
      </c>
      <c r="J9" s="47">
        <v>1.0</v>
      </c>
      <c r="K9" s="47" t="s">
        <v>46</v>
      </c>
      <c r="L9" s="250">
        <v>7600.0</v>
      </c>
      <c r="M9" s="59">
        <f>5834.7-293.76</f>
        <v>5540.94</v>
      </c>
      <c r="N9" s="51">
        <f t="shared" ref="N9:N32" si="2">M9-L9</f>
        <v>-2059.06</v>
      </c>
    </row>
    <row r="10" ht="15.75" customHeight="1">
      <c r="D10" s="47">
        <v>2.0</v>
      </c>
      <c r="E10" s="47" t="s">
        <v>40</v>
      </c>
      <c r="F10" s="59">
        <v>5704.560625878214</v>
      </c>
      <c r="G10" s="59">
        <f>4615.63</f>
        <v>4615.63</v>
      </c>
      <c r="H10" s="51">
        <f t="shared" si="1"/>
        <v>-1088.930626</v>
      </c>
      <c r="J10" s="47">
        <v>2.0</v>
      </c>
      <c r="K10" s="47" t="s">
        <v>40</v>
      </c>
      <c r="L10" s="59">
        <v>6459.991070893835</v>
      </c>
      <c r="M10" s="59">
        <f>6534.81-205.8-19.01</f>
        <v>6310</v>
      </c>
      <c r="N10" s="51">
        <f t="shared" si="2"/>
        <v>-149.9910709</v>
      </c>
    </row>
    <row r="11" ht="15.75" customHeight="1">
      <c r="D11" s="47">
        <v>3.0</v>
      </c>
      <c r="E11" s="47" t="s">
        <v>47</v>
      </c>
      <c r="F11" s="59">
        <v>4738.437032651001</v>
      </c>
      <c r="G11" s="59">
        <f>2464.95</f>
        <v>2464.95</v>
      </c>
      <c r="H11" s="51">
        <f t="shared" si="1"/>
        <v>-2273.487033</v>
      </c>
      <c r="J11" s="47">
        <v>3.0</v>
      </c>
      <c r="K11" s="47" t="s">
        <v>47</v>
      </c>
      <c r="L11" s="59">
        <v>6936.5085940561485</v>
      </c>
      <c r="M11" s="59">
        <f>7066.1-277.73</f>
        <v>6788.37</v>
      </c>
      <c r="N11" s="51">
        <f t="shared" si="2"/>
        <v>-148.1385941</v>
      </c>
    </row>
    <row r="12" ht="15.75" customHeight="1">
      <c r="D12" s="47">
        <v>4.0</v>
      </c>
      <c r="E12" s="47" t="s">
        <v>48</v>
      </c>
      <c r="F12" s="59">
        <v>10638.144223002666</v>
      </c>
      <c r="G12" s="59">
        <f>2071.55+8121.75-140</f>
        <v>10053.3</v>
      </c>
      <c r="H12" s="51">
        <f t="shared" si="1"/>
        <v>-584.844223</v>
      </c>
      <c r="J12" s="47">
        <v>4.0</v>
      </c>
      <c r="K12" s="47" t="s">
        <v>48</v>
      </c>
      <c r="L12" s="59">
        <v>10000.558185944263</v>
      </c>
      <c r="M12" s="59">
        <f>15090.19-1080.44</f>
        <v>14009.75</v>
      </c>
      <c r="N12" s="51">
        <f t="shared" si="2"/>
        <v>4009.191814</v>
      </c>
    </row>
    <row r="13" ht="15.75" customHeight="1">
      <c r="D13" s="47">
        <v>5.0</v>
      </c>
      <c r="E13" s="47" t="s">
        <v>41</v>
      </c>
      <c r="F13" s="59">
        <v>21000.0</v>
      </c>
      <c r="G13" s="59">
        <f>23165.73</f>
        <v>23165.73</v>
      </c>
      <c r="H13" s="51">
        <f t="shared" si="1"/>
        <v>2165.73</v>
      </c>
      <c r="J13" s="47">
        <v>5.0</v>
      </c>
      <c r="K13" s="47" t="s">
        <v>41</v>
      </c>
      <c r="L13" s="59">
        <v>13563.427139805899</v>
      </c>
      <c r="M13" s="59">
        <f>16083.54-1136.47+304.89</f>
        <v>15251.96</v>
      </c>
      <c r="N13" s="51">
        <f t="shared" si="2"/>
        <v>1688.53286</v>
      </c>
    </row>
    <row r="14" ht="15.75" customHeight="1">
      <c r="D14" s="47">
        <v>6.0</v>
      </c>
      <c r="E14" s="47" t="s">
        <v>44</v>
      </c>
      <c r="F14" s="59">
        <v>21000.0</v>
      </c>
      <c r="G14" s="59">
        <f>18229.83</f>
        <v>18229.83</v>
      </c>
      <c r="H14" s="51">
        <f t="shared" si="1"/>
        <v>-2770.17</v>
      </c>
      <c r="J14" s="47">
        <v>6.0</v>
      </c>
      <c r="K14" s="47" t="s">
        <v>44</v>
      </c>
      <c r="L14" s="59">
        <v>21009.574853148762</v>
      </c>
      <c r="M14" s="59">
        <f>26731.2-2090.33</f>
        <v>24640.87</v>
      </c>
      <c r="N14" s="51">
        <f t="shared" si="2"/>
        <v>3631.295147</v>
      </c>
    </row>
    <row r="15" ht="15.75" customHeight="1">
      <c r="D15" s="47">
        <v>7.0</v>
      </c>
      <c r="E15" s="47" t="s">
        <v>45</v>
      </c>
      <c r="F15" s="59">
        <v>6287.5203975890045</v>
      </c>
      <c r="G15" s="59">
        <f>4405.5</f>
        <v>4405.5</v>
      </c>
      <c r="H15" s="51">
        <f t="shared" si="1"/>
        <v>-1882.020398</v>
      </c>
      <c r="J15" s="47">
        <v>7.0</v>
      </c>
      <c r="K15" s="47" t="s">
        <v>45</v>
      </c>
      <c r="L15" s="59">
        <v>7152.940193648599</v>
      </c>
      <c r="M15" s="59">
        <f>3889.19-219.7</f>
        <v>3669.49</v>
      </c>
      <c r="N15" s="51">
        <f t="shared" si="2"/>
        <v>-3483.450194</v>
      </c>
    </row>
    <row r="16" ht="15.75" customHeight="1">
      <c r="D16" s="47">
        <v>8.0</v>
      </c>
      <c r="E16" s="47" t="s">
        <v>46</v>
      </c>
      <c r="F16" s="59">
        <v>6391.699263535372</v>
      </c>
      <c r="G16" s="59">
        <f>2136.75</f>
        <v>2136.75</v>
      </c>
      <c r="H16" s="51">
        <f t="shared" si="1"/>
        <v>-4254.949264</v>
      </c>
      <c r="J16" s="47">
        <v>8.0</v>
      </c>
      <c r="K16" s="47" t="s">
        <v>46</v>
      </c>
      <c r="L16" s="250">
        <v>7600.0</v>
      </c>
      <c r="M16" s="59">
        <f>4812.89-219.75</f>
        <v>4593.14</v>
      </c>
      <c r="N16" s="51">
        <f t="shared" si="2"/>
        <v>-3006.86</v>
      </c>
    </row>
    <row r="17" ht="15.75" customHeight="1">
      <c r="D17" s="47">
        <v>9.0</v>
      </c>
      <c r="E17" s="47" t="s">
        <v>40</v>
      </c>
      <c r="F17" s="59">
        <v>5704.560625878214</v>
      </c>
      <c r="G17" s="59">
        <f>4940.6</f>
        <v>4940.6</v>
      </c>
      <c r="H17" s="51">
        <f t="shared" si="1"/>
        <v>-763.9606259</v>
      </c>
      <c r="J17" s="47">
        <v>9.0</v>
      </c>
      <c r="K17" s="47" t="s">
        <v>40</v>
      </c>
      <c r="L17" s="59">
        <v>6459.991070893835</v>
      </c>
      <c r="M17" s="59">
        <f>4878.13-196.88</f>
        <v>4681.25</v>
      </c>
      <c r="N17" s="51">
        <f t="shared" si="2"/>
        <v>-1778.741071</v>
      </c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47</v>
      </c>
      <c r="F18" s="59">
        <v>4738.437032651001</v>
      </c>
      <c r="G18" s="59">
        <f>9494.96-330</f>
        <v>9164.96</v>
      </c>
      <c r="H18" s="51">
        <f t="shared" si="1"/>
        <v>4426.522967</v>
      </c>
      <c r="J18" s="47">
        <v>10.0</v>
      </c>
      <c r="K18" s="47" t="s">
        <v>47</v>
      </c>
      <c r="L18" s="59">
        <v>6936.5085940561485</v>
      </c>
      <c r="M18" s="59">
        <f>4183.01-275.67</f>
        <v>3907.34</v>
      </c>
      <c r="N18" s="51">
        <f t="shared" si="2"/>
        <v>-3029.168594</v>
      </c>
      <c r="S18" s="74" t="s">
        <v>29</v>
      </c>
      <c r="T18" s="75">
        <v>315000.0</v>
      </c>
      <c r="U18" s="2" t="s">
        <v>29</v>
      </c>
      <c r="V18" s="76">
        <v>305000.0</v>
      </c>
    </row>
    <row r="19" ht="15.75" customHeight="1">
      <c r="D19" s="47">
        <v>11.0</v>
      </c>
      <c r="E19" s="47" t="s">
        <v>48</v>
      </c>
      <c r="F19" s="59">
        <v>10638.144223002666</v>
      </c>
      <c r="G19" s="59">
        <f>16980.08-210</f>
        <v>16770.08</v>
      </c>
      <c r="H19" s="51">
        <f t="shared" si="1"/>
        <v>6131.935777</v>
      </c>
      <c r="J19" s="47">
        <v>11.0</v>
      </c>
      <c r="K19" s="47" t="s">
        <v>48</v>
      </c>
      <c r="L19" s="59">
        <v>10000.558185944263</v>
      </c>
      <c r="M19" s="59">
        <f>5158.47+5906.44+634.94-601.52</f>
        <v>11098.33</v>
      </c>
      <c r="N19" s="51">
        <f t="shared" si="2"/>
        <v>1097.771814</v>
      </c>
      <c r="S19" s="74"/>
      <c r="T19" s="2"/>
      <c r="U19" s="2"/>
      <c r="V19" s="77"/>
    </row>
    <row r="20" ht="15.75" customHeight="1">
      <c r="D20" s="47">
        <v>12.0</v>
      </c>
      <c r="E20" s="47" t="s">
        <v>41</v>
      </c>
      <c r="F20" s="59">
        <v>21000.0</v>
      </c>
      <c r="G20" s="59">
        <f>17561.1</f>
        <v>17561.1</v>
      </c>
      <c r="H20" s="51">
        <f t="shared" si="1"/>
        <v>-3438.9</v>
      </c>
      <c r="J20" s="47">
        <v>12.0</v>
      </c>
      <c r="K20" s="47" t="s">
        <v>41</v>
      </c>
      <c r="L20" s="59">
        <v>13563.427139805899</v>
      </c>
      <c r="M20" s="59">
        <f>145+8204.81+7464.54+344.96-1250.4</f>
        <v>14908.91</v>
      </c>
      <c r="N20" s="51">
        <f t="shared" si="2"/>
        <v>1345.48286</v>
      </c>
      <c r="S20" s="74" t="s">
        <v>58</v>
      </c>
      <c r="T20" s="75">
        <f>SUM(G9:G15)</f>
        <v>67503.59</v>
      </c>
      <c r="U20" s="58" t="s">
        <v>58</v>
      </c>
      <c r="V20" s="76">
        <f>SUM(M9:M15)</f>
        <v>76211.38</v>
      </c>
    </row>
    <row r="21" ht="15.75" customHeight="1">
      <c r="D21" s="47">
        <v>13.0</v>
      </c>
      <c r="E21" s="47" t="s">
        <v>44</v>
      </c>
      <c r="F21" s="59">
        <v>21000.0</v>
      </c>
      <c r="G21" s="59">
        <v>21324.13</v>
      </c>
      <c r="H21" s="51">
        <f t="shared" si="1"/>
        <v>324.13</v>
      </c>
      <c r="J21" s="47">
        <v>13.0</v>
      </c>
      <c r="K21" s="47" t="s">
        <v>44</v>
      </c>
      <c r="L21" s="59">
        <v>21009.574853148762</v>
      </c>
      <c r="M21" s="59">
        <f>9472.76+11618.8+1006.93-1610.9</f>
        <v>20487.59</v>
      </c>
      <c r="N21" s="51">
        <f t="shared" si="2"/>
        <v>-521.9848531</v>
      </c>
      <c r="S21" s="74"/>
      <c r="T21" s="79">
        <f>T20/T18</f>
        <v>0.2142971111</v>
      </c>
      <c r="V21" s="80">
        <f>V20/V18</f>
        <v>0.249873377</v>
      </c>
      <c r="W21" s="66"/>
    </row>
    <row r="22" ht="15.75" customHeight="1">
      <c r="D22" s="47">
        <v>14.0</v>
      </c>
      <c r="E22" s="47" t="s">
        <v>45</v>
      </c>
      <c r="F22" s="59">
        <v>6287.5203975890045</v>
      </c>
      <c r="G22" s="59">
        <f>4288.75</f>
        <v>4288.75</v>
      </c>
      <c r="H22" s="51">
        <f t="shared" si="1"/>
        <v>-1998.770398</v>
      </c>
      <c r="J22" s="47">
        <v>14.0</v>
      </c>
      <c r="K22" s="47" t="s">
        <v>45</v>
      </c>
      <c r="L22" s="59">
        <v>7152.940193648599</v>
      </c>
      <c r="M22" s="59">
        <f>3319.53+2204.18+136.98-390.34</f>
        <v>5270.35</v>
      </c>
      <c r="N22" s="51">
        <f t="shared" si="2"/>
        <v>-1882.590194</v>
      </c>
      <c r="S22" s="74"/>
      <c r="T22" s="81"/>
      <c r="V22" s="77"/>
    </row>
    <row r="23" ht="15.75" customHeight="1">
      <c r="D23" s="47">
        <v>15.0</v>
      </c>
      <c r="E23" s="47" t="s">
        <v>46</v>
      </c>
      <c r="F23" s="59">
        <v>6391.699263535372</v>
      </c>
      <c r="G23" s="59">
        <f>7112.75</f>
        <v>7112.75</v>
      </c>
      <c r="H23" s="51">
        <f t="shared" si="1"/>
        <v>721.0507365</v>
      </c>
      <c r="J23" s="47">
        <v>15.0</v>
      </c>
      <c r="K23" s="47" t="s">
        <v>46</v>
      </c>
      <c r="L23" s="250">
        <v>7600.0</v>
      </c>
      <c r="M23" s="59">
        <f>2589.44+479.27+697.51+578.01-215.7</f>
        <v>4128.53</v>
      </c>
      <c r="N23" s="51">
        <f t="shared" si="2"/>
        <v>-3471.47</v>
      </c>
      <c r="S23" s="74" t="s">
        <v>62</v>
      </c>
      <c r="T23" s="75">
        <f>SUM(G16:G22)</f>
        <v>76186.37</v>
      </c>
      <c r="U23" s="58" t="s">
        <v>62</v>
      </c>
      <c r="V23" s="76">
        <f>SUM(M16:M22)</f>
        <v>64946.91</v>
      </c>
    </row>
    <row r="24" ht="15.75" customHeight="1">
      <c r="D24" s="47">
        <v>16.0</v>
      </c>
      <c r="E24" s="47" t="s">
        <v>40</v>
      </c>
      <c r="F24" s="59">
        <v>5704.560625878214</v>
      </c>
      <c r="G24" s="59">
        <f>284.25+9888.5</f>
        <v>10172.75</v>
      </c>
      <c r="H24" s="51">
        <f t="shared" si="1"/>
        <v>4468.189374</v>
      </c>
      <c r="J24" s="47">
        <v>16.0</v>
      </c>
      <c r="K24" s="47" t="s">
        <v>40</v>
      </c>
      <c r="L24" s="59">
        <v>6459.991070893835</v>
      </c>
      <c r="M24" s="59">
        <f>3012.75+2448.93+1600.97-472.4</f>
        <v>6590.25</v>
      </c>
      <c r="N24" s="51">
        <f t="shared" si="2"/>
        <v>130.2589291</v>
      </c>
      <c r="S24" s="74"/>
      <c r="T24" s="79">
        <f>T23/T18</f>
        <v>0.2418614921</v>
      </c>
      <c r="V24" s="80">
        <f>V23/V18</f>
        <v>0.2129406885</v>
      </c>
    </row>
    <row r="25" ht="15.75" customHeight="1">
      <c r="D25" s="47">
        <v>17.0</v>
      </c>
      <c r="E25" s="47" t="s">
        <v>47</v>
      </c>
      <c r="F25" s="59">
        <v>4738.437032651001</v>
      </c>
      <c r="G25" s="59">
        <f>13273.65</f>
        <v>13273.65</v>
      </c>
      <c r="H25" s="51">
        <f t="shared" si="1"/>
        <v>8535.212967</v>
      </c>
      <c r="J25" s="47">
        <v>17.0</v>
      </c>
      <c r="K25" s="47" t="s">
        <v>47</v>
      </c>
      <c r="L25" s="59">
        <v>6936.5085940561485</v>
      </c>
      <c r="M25" s="63">
        <f>4768.65+82.8+3600.92+1971.46-559.46</f>
        <v>9864.37</v>
      </c>
      <c r="N25" s="51">
        <f t="shared" si="2"/>
        <v>2927.861406</v>
      </c>
      <c r="S25" s="74"/>
      <c r="T25" s="81"/>
      <c r="V25" s="77"/>
    </row>
    <row r="26" ht="19.5" customHeight="1">
      <c r="D26" s="47">
        <v>18.0</v>
      </c>
      <c r="E26" s="47" t="s">
        <v>48</v>
      </c>
      <c r="F26" s="59">
        <v>10638.144223002666</v>
      </c>
      <c r="G26" s="59">
        <f>12676.8-200</f>
        <v>12476.8</v>
      </c>
      <c r="H26" s="51">
        <f t="shared" si="1"/>
        <v>1838.655777</v>
      </c>
      <c r="J26" s="47">
        <v>18.0</v>
      </c>
      <c r="K26" s="47" t="s">
        <v>48</v>
      </c>
      <c r="L26" s="59">
        <v>10000.558185944263</v>
      </c>
      <c r="M26" s="63">
        <f>0.02+8439.25+5559.97+2879.97-885.1</f>
        <v>15994.11</v>
      </c>
      <c r="N26" s="51">
        <f t="shared" si="2"/>
        <v>5993.551814</v>
      </c>
      <c r="S26" s="74" t="s">
        <v>63</v>
      </c>
      <c r="T26" s="75">
        <f>SUM(G23:G29)</f>
        <v>88406.46</v>
      </c>
      <c r="U26" s="58" t="s">
        <v>63</v>
      </c>
      <c r="V26" s="76">
        <f>SUM(M23:M29)</f>
        <v>79484.02</v>
      </c>
    </row>
    <row r="27" ht="15.75" customHeight="1">
      <c r="D27" s="47">
        <v>19.0</v>
      </c>
      <c r="E27" s="47" t="s">
        <v>41</v>
      </c>
      <c r="F27" s="59">
        <v>21000.0</v>
      </c>
      <c r="G27" s="59">
        <f>16479.21</f>
        <v>16479.21</v>
      </c>
      <c r="H27" s="51">
        <f t="shared" si="1"/>
        <v>-4520.79</v>
      </c>
      <c r="J27" s="47">
        <v>19.0</v>
      </c>
      <c r="K27" s="47" t="s">
        <v>41</v>
      </c>
      <c r="L27" s="59">
        <v>13563.427139805899</v>
      </c>
      <c r="M27" s="63">
        <f>7159.34+7189.52+1934.87-1086.68</f>
        <v>15197.05</v>
      </c>
      <c r="N27" s="51">
        <f t="shared" si="2"/>
        <v>1633.62286</v>
      </c>
      <c r="S27" s="74"/>
      <c r="T27" s="79">
        <f>T26/T18</f>
        <v>0.2806554286</v>
      </c>
      <c r="V27" s="80">
        <f>V26/V18</f>
        <v>0.2606033443</v>
      </c>
    </row>
    <row r="28" ht="15.75" customHeight="1">
      <c r="D28" s="47">
        <v>20.0</v>
      </c>
      <c r="E28" s="47" t="s">
        <v>44</v>
      </c>
      <c r="F28" s="59">
        <v>21000.0</v>
      </c>
      <c r="G28" s="59">
        <f>20096.3</f>
        <v>20096.3</v>
      </c>
      <c r="H28" s="51">
        <f t="shared" si="1"/>
        <v>-903.7</v>
      </c>
      <c r="J28" s="47">
        <v>20.0</v>
      </c>
      <c r="K28" s="47" t="s">
        <v>44</v>
      </c>
      <c r="L28" s="59">
        <v>21009.574853148762</v>
      </c>
      <c r="M28" s="63">
        <f>7006.82+8436.68+2583.28-952.71</f>
        <v>17074.07</v>
      </c>
      <c r="N28" s="51">
        <f t="shared" si="2"/>
        <v>-3935.504853</v>
      </c>
      <c r="S28" s="74"/>
      <c r="V28" s="82"/>
    </row>
    <row r="29" ht="15.75" customHeight="1">
      <c r="D29" s="47">
        <v>21.0</v>
      </c>
      <c r="E29" s="47" t="s">
        <v>45</v>
      </c>
      <c r="F29" s="59">
        <v>6287.5203975890045</v>
      </c>
      <c r="G29" s="59">
        <f>8795</f>
        <v>8795</v>
      </c>
      <c r="H29" s="51">
        <f t="shared" si="1"/>
        <v>2507.479602</v>
      </c>
      <c r="J29" s="47">
        <v>21.0</v>
      </c>
      <c r="K29" s="47" t="s">
        <v>45</v>
      </c>
      <c r="L29" s="59">
        <v>7152.940193648599</v>
      </c>
      <c r="M29" s="59">
        <f>11607.29-971.65</f>
        <v>10635.64</v>
      </c>
      <c r="N29" s="51">
        <f t="shared" si="2"/>
        <v>3482.699806</v>
      </c>
      <c r="S29" s="74" t="s">
        <v>64</v>
      </c>
      <c r="T29" s="61">
        <f>SUM(G30:G36)</f>
        <v>15163.15</v>
      </c>
      <c r="U29" s="58" t="s">
        <v>64</v>
      </c>
      <c r="V29" s="83">
        <f>SUM(M30:M36)</f>
        <v>9033.84</v>
      </c>
    </row>
    <row r="30" ht="19.5" customHeight="1">
      <c r="D30" s="47">
        <v>22.0</v>
      </c>
      <c r="E30" s="47" t="s">
        <v>46</v>
      </c>
      <c r="F30" s="59">
        <v>6391.699263535372</v>
      </c>
      <c r="G30" s="59">
        <f>3805.7</f>
        <v>3805.7</v>
      </c>
      <c r="H30" s="51">
        <f t="shared" si="1"/>
        <v>-2585.999264</v>
      </c>
      <c r="J30" s="47">
        <v>22.0</v>
      </c>
      <c r="K30" s="47" t="s">
        <v>46</v>
      </c>
      <c r="L30" s="250">
        <v>7600.0</v>
      </c>
      <c r="M30" s="59">
        <f>1950.79-90.93</f>
        <v>1859.86</v>
      </c>
      <c r="N30" s="51">
        <f t="shared" si="2"/>
        <v>-5740.14</v>
      </c>
      <c r="S30" s="74"/>
      <c r="T30" s="79">
        <f>T29/T18</f>
        <v>0.04813698413</v>
      </c>
      <c r="V30" s="80">
        <f>V29/V18</f>
        <v>0.02961914754</v>
      </c>
    </row>
    <row r="31" ht="19.5" customHeight="1">
      <c r="D31" s="47">
        <v>23.0</v>
      </c>
      <c r="E31" s="47" t="s">
        <v>40</v>
      </c>
      <c r="F31" s="59">
        <v>5704.560625878214</v>
      </c>
      <c r="G31" s="59">
        <f>5437.95</f>
        <v>5437.95</v>
      </c>
      <c r="H31" s="51">
        <f t="shared" si="1"/>
        <v>-266.6106259</v>
      </c>
      <c r="J31" s="47">
        <v>23.0</v>
      </c>
      <c r="K31" s="47" t="s">
        <v>40</v>
      </c>
      <c r="L31" s="59">
        <v>6459.991070893835</v>
      </c>
      <c r="M31" s="59">
        <f>3801.73</f>
        <v>3801.73</v>
      </c>
      <c r="N31" s="51">
        <f t="shared" si="2"/>
        <v>-2658.261071</v>
      </c>
      <c r="S31" s="74" t="s">
        <v>65</v>
      </c>
      <c r="T31" s="61">
        <f>SUM(G37:G38)</f>
        <v>0</v>
      </c>
      <c r="U31" s="58" t="s">
        <v>65</v>
      </c>
      <c r="V31" s="83">
        <f>SUM(M37:M38)</f>
        <v>0</v>
      </c>
    </row>
    <row r="32" ht="15.75" customHeight="1">
      <c r="D32" s="47">
        <v>24.0</v>
      </c>
      <c r="E32" s="47" t="s">
        <v>47</v>
      </c>
      <c r="F32" s="59">
        <v>4738.437032651001</v>
      </c>
      <c r="G32" s="59">
        <f>5919.5</f>
        <v>5919.5</v>
      </c>
      <c r="H32" s="51">
        <f t="shared" si="1"/>
        <v>1181.062967</v>
      </c>
      <c r="J32" s="47">
        <v>24.0</v>
      </c>
      <c r="K32" s="47" t="s">
        <v>47</v>
      </c>
      <c r="L32" s="59">
        <v>6936.5085940561485</v>
      </c>
      <c r="M32" s="59">
        <f>3513.19-140.94</f>
        <v>3372.25</v>
      </c>
      <c r="N32" s="51">
        <f t="shared" si="2"/>
        <v>-3564.258594</v>
      </c>
      <c r="S32" s="84" t="s">
        <v>204</v>
      </c>
      <c r="T32" s="85">
        <f>T31/T18</f>
        <v>0</v>
      </c>
      <c r="U32" s="84" t="s">
        <v>204</v>
      </c>
      <c r="V32" s="87">
        <f>V31/V18</f>
        <v>0</v>
      </c>
    </row>
    <row r="33" ht="15.75" customHeight="1">
      <c r="D33" s="47">
        <v>25.0</v>
      </c>
      <c r="E33" s="47" t="s">
        <v>48</v>
      </c>
      <c r="F33" s="59">
        <v>10638.144223002666</v>
      </c>
      <c r="G33" s="59"/>
      <c r="H33" s="51"/>
      <c r="J33" s="47">
        <v>25.0</v>
      </c>
      <c r="K33" s="47" t="s">
        <v>48</v>
      </c>
      <c r="L33" s="59">
        <v>10000.558185944263</v>
      </c>
      <c r="M33" s="59"/>
      <c r="N33" s="51"/>
    </row>
    <row r="34" ht="15.75" customHeight="1">
      <c r="D34" s="47">
        <v>26.0</v>
      </c>
      <c r="E34" s="47" t="s">
        <v>41</v>
      </c>
      <c r="F34" s="59">
        <v>21000.0</v>
      </c>
      <c r="G34" s="59"/>
      <c r="H34" s="51"/>
      <c r="J34" s="47">
        <v>26.0</v>
      </c>
      <c r="K34" s="47" t="s">
        <v>41</v>
      </c>
      <c r="L34" s="59">
        <v>13563.427139805899</v>
      </c>
      <c r="M34" s="55"/>
      <c r="N34" s="51"/>
      <c r="R34" s="179" t="s">
        <v>72</v>
      </c>
      <c r="S34" s="93" t="s">
        <v>73</v>
      </c>
      <c r="T34" s="94">
        <f>T20+T23+T26+T29+T31</f>
        <v>247259.57</v>
      </c>
      <c r="U34" s="164" t="s">
        <v>74</v>
      </c>
      <c r="V34" s="96">
        <f>V20+V23+V26+V29+V31-38-20</f>
        <v>229618.15</v>
      </c>
      <c r="W34" s="179" t="s">
        <v>72</v>
      </c>
    </row>
    <row r="35" ht="19.5" customHeight="1">
      <c r="D35" s="47">
        <v>27.0</v>
      </c>
      <c r="E35" s="47" t="s">
        <v>44</v>
      </c>
      <c r="F35" s="59">
        <v>21000.0</v>
      </c>
      <c r="G35" s="59"/>
      <c r="H35" s="51"/>
      <c r="J35" s="47">
        <v>27.0</v>
      </c>
      <c r="K35" s="47" t="s">
        <v>44</v>
      </c>
      <c r="L35" s="59">
        <v>21009.574853148762</v>
      </c>
      <c r="M35" s="55"/>
      <c r="N35" s="51"/>
      <c r="R35" s="180">
        <f>T35-U35</f>
        <v>-0.01504898413</v>
      </c>
      <c r="S35" s="98"/>
      <c r="T35" s="99">
        <f>T34/T18</f>
        <v>0.7849510159</v>
      </c>
      <c r="U35" s="181">
        <f>24/30</f>
        <v>0.8</v>
      </c>
      <c r="V35" s="100">
        <f>V34/V18</f>
        <v>0.7528463934</v>
      </c>
      <c r="W35" s="180">
        <f>V35-U35</f>
        <v>-0.04715360656</v>
      </c>
    </row>
    <row r="36" ht="15.75" customHeight="1">
      <c r="D36" s="47">
        <v>28.0</v>
      </c>
      <c r="E36" s="47" t="s">
        <v>45</v>
      </c>
      <c r="F36" s="59">
        <v>6287.5203975890045</v>
      </c>
      <c r="G36" s="59"/>
      <c r="H36" s="51"/>
      <c r="J36" s="47">
        <v>28.0</v>
      </c>
      <c r="K36" s="47" t="s">
        <v>45</v>
      </c>
      <c r="L36" s="59">
        <v>7152.940193648599</v>
      </c>
      <c r="M36" s="55"/>
      <c r="N36" s="51"/>
      <c r="S36" s="98" t="s">
        <v>76</v>
      </c>
      <c r="T36" s="104">
        <f>T18-T34</f>
        <v>67740.43</v>
      </c>
      <c r="U36" s="99"/>
      <c r="V36" s="106">
        <f>V18-V34</f>
        <v>75381.85</v>
      </c>
    </row>
    <row r="37" ht="15.75" customHeight="1">
      <c r="D37" s="47">
        <v>29.0</v>
      </c>
      <c r="E37" s="47" t="s">
        <v>46</v>
      </c>
      <c r="F37" s="59">
        <v>6391.699263535372</v>
      </c>
      <c r="G37" s="59"/>
      <c r="H37" s="51"/>
      <c r="J37" s="47">
        <v>29.0</v>
      </c>
      <c r="K37" s="47" t="s">
        <v>46</v>
      </c>
      <c r="L37" s="250">
        <v>7600.0</v>
      </c>
      <c r="M37" s="55"/>
      <c r="N37" s="51"/>
      <c r="S37" s="110"/>
      <c r="T37" s="112">
        <f>T36/T18</f>
        <v>0.2150489841</v>
      </c>
      <c r="U37" s="112"/>
      <c r="V37" s="113">
        <f>V36/V18</f>
        <v>0.2471536066</v>
      </c>
    </row>
    <row r="38" ht="15.75" customHeight="1">
      <c r="D38" s="47">
        <v>30.0</v>
      </c>
      <c r="E38" s="47" t="s">
        <v>40</v>
      </c>
      <c r="F38" s="59">
        <v>5704.560625878214</v>
      </c>
      <c r="G38" s="59"/>
      <c r="H38" s="51"/>
      <c r="J38" s="47">
        <v>30.0</v>
      </c>
      <c r="K38" s="47" t="s">
        <v>40</v>
      </c>
      <c r="L38" s="59">
        <v>6459.991070893835</v>
      </c>
      <c r="M38" s="55"/>
      <c r="N38" s="51"/>
    </row>
    <row r="39" ht="15.75" customHeight="1">
      <c r="D39" s="47"/>
      <c r="E39" s="47"/>
      <c r="F39" s="59"/>
      <c r="G39" s="59"/>
      <c r="H39" s="51"/>
      <c r="J39" s="47"/>
      <c r="K39" s="47"/>
      <c r="L39" s="59"/>
      <c r="M39" s="55"/>
      <c r="N39" s="51"/>
    </row>
    <row r="40" ht="15.75" customHeight="1">
      <c r="D40" s="8"/>
      <c r="E40" s="8"/>
      <c r="F40" s="107">
        <f t="shared" ref="F40:H40" si="3">SUM(F9:F39)</f>
        <v>315137.7061</v>
      </c>
      <c r="G40" s="107">
        <f t="shared" si="3"/>
        <v>247259.57</v>
      </c>
      <c r="H40" s="105">
        <f t="shared" si="3"/>
        <v>3143.78845</v>
      </c>
      <c r="J40" s="8"/>
      <c r="K40" s="8"/>
      <c r="L40" s="107">
        <f>SUM(L9:L39)</f>
        <v>304951.9912</v>
      </c>
      <c r="M40" s="107">
        <f>SUM(M9:M39)-38-20</f>
        <v>229618.15</v>
      </c>
      <c r="N40" s="105">
        <f>SUM(N9:N39)</f>
        <v>-9489.349777</v>
      </c>
      <c r="Q40" s="61"/>
    </row>
    <row r="41" ht="15.75" customHeight="1">
      <c r="E41" s="61"/>
      <c r="G41" s="114">
        <f>G40/E44</f>
        <v>0.7849510159</v>
      </c>
      <c r="H41" s="1"/>
      <c r="J41" s="1"/>
      <c r="K41" s="1"/>
      <c r="L41" s="1"/>
      <c r="M41" s="114">
        <f>M40/K44</f>
        <v>0.7528463934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318281.4945</v>
      </c>
      <c r="L43" s="115" t="s">
        <v>77</v>
      </c>
      <c r="M43" s="118">
        <f>L40+N40</f>
        <v>295462.6414</v>
      </c>
    </row>
    <row r="44" ht="15.75" customHeight="1">
      <c r="D44" s="122" t="s">
        <v>29</v>
      </c>
      <c r="E44" s="124">
        <v>315000.0</v>
      </c>
      <c r="F44" s="2"/>
      <c r="G44" s="2"/>
      <c r="J44" s="126" t="s">
        <v>29</v>
      </c>
      <c r="K44" s="124">
        <v>305000.0</v>
      </c>
      <c r="L44" s="2"/>
      <c r="M44" s="2"/>
    </row>
    <row r="45" ht="15.75" customHeight="1"/>
    <row r="46" ht="15.75" customHeight="1"/>
    <row r="47" ht="15.75" customHeight="1">
      <c r="J47" s="61"/>
    </row>
    <row r="48" ht="15.75" customHeight="1">
      <c r="J48" s="12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4:H6"/>
    <mergeCell ref="J4:N6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1.11"/>
    <col customWidth="1" min="5" max="5" width="19.33"/>
    <col customWidth="1" min="6" max="6" width="19.0"/>
    <col customWidth="1" min="7" max="7" width="18.44"/>
    <col customWidth="1" min="8" max="8" width="12.78"/>
    <col customWidth="1" min="9" max="9" width="11.0"/>
    <col customWidth="1" min="10" max="10" width="15.33"/>
    <col customWidth="1" min="11" max="11" width="19.11"/>
    <col customWidth="1" min="12" max="12" width="18.0"/>
    <col customWidth="1" min="13" max="13" width="21.44"/>
    <col customWidth="1" min="14" max="14" width="12.78"/>
    <col customWidth="1" min="15" max="15" width="11.0"/>
    <col customWidth="1" min="16" max="17" width="10.56"/>
    <col customWidth="1" min="18" max="18" width="11.33"/>
    <col customWidth="1" min="19" max="19" width="15.78"/>
    <col customWidth="1" min="20" max="20" width="15.44"/>
    <col customWidth="1" min="21" max="21" width="16.0"/>
    <col customWidth="1" min="22" max="22" width="15.44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D9" s="47">
        <v>1.0</v>
      </c>
      <c r="E9" s="47" t="s">
        <v>47</v>
      </c>
      <c r="F9" s="59"/>
      <c r="G9" s="230">
        <v>11734.6</v>
      </c>
      <c r="H9" s="51">
        <f>G9-F9</f>
        <v>11734.6</v>
      </c>
      <c r="J9" s="47">
        <v>1.0</v>
      </c>
      <c r="K9" s="47" t="s">
        <v>47</v>
      </c>
      <c r="L9" s="250"/>
      <c r="M9" s="229">
        <v>14418.05</v>
      </c>
      <c r="N9" s="51">
        <f>M9-L9</f>
        <v>14418.05</v>
      </c>
    </row>
    <row r="10" ht="15.75" customHeight="1">
      <c r="D10" s="47">
        <v>2.0</v>
      </c>
      <c r="E10" s="47" t="s">
        <v>48</v>
      </c>
      <c r="F10" s="59"/>
      <c r="G10" s="230">
        <v>13765.8</v>
      </c>
      <c r="H10" s="51"/>
      <c r="J10" s="47">
        <v>2.0</v>
      </c>
      <c r="K10" s="47" t="s">
        <v>48</v>
      </c>
      <c r="L10" s="59"/>
      <c r="M10" s="229">
        <v>9649.35</v>
      </c>
      <c r="N10" s="51"/>
    </row>
    <row r="11" ht="15.75" customHeight="1">
      <c r="D11" s="47">
        <v>3.0</v>
      </c>
      <c r="E11" s="47" t="s">
        <v>41</v>
      </c>
      <c r="F11" s="59"/>
      <c r="G11" s="230">
        <v>15735.05</v>
      </c>
      <c r="H11" s="51"/>
      <c r="J11" s="47">
        <v>3.0</v>
      </c>
      <c r="K11" s="47" t="s">
        <v>41</v>
      </c>
      <c r="L11" s="59"/>
      <c r="M11" s="229">
        <v>13462.539999999999</v>
      </c>
      <c r="N11" s="51"/>
    </row>
    <row r="12" ht="15.75" customHeight="1">
      <c r="D12" s="47">
        <v>4.0</v>
      </c>
      <c r="E12" s="47" t="s">
        <v>44</v>
      </c>
      <c r="F12" s="59"/>
      <c r="G12" s="230">
        <v>22599.95</v>
      </c>
      <c r="H12" s="51"/>
      <c r="J12" s="47">
        <v>4.0</v>
      </c>
      <c r="K12" s="47" t="s">
        <v>44</v>
      </c>
      <c r="L12" s="59"/>
      <c r="M12" s="229">
        <v>18063.170000000002</v>
      </c>
      <c r="N12" s="51"/>
    </row>
    <row r="13" ht="15.75" customHeight="1">
      <c r="D13" s="47">
        <v>5.0</v>
      </c>
      <c r="E13" s="47" t="s">
        <v>45</v>
      </c>
      <c r="F13" s="59"/>
      <c r="G13" s="230">
        <v>5895.6</v>
      </c>
      <c r="H13" s="51"/>
      <c r="J13" s="47">
        <v>5.0</v>
      </c>
      <c r="K13" s="47" t="s">
        <v>45</v>
      </c>
      <c r="L13" s="59"/>
      <c r="M13" s="229">
        <v>2042.03</v>
      </c>
      <c r="N13" s="51"/>
    </row>
    <row r="14" ht="15.75" customHeight="1">
      <c r="D14" s="47">
        <v>6.0</v>
      </c>
      <c r="E14" s="47" t="s">
        <v>46</v>
      </c>
      <c r="F14" s="59"/>
      <c r="G14" s="230">
        <v>3725.75</v>
      </c>
      <c r="H14" s="51"/>
      <c r="J14" s="47">
        <v>6.0</v>
      </c>
      <c r="K14" s="47" t="s">
        <v>46</v>
      </c>
      <c r="L14" s="59"/>
      <c r="M14" s="229">
        <v>5159.82</v>
      </c>
      <c r="N14" s="51"/>
    </row>
    <row r="15" ht="15.75" customHeight="1">
      <c r="D15" s="47">
        <v>7.0</v>
      </c>
      <c r="E15" s="47" t="s">
        <v>40</v>
      </c>
      <c r="F15" s="59"/>
      <c r="G15" s="230">
        <v>3413.05</v>
      </c>
      <c r="H15" s="51"/>
      <c r="J15" s="47">
        <v>7.0</v>
      </c>
      <c r="K15" s="47" t="s">
        <v>40</v>
      </c>
      <c r="L15" s="59"/>
      <c r="M15" s="229">
        <v>2745.1099999999997</v>
      </c>
      <c r="N15" s="51"/>
    </row>
    <row r="16" ht="15.75" customHeight="1">
      <c r="D16" s="47">
        <v>8.0</v>
      </c>
      <c r="E16" s="47" t="s">
        <v>47</v>
      </c>
      <c r="F16" s="59"/>
      <c r="G16" s="230">
        <v>6872.15</v>
      </c>
      <c r="H16" s="51"/>
      <c r="J16" s="47">
        <v>8.0</v>
      </c>
      <c r="K16" s="47" t="s">
        <v>47</v>
      </c>
      <c r="L16" s="250"/>
      <c r="M16" s="229">
        <v>5365.01</v>
      </c>
      <c r="N16" s="51"/>
    </row>
    <row r="17" ht="15.75" customHeight="1">
      <c r="D17" s="47">
        <v>9.0</v>
      </c>
      <c r="E17" s="47" t="s">
        <v>48</v>
      </c>
      <c r="F17" s="59"/>
      <c r="G17" s="257">
        <v>15584.57</v>
      </c>
      <c r="H17" s="51"/>
      <c r="J17" s="47">
        <v>9.0</v>
      </c>
      <c r="K17" s="47" t="s">
        <v>48</v>
      </c>
      <c r="L17" s="59"/>
      <c r="M17" s="229">
        <v>8336.78</v>
      </c>
      <c r="N17" s="51"/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41</v>
      </c>
      <c r="F18" s="59"/>
      <c r="G18" s="230">
        <v>24397.52</v>
      </c>
      <c r="H18" s="51"/>
      <c r="J18" s="47">
        <v>10.0</v>
      </c>
      <c r="K18" s="47" t="s">
        <v>41</v>
      </c>
      <c r="L18" s="59"/>
      <c r="M18" s="229">
        <v>14929.06</v>
      </c>
      <c r="N18" s="51"/>
      <c r="S18" s="74" t="s">
        <v>29</v>
      </c>
      <c r="T18" s="75">
        <v>365000.0</v>
      </c>
      <c r="U18" s="2" t="s">
        <v>29</v>
      </c>
      <c r="V18" s="76">
        <v>320000.0</v>
      </c>
    </row>
    <row r="19" ht="15.75" customHeight="1">
      <c r="D19" s="47">
        <v>11.0</v>
      </c>
      <c r="E19" s="47" t="s">
        <v>44</v>
      </c>
      <c r="F19" s="59"/>
      <c r="G19" s="230">
        <v>21366.58</v>
      </c>
      <c r="H19" s="51"/>
      <c r="J19" s="47">
        <v>11.0</v>
      </c>
      <c r="K19" s="47" t="s">
        <v>44</v>
      </c>
      <c r="L19" s="59"/>
      <c r="M19" s="229">
        <v>19615.02</v>
      </c>
      <c r="N19" s="51"/>
      <c r="S19" s="74"/>
      <c r="T19" s="2"/>
      <c r="U19" s="2"/>
      <c r="V19" s="77"/>
    </row>
    <row r="20" ht="15.75" customHeight="1">
      <c r="D20" s="47">
        <v>12.0</v>
      </c>
      <c r="E20" s="47" t="s">
        <v>45</v>
      </c>
      <c r="F20" s="59"/>
      <c r="G20" s="230">
        <v>6588.86</v>
      </c>
      <c r="H20" s="51"/>
      <c r="J20" s="47">
        <v>12.0</v>
      </c>
      <c r="K20" s="47" t="s">
        <v>45</v>
      </c>
      <c r="L20" s="59"/>
      <c r="M20" s="229">
        <v>5133.88</v>
      </c>
      <c r="N20" s="51"/>
      <c r="S20" s="74" t="s">
        <v>58</v>
      </c>
      <c r="T20" s="75">
        <f>SUM(G9:G15)</f>
        <v>76869.8</v>
      </c>
      <c r="U20" s="58" t="s">
        <v>58</v>
      </c>
      <c r="V20" s="76">
        <f>SUM(M9:M15)</f>
        <v>65540.07</v>
      </c>
    </row>
    <row r="21" ht="15.75" customHeight="1">
      <c r="D21" s="47">
        <v>13.0</v>
      </c>
      <c r="E21" s="47" t="s">
        <v>46</v>
      </c>
      <c r="F21" s="59"/>
      <c r="G21" s="230">
        <v>7613.95</v>
      </c>
      <c r="H21" s="51"/>
      <c r="J21" s="47">
        <v>13.0</v>
      </c>
      <c r="K21" s="47" t="s">
        <v>46</v>
      </c>
      <c r="L21" s="59"/>
      <c r="M21" s="229">
        <v>4456.8099999999995</v>
      </c>
      <c r="N21" s="51"/>
      <c r="S21" s="74"/>
      <c r="T21" s="79">
        <f>T20/T18</f>
        <v>0.2106021918</v>
      </c>
      <c r="V21" s="80">
        <f>V20/V18</f>
        <v>0.2048127188</v>
      </c>
      <c r="W21" s="66"/>
    </row>
    <row r="22" ht="15.75" customHeight="1">
      <c r="D22" s="47">
        <v>14.0</v>
      </c>
      <c r="E22" s="47" t="s">
        <v>40</v>
      </c>
      <c r="F22" s="59"/>
      <c r="G22" s="230">
        <v>5316.75</v>
      </c>
      <c r="H22" s="51"/>
      <c r="J22" s="47">
        <v>14.0</v>
      </c>
      <c r="K22" s="47" t="s">
        <v>40</v>
      </c>
      <c r="L22" s="59"/>
      <c r="M22" s="229">
        <v>7135.570000000001</v>
      </c>
      <c r="N22" s="51"/>
      <c r="S22" s="74"/>
      <c r="T22" s="81"/>
      <c r="V22" s="77"/>
    </row>
    <row r="23" ht="15.75" customHeight="1">
      <c r="D23" s="47">
        <v>15.0</v>
      </c>
      <c r="E23" s="47" t="s">
        <v>47</v>
      </c>
      <c r="F23" s="59"/>
      <c r="G23" s="230">
        <v>7463.5</v>
      </c>
      <c r="H23" s="51"/>
      <c r="J23" s="47">
        <v>15.0</v>
      </c>
      <c r="K23" s="47" t="s">
        <v>47</v>
      </c>
      <c r="L23" s="250"/>
      <c r="M23" s="229">
        <v>4179.6900000000005</v>
      </c>
      <c r="N23" s="51"/>
      <c r="S23" s="74" t="s">
        <v>62</v>
      </c>
      <c r="T23" s="75">
        <f>SUM(G16:G22)</f>
        <v>87740.38</v>
      </c>
      <c r="U23" s="58" t="s">
        <v>62</v>
      </c>
      <c r="V23" s="76">
        <f>SUM(M16:M22)</f>
        <v>64972.13</v>
      </c>
    </row>
    <row r="24" ht="15.75" customHeight="1">
      <c r="D24" s="47">
        <v>16.0</v>
      </c>
      <c r="E24" s="47" t="s">
        <v>48</v>
      </c>
      <c r="F24" s="59"/>
      <c r="G24" s="230">
        <f>1690.75+13987</f>
        <v>15677.75</v>
      </c>
      <c r="H24" s="51"/>
      <c r="J24" s="47">
        <v>16.0</v>
      </c>
      <c r="K24" s="47" t="s">
        <v>48</v>
      </c>
      <c r="L24" s="59"/>
      <c r="M24" s="229">
        <v>12203.470000000001</v>
      </c>
      <c r="N24" s="51"/>
      <c r="S24" s="74"/>
      <c r="T24" s="79">
        <f>T23/T18</f>
        <v>0.2403846027</v>
      </c>
      <c r="V24" s="80">
        <f>V23/V18</f>
        <v>0.2030379063</v>
      </c>
    </row>
    <row r="25" ht="15.75" customHeight="1">
      <c r="D25" s="47">
        <v>17.0</v>
      </c>
      <c r="E25" s="47" t="s">
        <v>41</v>
      </c>
      <c r="F25" s="59"/>
      <c r="G25" s="230">
        <v>17491.7</v>
      </c>
      <c r="H25" s="51"/>
      <c r="J25" s="47">
        <v>17.0</v>
      </c>
      <c r="K25" s="47" t="s">
        <v>41</v>
      </c>
      <c r="L25" s="59"/>
      <c r="M25" s="229">
        <v>12396.05</v>
      </c>
      <c r="N25" s="51"/>
      <c r="S25" s="74"/>
      <c r="T25" s="81"/>
      <c r="V25" s="77"/>
    </row>
    <row r="26" ht="19.5" customHeight="1">
      <c r="D26" s="47">
        <v>18.0</v>
      </c>
      <c r="E26" s="47" t="s">
        <v>44</v>
      </c>
      <c r="F26" s="59"/>
      <c r="G26" s="230">
        <v>19285.25</v>
      </c>
      <c r="H26" s="51"/>
      <c r="J26" s="47">
        <v>18.0</v>
      </c>
      <c r="K26" s="47" t="s">
        <v>44</v>
      </c>
      <c r="L26" s="59"/>
      <c r="M26" s="229">
        <v>18554.96</v>
      </c>
      <c r="N26" s="51"/>
      <c r="S26" s="74" t="s">
        <v>63</v>
      </c>
      <c r="T26" s="75">
        <f>SUM(G23:G29)</f>
        <v>76337</v>
      </c>
      <c r="U26" s="58" t="s">
        <v>63</v>
      </c>
      <c r="V26" s="76">
        <f>SUM(M23:M29)</f>
        <v>60932.07</v>
      </c>
    </row>
    <row r="27" ht="15.75" customHeight="1">
      <c r="D27" s="47">
        <v>19.0</v>
      </c>
      <c r="E27" s="47" t="s">
        <v>45</v>
      </c>
      <c r="F27" s="59"/>
      <c r="G27" s="230">
        <v>4324.0</v>
      </c>
      <c r="H27" s="51"/>
      <c r="J27" s="47">
        <v>19.0</v>
      </c>
      <c r="K27" s="47" t="s">
        <v>45</v>
      </c>
      <c r="L27" s="59"/>
      <c r="M27" s="229">
        <v>3260.8999999999996</v>
      </c>
      <c r="N27" s="51"/>
      <c r="S27" s="74"/>
      <c r="T27" s="79">
        <f>T26/T18</f>
        <v>0.2091424658</v>
      </c>
      <c r="V27" s="80">
        <f>V26/V18</f>
        <v>0.1904127188</v>
      </c>
    </row>
    <row r="28" ht="15.75" customHeight="1">
      <c r="D28" s="47">
        <v>20.0</v>
      </c>
      <c r="E28" s="47" t="s">
        <v>46</v>
      </c>
      <c r="F28" s="59"/>
      <c r="G28" s="230">
        <v>5682.65</v>
      </c>
      <c r="H28" s="51"/>
      <c r="J28" s="47">
        <v>20.0</v>
      </c>
      <c r="K28" s="47" t="s">
        <v>46</v>
      </c>
      <c r="L28" s="59"/>
      <c r="M28" s="229">
        <v>3973.45</v>
      </c>
      <c r="N28" s="51"/>
      <c r="S28" s="74"/>
      <c r="V28" s="82"/>
    </row>
    <row r="29" ht="15.75" customHeight="1">
      <c r="D29" s="47">
        <v>21.0</v>
      </c>
      <c r="E29" s="47" t="s">
        <v>40</v>
      </c>
      <c r="F29" s="59"/>
      <c r="G29" s="230">
        <v>6412.15</v>
      </c>
      <c r="H29" s="51"/>
      <c r="J29" s="47">
        <v>21.0</v>
      </c>
      <c r="K29" s="47" t="s">
        <v>40</v>
      </c>
      <c r="L29" s="59"/>
      <c r="M29" s="229">
        <v>6363.55</v>
      </c>
      <c r="N29" s="51"/>
      <c r="S29" s="74" t="s">
        <v>64</v>
      </c>
      <c r="T29" s="61">
        <f>SUM(G30:G36)</f>
        <v>71303.03</v>
      </c>
      <c r="U29" s="58" t="s">
        <v>64</v>
      </c>
      <c r="V29" s="83">
        <f>SUM(M30:M36)</f>
        <v>70303.23</v>
      </c>
    </row>
    <row r="30" ht="19.5" customHeight="1">
      <c r="D30" s="47">
        <v>22.0</v>
      </c>
      <c r="E30" s="47" t="s">
        <v>47</v>
      </c>
      <c r="F30" s="59"/>
      <c r="G30" s="230">
        <f>7516.25</f>
        <v>7516.25</v>
      </c>
      <c r="H30" s="51"/>
      <c r="J30" s="47">
        <v>22.0</v>
      </c>
      <c r="K30" s="47" t="s">
        <v>47</v>
      </c>
      <c r="L30" s="250"/>
      <c r="M30" s="229">
        <v>4855.620000000001</v>
      </c>
      <c r="N30" s="51"/>
      <c r="S30" s="74"/>
      <c r="T30" s="79">
        <f>T29/T18</f>
        <v>0.1953507671</v>
      </c>
      <c r="V30" s="80">
        <f>V29/V18</f>
        <v>0.2196975938</v>
      </c>
    </row>
    <row r="31" ht="19.5" customHeight="1">
      <c r="D31" s="47">
        <v>23.0</v>
      </c>
      <c r="E31" s="47" t="s">
        <v>48</v>
      </c>
      <c r="F31" s="59"/>
      <c r="G31" s="230">
        <f>1500.5+9064.43</f>
        <v>10564.93</v>
      </c>
      <c r="H31" s="51"/>
      <c r="J31" s="47">
        <v>23.0</v>
      </c>
      <c r="K31" s="47" t="s">
        <v>48</v>
      </c>
      <c r="L31" s="59"/>
      <c r="M31" s="229">
        <v>11192.28</v>
      </c>
      <c r="N31" s="51"/>
      <c r="S31" s="74" t="s">
        <v>65</v>
      </c>
      <c r="T31" s="61">
        <f>SUM(G37:G38)</f>
        <v>17142.73</v>
      </c>
      <c r="U31" s="58" t="s">
        <v>65</v>
      </c>
      <c r="V31" s="83">
        <f>SUM(M37:M38)</f>
        <v>21843.76</v>
      </c>
    </row>
    <row r="32" ht="15.75" customHeight="1">
      <c r="D32" s="47">
        <v>24.0</v>
      </c>
      <c r="E32" s="47" t="s">
        <v>41</v>
      </c>
      <c r="F32" s="59"/>
      <c r="G32" s="230">
        <v>18322.5</v>
      </c>
      <c r="H32" s="51"/>
      <c r="J32" s="47">
        <v>24.0</v>
      </c>
      <c r="K32" s="47" t="s">
        <v>41</v>
      </c>
      <c r="L32" s="59"/>
      <c r="M32" s="229">
        <v>17941.38</v>
      </c>
      <c r="N32" s="51"/>
      <c r="S32" s="84" t="s">
        <v>204</v>
      </c>
      <c r="T32" s="85">
        <f>T31/T18</f>
        <v>0.04696638356</v>
      </c>
      <c r="U32" s="84" t="s">
        <v>204</v>
      </c>
      <c r="V32" s="87">
        <f>V31/V18</f>
        <v>0.06826175</v>
      </c>
    </row>
    <row r="33" ht="15.75" customHeight="1">
      <c r="D33" s="47">
        <v>25.0</v>
      </c>
      <c r="E33" s="47" t="s">
        <v>44</v>
      </c>
      <c r="F33" s="59"/>
      <c r="G33" s="230">
        <v>18527.25</v>
      </c>
      <c r="H33" s="51"/>
      <c r="J33" s="47">
        <v>25.0</v>
      </c>
      <c r="K33" s="47" t="s">
        <v>44</v>
      </c>
      <c r="L33" s="59"/>
      <c r="M33" s="229">
        <v>24160.86</v>
      </c>
      <c r="N33" s="51"/>
    </row>
    <row r="34" ht="15.75" customHeight="1">
      <c r="D34" s="47">
        <v>26.0</v>
      </c>
      <c r="E34" s="47" t="s">
        <v>45</v>
      </c>
      <c r="F34" s="59"/>
      <c r="G34" s="230">
        <v>8163.65</v>
      </c>
      <c r="H34" s="51"/>
      <c r="J34" s="47">
        <v>26.0</v>
      </c>
      <c r="K34" s="47" t="s">
        <v>45</v>
      </c>
      <c r="L34" s="59"/>
      <c r="M34" s="229">
        <v>3607.2700000000004</v>
      </c>
      <c r="N34" s="51"/>
      <c r="R34" s="179" t="s">
        <v>72</v>
      </c>
      <c r="S34" s="93" t="s">
        <v>73</v>
      </c>
      <c r="T34" s="94">
        <f>G40-1570-334.5-1836</f>
        <v>343469.04</v>
      </c>
      <c r="U34" s="164" t="s">
        <v>74</v>
      </c>
      <c r="V34" s="96">
        <v>297088.07</v>
      </c>
      <c r="W34" s="179" t="s">
        <v>72</v>
      </c>
    </row>
    <row r="35" ht="19.5" customHeight="1">
      <c r="D35" s="47">
        <v>27.0</v>
      </c>
      <c r="E35" s="47" t="s">
        <v>46</v>
      </c>
      <c r="F35" s="59"/>
      <c r="G35" s="230">
        <v>4616.8</v>
      </c>
      <c r="H35" s="51"/>
      <c r="J35" s="47">
        <v>27.0</v>
      </c>
      <c r="K35" s="47" t="s">
        <v>46</v>
      </c>
      <c r="L35" s="59"/>
      <c r="M35" s="229">
        <v>3764.62</v>
      </c>
      <c r="N35" s="51"/>
      <c r="R35" s="180">
        <f>T35-U35</f>
        <v>-0.05898893151</v>
      </c>
      <c r="S35" s="98"/>
      <c r="T35" s="99">
        <f>T34/T18</f>
        <v>0.9410110685</v>
      </c>
      <c r="U35" s="181">
        <f>31/31</f>
        <v>1</v>
      </c>
      <c r="V35" s="100">
        <f>V34/V18</f>
        <v>0.9284002188</v>
      </c>
      <c r="W35" s="180">
        <f>V35-U35</f>
        <v>-0.07159978125</v>
      </c>
    </row>
    <row r="36" ht="15.75" customHeight="1">
      <c r="D36" s="47">
        <v>28.0</v>
      </c>
      <c r="E36" s="47" t="s">
        <v>40</v>
      </c>
      <c r="F36" s="59"/>
      <c r="G36" s="230">
        <v>3591.65</v>
      </c>
      <c r="H36" s="51"/>
      <c r="J36" s="47">
        <v>28.0</v>
      </c>
      <c r="K36" s="47" t="s">
        <v>40</v>
      </c>
      <c r="L36" s="59"/>
      <c r="M36" s="229">
        <v>4781.2</v>
      </c>
      <c r="N36" s="51"/>
      <c r="S36" s="98" t="s">
        <v>76</v>
      </c>
      <c r="T36" s="104">
        <f>T18-T34</f>
        <v>21530.96</v>
      </c>
      <c r="U36" s="99"/>
      <c r="V36" s="106">
        <f>V18-V34</f>
        <v>22911.93</v>
      </c>
    </row>
    <row r="37" ht="15.75" customHeight="1">
      <c r="D37" s="47">
        <v>29.0</v>
      </c>
      <c r="E37" s="47" t="s">
        <v>47</v>
      </c>
      <c r="F37" s="59"/>
      <c r="G37" s="230">
        <v>3977.5</v>
      </c>
      <c r="H37" s="51"/>
      <c r="J37" s="47">
        <v>29.0</v>
      </c>
      <c r="K37" s="47" t="s">
        <v>47</v>
      </c>
      <c r="L37" s="250"/>
      <c r="M37" s="229">
        <v>7951.63</v>
      </c>
      <c r="N37" s="51"/>
      <c r="S37" s="110"/>
      <c r="T37" s="112">
        <f>T36/T18</f>
        <v>0.05898893151</v>
      </c>
      <c r="U37" s="112"/>
      <c r="V37" s="113">
        <f>V36/V18</f>
        <v>0.07159978125</v>
      </c>
    </row>
    <row r="38" ht="15.75" customHeight="1">
      <c r="D38" s="47">
        <v>30.0</v>
      </c>
      <c r="E38" s="47" t="s">
        <v>205</v>
      </c>
      <c r="F38" s="59"/>
      <c r="G38" s="230">
        <v>13165.23</v>
      </c>
      <c r="H38" s="51"/>
      <c r="J38" s="47">
        <v>30.0</v>
      </c>
      <c r="K38" s="47" t="s">
        <v>205</v>
      </c>
      <c r="L38" s="59"/>
      <c r="M38" s="229">
        <v>13892.130000000001</v>
      </c>
      <c r="N38" s="51"/>
    </row>
    <row r="39" ht="15.75" customHeight="1">
      <c r="D39" s="47">
        <v>31.0</v>
      </c>
      <c r="E39" s="47" t="s">
        <v>171</v>
      </c>
      <c r="F39" s="59"/>
      <c r="G39" s="230">
        <v>17816.6</v>
      </c>
      <c r="H39" s="51"/>
      <c r="J39" s="47">
        <v>31.0</v>
      </c>
      <c r="K39" s="47" t="s">
        <v>171</v>
      </c>
      <c r="L39" s="59"/>
      <c r="M39" s="229">
        <v>10884.38</v>
      </c>
      <c r="N39" s="51"/>
    </row>
    <row r="40" ht="15.75" customHeight="1">
      <c r="D40" s="8"/>
      <c r="E40" s="8"/>
      <c r="F40" s="107">
        <f t="shared" ref="F40:H40" si="1">SUM(F9:F39)</f>
        <v>0</v>
      </c>
      <c r="G40" s="107">
        <f t="shared" si="1"/>
        <v>347209.54</v>
      </c>
      <c r="H40" s="105">
        <f t="shared" si="1"/>
        <v>11734.6</v>
      </c>
      <c r="J40" s="8"/>
      <c r="K40" s="8"/>
      <c r="L40" s="107">
        <f>SUM(L9:L39)</f>
        <v>0</v>
      </c>
      <c r="M40" s="107">
        <f>SUM(M9:M39)+310.22+204.97-317+233.95+442.97+371.98-242.63+691.95+419.02+594.01-44.01-53</f>
        <v>297088.07</v>
      </c>
      <c r="N40" s="105">
        <f>SUM(N9:N39)</f>
        <v>14418.05</v>
      </c>
      <c r="Q40" s="61"/>
    </row>
    <row r="41" ht="15.75" customHeight="1">
      <c r="E41" s="61"/>
      <c r="G41" s="114">
        <f>G40/E44</f>
        <v>0.9512590137</v>
      </c>
      <c r="H41" s="1"/>
      <c r="J41" s="1"/>
      <c r="K41" s="1"/>
      <c r="L41" s="1"/>
      <c r="M41" s="114">
        <f>M40/K44</f>
        <v>0.9284002188</v>
      </c>
      <c r="N41" s="1"/>
    </row>
    <row r="42" ht="15.75" customHeight="1">
      <c r="D42" s="2"/>
      <c r="E42" s="2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11734.6</v>
      </c>
      <c r="L43" s="115" t="s">
        <v>77</v>
      </c>
      <c r="M43" s="118">
        <f>L40+N40</f>
        <v>14418.05</v>
      </c>
    </row>
    <row r="44" ht="15.75" customHeight="1">
      <c r="D44" s="122" t="s">
        <v>29</v>
      </c>
      <c r="E44" s="124">
        <v>365000.0</v>
      </c>
      <c r="F44" s="2"/>
      <c r="G44" s="2"/>
      <c r="J44" s="126" t="s">
        <v>29</v>
      </c>
      <c r="K44" s="124">
        <v>320000.0</v>
      </c>
      <c r="L44" s="2"/>
      <c r="M44" s="2"/>
    </row>
    <row r="45" ht="15.75" customHeight="1"/>
    <row r="46" ht="15.75" customHeight="1"/>
    <row r="47" ht="15.75" customHeight="1">
      <c r="J47" s="61"/>
    </row>
    <row r="48" ht="15.75" customHeight="1">
      <c r="J48" s="12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4:H6"/>
    <mergeCell ref="J4:N6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1.11"/>
    <col customWidth="1" min="5" max="5" width="19.33"/>
    <col customWidth="1" min="6" max="6" width="19.0"/>
    <col customWidth="1" min="7" max="7" width="18.44"/>
    <col customWidth="1" min="8" max="8" width="12.78"/>
    <col customWidth="1" min="9" max="9" width="11.0"/>
    <col customWidth="1" min="10" max="10" width="15.33"/>
    <col customWidth="1" min="11" max="11" width="19.11"/>
    <col customWidth="1" min="12" max="12" width="18.0"/>
    <col customWidth="1" min="13" max="13" width="21.44"/>
    <col customWidth="1" min="14" max="14" width="12.78"/>
    <col customWidth="1" min="15" max="15" width="11.0"/>
    <col customWidth="1" min="16" max="17" width="10.56"/>
    <col customWidth="1" min="18" max="18" width="11.33"/>
    <col customWidth="1" min="19" max="19" width="15.78"/>
    <col customWidth="1" min="20" max="20" width="15.44"/>
    <col customWidth="1" min="21" max="21" width="16.0"/>
    <col customWidth="1" min="22" max="22" width="15.44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D9" s="47">
        <v>1.0</v>
      </c>
      <c r="E9" s="47" t="s">
        <v>44</v>
      </c>
      <c r="F9" s="230">
        <v>18561.1</v>
      </c>
      <c r="G9" s="230">
        <v>18561.1</v>
      </c>
      <c r="H9" s="51">
        <f t="shared" ref="H9:H38" si="1">G9-F9</f>
        <v>0</v>
      </c>
      <c r="J9" s="47">
        <v>1.0</v>
      </c>
      <c r="K9" s="47" t="s">
        <v>44</v>
      </c>
      <c r="L9" s="59">
        <v>26372.76</v>
      </c>
      <c r="M9" s="59">
        <v>26372.76</v>
      </c>
      <c r="N9" s="51">
        <f t="shared" ref="N9:N38" si="2">M9-L9</f>
        <v>0</v>
      </c>
    </row>
    <row r="10" ht="15.75" customHeight="1">
      <c r="D10" s="47">
        <v>2.0</v>
      </c>
      <c r="E10" s="47" t="s">
        <v>45</v>
      </c>
      <c r="F10" s="230">
        <v>3202.0</v>
      </c>
      <c r="G10" s="230">
        <v>3202.0</v>
      </c>
      <c r="H10" s="51">
        <f t="shared" si="1"/>
        <v>0</v>
      </c>
      <c r="J10" s="47">
        <v>2.0</v>
      </c>
      <c r="K10" s="47" t="s">
        <v>45</v>
      </c>
      <c r="L10" s="59">
        <v>3937.17</v>
      </c>
      <c r="M10" s="59">
        <v>3937.17</v>
      </c>
      <c r="N10" s="51">
        <f t="shared" si="2"/>
        <v>0</v>
      </c>
    </row>
    <row r="11" ht="15.75" customHeight="1">
      <c r="D11" s="47">
        <v>3.0</v>
      </c>
      <c r="E11" s="47" t="s">
        <v>46</v>
      </c>
      <c r="F11" s="230">
        <f t="shared" ref="F11:G11" si="3">1377.76+3422.6</f>
        <v>4800.36</v>
      </c>
      <c r="G11" s="230">
        <f t="shared" si="3"/>
        <v>4800.36</v>
      </c>
      <c r="H11" s="51">
        <f t="shared" si="1"/>
        <v>0</v>
      </c>
      <c r="J11" s="47">
        <v>3.0</v>
      </c>
      <c r="K11" s="47" t="s">
        <v>46</v>
      </c>
      <c r="L11" s="59">
        <v>3209.59</v>
      </c>
      <c r="M11" s="59">
        <v>3209.59</v>
      </c>
      <c r="N11" s="51">
        <f t="shared" si="2"/>
        <v>0</v>
      </c>
    </row>
    <row r="12" ht="15.75" customHeight="1">
      <c r="D12" s="47">
        <v>4.0</v>
      </c>
      <c r="E12" s="47" t="s">
        <v>40</v>
      </c>
      <c r="F12" s="230">
        <v>5715.6</v>
      </c>
      <c r="G12" s="230">
        <v>5715.6</v>
      </c>
      <c r="H12" s="51">
        <f t="shared" si="1"/>
        <v>0</v>
      </c>
      <c r="J12" s="47">
        <v>4.0</v>
      </c>
      <c r="K12" s="47" t="s">
        <v>40</v>
      </c>
      <c r="L12" s="59">
        <v>7446.58</v>
      </c>
      <c r="M12" s="59">
        <v>7446.58</v>
      </c>
      <c r="N12" s="51">
        <f t="shared" si="2"/>
        <v>0</v>
      </c>
    </row>
    <row r="13" ht="15.75" customHeight="1">
      <c r="D13" s="47">
        <v>5.0</v>
      </c>
      <c r="E13" s="47" t="s">
        <v>47</v>
      </c>
      <c r="F13" s="230">
        <v>8864.78</v>
      </c>
      <c r="G13" s="230">
        <v>8864.78</v>
      </c>
      <c r="H13" s="51">
        <f t="shared" si="1"/>
        <v>0</v>
      </c>
      <c r="J13" s="47">
        <v>5.0</v>
      </c>
      <c r="K13" s="47" t="s">
        <v>47</v>
      </c>
      <c r="L13" s="59">
        <v>6855.150000000001</v>
      </c>
      <c r="M13" s="59">
        <v>6855.150000000001</v>
      </c>
      <c r="N13" s="51">
        <f t="shared" si="2"/>
        <v>0</v>
      </c>
    </row>
    <row r="14" ht="15.75" customHeight="1">
      <c r="D14" s="47">
        <v>6.0</v>
      </c>
      <c r="E14" s="47" t="s">
        <v>205</v>
      </c>
      <c r="F14" s="230">
        <v>16080.3</v>
      </c>
      <c r="G14" s="230">
        <f>16080.3-215</f>
        <v>15865.3</v>
      </c>
      <c r="H14" s="51">
        <f t="shared" si="1"/>
        <v>-215</v>
      </c>
      <c r="J14" s="47">
        <v>6.0</v>
      </c>
      <c r="K14" s="47" t="s">
        <v>48</v>
      </c>
      <c r="L14" s="59">
        <v>13339.52</v>
      </c>
      <c r="M14" s="59">
        <v>13339.52</v>
      </c>
      <c r="N14" s="51">
        <f t="shared" si="2"/>
        <v>0</v>
      </c>
    </row>
    <row r="15" ht="15.75" customHeight="1">
      <c r="D15" s="47">
        <v>7.0</v>
      </c>
      <c r="E15" s="47" t="s">
        <v>41</v>
      </c>
      <c r="F15" s="230">
        <v>18297.25</v>
      </c>
      <c r="G15" s="230">
        <v>18297.25</v>
      </c>
      <c r="H15" s="51">
        <f t="shared" si="1"/>
        <v>0</v>
      </c>
      <c r="J15" s="47">
        <v>7.0</v>
      </c>
      <c r="K15" s="47" t="s">
        <v>41</v>
      </c>
      <c r="L15" s="59">
        <v>13806.92</v>
      </c>
      <c r="M15" s="59">
        <v>13806.92</v>
      </c>
      <c r="N15" s="51">
        <f t="shared" si="2"/>
        <v>0</v>
      </c>
    </row>
    <row r="16" ht="15.75" customHeight="1">
      <c r="D16" s="47">
        <v>8.0</v>
      </c>
      <c r="E16" s="47" t="s">
        <v>44</v>
      </c>
      <c r="F16" s="230">
        <v>23738.6</v>
      </c>
      <c r="G16" s="230">
        <v>23738.6</v>
      </c>
      <c r="H16" s="51">
        <f t="shared" si="1"/>
        <v>0</v>
      </c>
      <c r="J16" s="47">
        <v>8.0</v>
      </c>
      <c r="K16" s="47" t="s">
        <v>44</v>
      </c>
      <c r="L16" s="59">
        <v>24072.670000000002</v>
      </c>
      <c r="M16" s="59">
        <v>24072.670000000002</v>
      </c>
      <c r="N16" s="51">
        <f t="shared" si="2"/>
        <v>0</v>
      </c>
    </row>
    <row r="17" ht="15.75" customHeight="1">
      <c r="D17" s="47">
        <v>9.0</v>
      </c>
      <c r="E17" s="47" t="s">
        <v>45</v>
      </c>
      <c r="F17" s="230">
        <v>5657.75</v>
      </c>
      <c r="G17" s="230">
        <v>5657.75</v>
      </c>
      <c r="H17" s="51">
        <f t="shared" si="1"/>
        <v>0</v>
      </c>
      <c r="J17" s="47">
        <v>9.0</v>
      </c>
      <c r="K17" s="47" t="s">
        <v>45</v>
      </c>
      <c r="L17" s="59">
        <v>4881.07</v>
      </c>
      <c r="M17" s="59">
        <v>4881.07</v>
      </c>
      <c r="N17" s="51">
        <f t="shared" si="2"/>
        <v>0</v>
      </c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46</v>
      </c>
      <c r="F18" s="230">
        <v>4386.2</v>
      </c>
      <c r="G18" s="230">
        <v>4386.2</v>
      </c>
      <c r="H18" s="51">
        <f t="shared" si="1"/>
        <v>0</v>
      </c>
      <c r="J18" s="47">
        <v>10.0</v>
      </c>
      <c r="K18" s="47" t="s">
        <v>46</v>
      </c>
      <c r="L18" s="59">
        <v>7089.209999999999</v>
      </c>
      <c r="M18" s="59">
        <v>7089.209999999999</v>
      </c>
      <c r="N18" s="51">
        <f t="shared" si="2"/>
        <v>0</v>
      </c>
      <c r="S18" s="74" t="s">
        <v>29</v>
      </c>
      <c r="T18" s="75">
        <v>355000.0</v>
      </c>
      <c r="U18" s="2" t="s">
        <v>29</v>
      </c>
      <c r="V18" s="76">
        <v>335000.0</v>
      </c>
    </row>
    <row r="19" ht="15.75" customHeight="1">
      <c r="D19" s="47">
        <v>11.0</v>
      </c>
      <c r="E19" s="47" t="s">
        <v>40</v>
      </c>
      <c r="F19" s="230">
        <v>6517.76</v>
      </c>
      <c r="G19" s="230">
        <v>6517.76</v>
      </c>
      <c r="H19" s="51">
        <f t="shared" si="1"/>
        <v>0</v>
      </c>
      <c r="J19" s="47">
        <v>11.0</v>
      </c>
      <c r="K19" s="47" t="s">
        <v>40</v>
      </c>
      <c r="L19" s="59">
        <v>2561.0899999999997</v>
      </c>
      <c r="M19" s="59">
        <v>2561.0899999999997</v>
      </c>
      <c r="N19" s="51">
        <f t="shared" si="2"/>
        <v>0</v>
      </c>
      <c r="S19" s="74"/>
      <c r="T19" s="2"/>
      <c r="U19" s="2"/>
      <c r="V19" s="77"/>
    </row>
    <row r="20" ht="15.75" customHeight="1">
      <c r="D20" s="47">
        <v>12.0</v>
      </c>
      <c r="E20" s="47" t="s">
        <v>47</v>
      </c>
      <c r="F20" s="230">
        <v>24719.6</v>
      </c>
      <c r="G20" s="230">
        <v>24719.6</v>
      </c>
      <c r="H20" s="51">
        <f t="shared" si="1"/>
        <v>0</v>
      </c>
      <c r="J20" s="47">
        <v>12.0</v>
      </c>
      <c r="K20" s="47" t="s">
        <v>47</v>
      </c>
      <c r="L20" s="59">
        <v>18730.11</v>
      </c>
      <c r="M20" s="59">
        <v>18730.11</v>
      </c>
      <c r="N20" s="51">
        <f t="shared" si="2"/>
        <v>0</v>
      </c>
      <c r="S20" s="74" t="s">
        <v>58</v>
      </c>
      <c r="T20" s="75">
        <f>SUM(G9:G15)</f>
        <v>75306.39</v>
      </c>
      <c r="U20" s="58" t="s">
        <v>58</v>
      </c>
      <c r="V20" s="76">
        <f>SUM(M9:M15)</f>
        <v>74967.69</v>
      </c>
    </row>
    <row r="21" ht="15.75" customHeight="1">
      <c r="D21" s="47">
        <v>13.0</v>
      </c>
      <c r="E21" s="47" t="s">
        <v>205</v>
      </c>
      <c r="F21" s="59">
        <v>15000.0</v>
      </c>
      <c r="G21" s="230">
        <f>860.75+9078-175</f>
        <v>9763.75</v>
      </c>
      <c r="H21" s="51">
        <f t="shared" si="1"/>
        <v>-5236.25</v>
      </c>
      <c r="J21" s="47">
        <v>13.0</v>
      </c>
      <c r="K21" s="47" t="s">
        <v>48</v>
      </c>
      <c r="L21" s="59">
        <v>14000.0</v>
      </c>
      <c r="M21" s="230">
        <f>11716.96-302.91</f>
        <v>11414.05</v>
      </c>
      <c r="N21" s="51">
        <f t="shared" si="2"/>
        <v>-2585.95</v>
      </c>
      <c r="S21" s="74"/>
      <c r="T21" s="79">
        <f>T20/T18</f>
        <v>0.2121306761</v>
      </c>
      <c r="V21" s="80">
        <f>V20/V18</f>
        <v>0.2237841493</v>
      </c>
      <c r="W21" s="66"/>
    </row>
    <row r="22" ht="15.75" customHeight="1">
      <c r="D22" s="47">
        <v>14.0</v>
      </c>
      <c r="E22" s="47" t="s">
        <v>41</v>
      </c>
      <c r="F22" s="59">
        <v>19000.0</v>
      </c>
      <c r="G22" s="230">
        <f>19896.65</f>
        <v>19896.65</v>
      </c>
      <c r="H22" s="51">
        <f t="shared" si="1"/>
        <v>896.65</v>
      </c>
      <c r="J22" s="47">
        <v>14.0</v>
      </c>
      <c r="K22" s="47" t="s">
        <v>41</v>
      </c>
      <c r="L22" s="59">
        <v>15000.0</v>
      </c>
      <c r="M22" s="230">
        <f>16429.42-534.52</f>
        <v>15894.9</v>
      </c>
      <c r="N22" s="51">
        <f t="shared" si="2"/>
        <v>894.9</v>
      </c>
      <c r="S22" s="74"/>
      <c r="T22" s="81"/>
      <c r="V22" s="77"/>
    </row>
    <row r="23" ht="15.75" customHeight="1">
      <c r="D23" s="47">
        <v>15.0</v>
      </c>
      <c r="E23" s="47" t="s">
        <v>44</v>
      </c>
      <c r="F23" s="59">
        <v>22000.0</v>
      </c>
      <c r="G23" s="230">
        <f>25580.75</f>
        <v>25580.75</v>
      </c>
      <c r="H23" s="51">
        <f t="shared" si="1"/>
        <v>3580.75</v>
      </c>
      <c r="J23" s="47">
        <v>15.0</v>
      </c>
      <c r="K23" s="47" t="s">
        <v>44</v>
      </c>
      <c r="L23" s="59">
        <v>23000.0</v>
      </c>
      <c r="M23" s="230">
        <f>23195.82-1259.68</f>
        <v>21936.14</v>
      </c>
      <c r="N23" s="51">
        <f t="shared" si="2"/>
        <v>-1063.86</v>
      </c>
      <c r="S23" s="74" t="s">
        <v>62</v>
      </c>
      <c r="T23" s="75">
        <f>SUM(G16:G22)</f>
        <v>94680.31</v>
      </c>
      <c r="U23" s="58" t="s">
        <v>62</v>
      </c>
      <c r="V23" s="76">
        <f>SUM(M16:M22)</f>
        <v>84643.1</v>
      </c>
    </row>
    <row r="24" ht="15.75" customHeight="1">
      <c r="D24" s="47">
        <v>16.0</v>
      </c>
      <c r="E24" s="47" t="s">
        <v>45</v>
      </c>
      <c r="F24" s="59">
        <v>3500.0</v>
      </c>
      <c r="G24" s="230">
        <f>3075.65</f>
        <v>3075.65</v>
      </c>
      <c r="H24" s="51">
        <f t="shared" si="1"/>
        <v>-424.35</v>
      </c>
      <c r="J24" s="47">
        <v>16.0</v>
      </c>
      <c r="K24" s="47" t="s">
        <v>45</v>
      </c>
      <c r="L24" s="59">
        <v>4500.0</v>
      </c>
      <c r="M24" s="230">
        <f>5345.17+79.01-161.99</f>
        <v>5262.19</v>
      </c>
      <c r="N24" s="51">
        <f t="shared" si="2"/>
        <v>762.19</v>
      </c>
      <c r="S24" s="74"/>
      <c r="T24" s="79">
        <f>T23/T18</f>
        <v>0.2667050986</v>
      </c>
      <c r="V24" s="80">
        <f>V23/V18</f>
        <v>0.2526659701</v>
      </c>
    </row>
    <row r="25" ht="15.75" customHeight="1">
      <c r="D25" s="47">
        <v>17.0</v>
      </c>
      <c r="E25" s="47" t="s">
        <v>46</v>
      </c>
      <c r="F25" s="59">
        <v>4500.0</v>
      </c>
      <c r="G25" s="230">
        <f>4789.75</f>
        <v>4789.75</v>
      </c>
      <c r="H25" s="51">
        <f t="shared" si="1"/>
        <v>289.75</v>
      </c>
      <c r="J25" s="47">
        <v>17.0</v>
      </c>
      <c r="K25" s="47" t="s">
        <v>46</v>
      </c>
      <c r="L25" s="59">
        <v>4200.0</v>
      </c>
      <c r="M25" s="230">
        <f>5459.88-175.97</f>
        <v>5283.91</v>
      </c>
      <c r="N25" s="51">
        <f t="shared" si="2"/>
        <v>1083.91</v>
      </c>
      <c r="S25" s="74"/>
      <c r="T25" s="81"/>
      <c r="V25" s="77"/>
    </row>
    <row r="26" ht="19.5" customHeight="1">
      <c r="D26" s="47">
        <v>18.0</v>
      </c>
      <c r="E26" s="47" t="s">
        <v>40</v>
      </c>
      <c r="F26" s="59">
        <v>5500.0</v>
      </c>
      <c r="G26" s="230">
        <f>6929.66</f>
        <v>6929.66</v>
      </c>
      <c r="H26" s="51">
        <f t="shared" si="1"/>
        <v>1429.66</v>
      </c>
      <c r="J26" s="47">
        <v>18.0</v>
      </c>
      <c r="K26" s="47" t="s">
        <v>40</v>
      </c>
      <c r="L26" s="59">
        <v>5000.0</v>
      </c>
      <c r="M26" s="230">
        <f>6568.69-159.95</f>
        <v>6408.74</v>
      </c>
      <c r="N26" s="51">
        <f t="shared" si="2"/>
        <v>1408.74</v>
      </c>
      <c r="S26" s="74" t="s">
        <v>63</v>
      </c>
      <c r="T26" s="75">
        <f>SUM(G23:G29)</f>
        <v>73948.24</v>
      </c>
      <c r="U26" s="58" t="s">
        <v>63</v>
      </c>
      <c r="V26" s="76">
        <f>SUM(M23:M29)</f>
        <v>79386.11</v>
      </c>
    </row>
    <row r="27" ht="15.75" customHeight="1">
      <c r="D27" s="47">
        <v>19.0</v>
      </c>
      <c r="E27" s="47" t="s">
        <v>47</v>
      </c>
      <c r="F27" s="59">
        <v>8000.0</v>
      </c>
      <c r="G27" s="230">
        <f>11944.3</f>
        <v>11944.3</v>
      </c>
      <c r="H27" s="51">
        <f t="shared" si="1"/>
        <v>3944.3</v>
      </c>
      <c r="J27" s="47">
        <v>19.0</v>
      </c>
      <c r="K27" s="47" t="s">
        <v>47</v>
      </c>
      <c r="L27" s="59">
        <v>7000.0</v>
      </c>
      <c r="M27" s="230">
        <f>14434.11-671.25</f>
        <v>13762.86</v>
      </c>
      <c r="N27" s="51">
        <f t="shared" si="2"/>
        <v>6762.86</v>
      </c>
      <c r="S27" s="74"/>
      <c r="T27" s="79">
        <f>T26/T18</f>
        <v>0.2083049014</v>
      </c>
      <c r="V27" s="80">
        <f>V26/V18</f>
        <v>0.2369734627</v>
      </c>
    </row>
    <row r="28" ht="15.75" customHeight="1">
      <c r="D28" s="47">
        <v>20.0</v>
      </c>
      <c r="E28" s="47" t="s">
        <v>48</v>
      </c>
      <c r="F28" s="59">
        <v>15000.0</v>
      </c>
      <c r="G28" s="230">
        <f>10531.18-240</f>
        <v>10291.18</v>
      </c>
      <c r="H28" s="51">
        <f t="shared" si="1"/>
        <v>-4708.82</v>
      </c>
      <c r="J28" s="47">
        <v>20.0</v>
      </c>
      <c r="K28" s="47" t="s">
        <v>48</v>
      </c>
      <c r="L28" s="59">
        <v>14000.0</v>
      </c>
      <c r="M28" s="230">
        <f>11615.32-265.81</f>
        <v>11349.51</v>
      </c>
      <c r="N28" s="51">
        <f t="shared" si="2"/>
        <v>-2650.49</v>
      </c>
      <c r="S28" s="74"/>
      <c r="V28" s="82"/>
    </row>
    <row r="29" ht="15.75" customHeight="1">
      <c r="D29" s="47">
        <v>21.0</v>
      </c>
      <c r="E29" s="47" t="s">
        <v>41</v>
      </c>
      <c r="F29" s="59">
        <v>19000.0</v>
      </c>
      <c r="G29" s="230">
        <f>1396+9940.95</f>
        <v>11336.95</v>
      </c>
      <c r="H29" s="51">
        <f t="shared" si="1"/>
        <v>-7663.05</v>
      </c>
      <c r="J29" s="47">
        <v>21.0</v>
      </c>
      <c r="K29" s="47" t="s">
        <v>41</v>
      </c>
      <c r="L29" s="59">
        <v>15000.0</v>
      </c>
      <c r="M29" s="230">
        <f>16087.23-704.47</f>
        <v>15382.76</v>
      </c>
      <c r="N29" s="51">
        <f t="shared" si="2"/>
        <v>382.76</v>
      </c>
      <c r="S29" s="74" t="s">
        <v>64</v>
      </c>
      <c r="T29" s="61">
        <f>SUM(G30:G36)</f>
        <v>71904.67</v>
      </c>
      <c r="U29" s="58" t="s">
        <v>64</v>
      </c>
      <c r="V29" s="83">
        <f>SUM(M30:M36)</f>
        <v>72560.15</v>
      </c>
    </row>
    <row r="30" ht="19.5" customHeight="1">
      <c r="D30" s="47">
        <v>22.0</v>
      </c>
      <c r="E30" s="47" t="s">
        <v>44</v>
      </c>
      <c r="F30" s="59">
        <v>22000.0</v>
      </c>
      <c r="G30" s="230">
        <f>19511.13</f>
        <v>19511.13</v>
      </c>
      <c r="H30" s="51">
        <f t="shared" si="1"/>
        <v>-2488.87</v>
      </c>
      <c r="J30" s="47">
        <v>22.0</v>
      </c>
      <c r="K30" s="47" t="s">
        <v>44</v>
      </c>
      <c r="L30" s="59">
        <v>23000.0</v>
      </c>
      <c r="M30" s="230">
        <f>17747.01-486.87</f>
        <v>17260.14</v>
      </c>
      <c r="N30" s="51">
        <f t="shared" si="2"/>
        <v>-5739.86</v>
      </c>
      <c r="S30" s="74"/>
      <c r="T30" s="79">
        <f>T29/T18</f>
        <v>0.2025483662</v>
      </c>
      <c r="V30" s="80">
        <f>V29/V18</f>
        <v>0.2165974627</v>
      </c>
    </row>
    <row r="31" ht="19.5" customHeight="1">
      <c r="D31" s="47">
        <v>23.0</v>
      </c>
      <c r="E31" s="47" t="s">
        <v>45</v>
      </c>
      <c r="F31" s="59">
        <v>3500.0</v>
      </c>
      <c r="G31" s="230">
        <f>5909.37</f>
        <v>5909.37</v>
      </c>
      <c r="H31" s="51">
        <f t="shared" si="1"/>
        <v>2409.37</v>
      </c>
      <c r="J31" s="47">
        <v>23.0</v>
      </c>
      <c r="K31" s="47" t="s">
        <v>45</v>
      </c>
      <c r="L31" s="59">
        <v>4500.0</v>
      </c>
      <c r="M31" s="230">
        <f>5464.71-152.97</f>
        <v>5311.74</v>
      </c>
      <c r="N31" s="51">
        <f t="shared" si="2"/>
        <v>811.74</v>
      </c>
      <c r="S31" s="74" t="s">
        <v>65</v>
      </c>
      <c r="T31" s="61">
        <f>SUM(G37:G38)</f>
        <v>22768.89</v>
      </c>
      <c r="U31" s="58" t="s">
        <v>65</v>
      </c>
      <c r="V31" s="83">
        <f>SUM(M37:M38)</f>
        <v>28461.17</v>
      </c>
    </row>
    <row r="32" ht="15.75" customHeight="1">
      <c r="D32" s="47">
        <v>24.0</v>
      </c>
      <c r="E32" s="47" t="s">
        <v>46</v>
      </c>
      <c r="F32" s="59">
        <v>4500.0</v>
      </c>
      <c r="G32" s="230">
        <f>5007.75</f>
        <v>5007.75</v>
      </c>
      <c r="H32" s="51">
        <f t="shared" si="1"/>
        <v>507.75</v>
      </c>
      <c r="J32" s="47">
        <v>24.0</v>
      </c>
      <c r="K32" s="47" t="s">
        <v>46</v>
      </c>
      <c r="L32" s="59">
        <v>4000.0</v>
      </c>
      <c r="M32" s="230">
        <f>5165.19-117.95</f>
        <v>5047.24</v>
      </c>
      <c r="N32" s="51">
        <f t="shared" si="2"/>
        <v>1047.24</v>
      </c>
      <c r="S32" s="84" t="s">
        <v>206</v>
      </c>
      <c r="T32" s="85">
        <f>T31/T18</f>
        <v>0.06413771831</v>
      </c>
      <c r="U32" s="84" t="s">
        <v>206</v>
      </c>
      <c r="V32" s="87">
        <f>V31/V18</f>
        <v>0.08495871642</v>
      </c>
    </row>
    <row r="33" ht="15.75" customHeight="1">
      <c r="D33" s="47">
        <v>25.0</v>
      </c>
      <c r="E33" s="47" t="s">
        <v>40</v>
      </c>
      <c r="F33" s="59">
        <v>5500.0</v>
      </c>
      <c r="G33" s="230">
        <f>7265.85</f>
        <v>7265.85</v>
      </c>
      <c r="H33" s="51">
        <f t="shared" si="1"/>
        <v>1765.85</v>
      </c>
      <c r="J33" s="47">
        <v>25.0</v>
      </c>
      <c r="K33" s="47" t="s">
        <v>40</v>
      </c>
      <c r="L33" s="59">
        <v>7000.0</v>
      </c>
      <c r="M33" s="230">
        <f>5370.85-97.99</f>
        <v>5272.86</v>
      </c>
      <c r="N33" s="51">
        <f t="shared" si="2"/>
        <v>-1727.14</v>
      </c>
    </row>
    <row r="34" ht="15.75" customHeight="1">
      <c r="D34" s="47">
        <v>26.0</v>
      </c>
      <c r="E34" s="47" t="s">
        <v>47</v>
      </c>
      <c r="F34" s="59">
        <v>8000.0</v>
      </c>
      <c r="G34" s="230">
        <f>8705.5</f>
        <v>8705.5</v>
      </c>
      <c r="H34" s="51">
        <f t="shared" si="1"/>
        <v>705.5</v>
      </c>
      <c r="J34" s="47">
        <v>26.0</v>
      </c>
      <c r="K34" s="47" t="s">
        <v>47</v>
      </c>
      <c r="L34" s="59">
        <v>6000.0</v>
      </c>
      <c r="M34" s="230">
        <f>6378.73-210.78</f>
        <v>6167.95</v>
      </c>
      <c r="N34" s="51">
        <f t="shared" si="2"/>
        <v>167.95</v>
      </c>
      <c r="R34" s="259" t="s">
        <v>72</v>
      </c>
      <c r="S34" s="93" t="s">
        <v>73</v>
      </c>
      <c r="T34" s="94">
        <f>G40</f>
        <v>338608.5</v>
      </c>
      <c r="U34" s="164" t="s">
        <v>74</v>
      </c>
      <c r="V34" s="96">
        <f>M40-9-8-8</f>
        <v>339993.22</v>
      </c>
      <c r="W34" s="92" t="s">
        <v>72</v>
      </c>
    </row>
    <row r="35" ht="19.5" customHeight="1">
      <c r="D35" s="47">
        <v>27.0</v>
      </c>
      <c r="E35" s="47" t="s">
        <v>205</v>
      </c>
      <c r="F35" s="59">
        <v>15000.0</v>
      </c>
      <c r="G35" s="230">
        <f>11000.75-110</f>
        <v>10890.75</v>
      </c>
      <c r="H35" s="51">
        <f t="shared" si="1"/>
        <v>-4109.25</v>
      </c>
      <c r="J35" s="47">
        <v>27.0</v>
      </c>
      <c r="K35" s="47" t="s">
        <v>205</v>
      </c>
      <c r="L35" s="59">
        <v>14000.0</v>
      </c>
      <c r="M35" s="230">
        <f>15043.31-950.83+128.98</f>
        <v>14221.46</v>
      </c>
      <c r="N35" s="51">
        <f t="shared" si="2"/>
        <v>221.46</v>
      </c>
      <c r="R35" s="260">
        <f>T35-U35</f>
        <v>-0.04617323944</v>
      </c>
      <c r="S35" s="98"/>
      <c r="T35" s="99">
        <f>T34/T18</f>
        <v>0.9538267606</v>
      </c>
      <c r="U35" s="181">
        <f>30/30</f>
        <v>1</v>
      </c>
      <c r="V35" s="100">
        <f>V34/V18</f>
        <v>1.014905134</v>
      </c>
      <c r="W35" s="97">
        <f>V35-U35</f>
        <v>0.01490513433</v>
      </c>
    </row>
    <row r="36" ht="15.75" customHeight="1">
      <c r="D36" s="47">
        <v>28.0</v>
      </c>
      <c r="E36" s="47" t="s">
        <v>171</v>
      </c>
      <c r="F36" s="59">
        <v>19000.0</v>
      </c>
      <c r="G36" s="230">
        <v>14614.32</v>
      </c>
      <c r="H36" s="51">
        <f t="shared" si="1"/>
        <v>-4385.68</v>
      </c>
      <c r="J36" s="47">
        <v>28.0</v>
      </c>
      <c r="K36" s="47" t="s">
        <v>171</v>
      </c>
      <c r="L36" s="59">
        <v>15000.0</v>
      </c>
      <c r="M36" s="230">
        <f>20568.17-1289.41</f>
        <v>19278.76</v>
      </c>
      <c r="N36" s="51">
        <f t="shared" si="2"/>
        <v>4278.76</v>
      </c>
      <c r="S36" s="98" t="s">
        <v>76</v>
      </c>
      <c r="T36" s="104">
        <f>T18-T34</f>
        <v>16391.5</v>
      </c>
      <c r="U36" s="99"/>
      <c r="V36" s="106">
        <f>V18-V34</f>
        <v>-4993.22</v>
      </c>
    </row>
    <row r="37" ht="15.75" customHeight="1">
      <c r="D37" s="47">
        <v>29.0</v>
      </c>
      <c r="E37" s="47" t="s">
        <v>44</v>
      </c>
      <c r="F37" s="59">
        <v>22000.0</v>
      </c>
      <c r="G37" s="230">
        <v>16523.21</v>
      </c>
      <c r="H37" s="51">
        <f t="shared" si="1"/>
        <v>-5476.79</v>
      </c>
      <c r="J37" s="47">
        <v>29.0</v>
      </c>
      <c r="K37" s="47" t="s">
        <v>44</v>
      </c>
      <c r="L37" s="59">
        <v>23000.0</v>
      </c>
      <c r="M37" s="230">
        <f>23991.09-1082.08</f>
        <v>22909.01</v>
      </c>
      <c r="N37" s="51">
        <f t="shared" si="2"/>
        <v>-90.99</v>
      </c>
      <c r="S37" s="110"/>
      <c r="T37" s="112">
        <f>T36/T18</f>
        <v>0.04617323944</v>
      </c>
      <c r="U37" s="112"/>
      <c r="V37" s="113">
        <f>V36/V18</f>
        <v>-0.01490513433</v>
      </c>
    </row>
    <row r="38" ht="15.75" customHeight="1">
      <c r="D38" s="47">
        <v>30.0</v>
      </c>
      <c r="E38" s="47" t="s">
        <v>45</v>
      </c>
      <c r="F38" s="59">
        <v>3500.0</v>
      </c>
      <c r="G38" s="230">
        <v>6245.68</v>
      </c>
      <c r="H38" s="51">
        <f t="shared" si="1"/>
        <v>2745.68</v>
      </c>
      <c r="J38" s="47">
        <v>30.0</v>
      </c>
      <c r="K38" s="47" t="s">
        <v>45</v>
      </c>
      <c r="L38" s="59">
        <v>4500.0</v>
      </c>
      <c r="M38" s="230">
        <f>5665.14-112.98</f>
        <v>5552.16</v>
      </c>
      <c r="N38" s="51">
        <f t="shared" si="2"/>
        <v>1052.16</v>
      </c>
    </row>
    <row r="39" ht="15.75" customHeight="1">
      <c r="D39" s="47"/>
      <c r="E39" s="47"/>
      <c r="F39" s="59"/>
      <c r="G39" s="230"/>
      <c r="H39" s="51"/>
      <c r="J39" s="47"/>
      <c r="K39" s="47"/>
      <c r="L39" s="59"/>
      <c r="M39" s="230"/>
      <c r="N39" s="51"/>
    </row>
    <row r="40" ht="15.75" customHeight="1">
      <c r="D40" s="8"/>
      <c r="E40" s="8"/>
      <c r="F40" s="107">
        <f t="shared" ref="F40:H40" si="4">SUM(F9:F39)</f>
        <v>355041.3</v>
      </c>
      <c r="G40" s="107">
        <f t="shared" si="4"/>
        <v>338608.5</v>
      </c>
      <c r="H40" s="105">
        <f t="shared" si="4"/>
        <v>-16432.8</v>
      </c>
      <c r="J40" s="8"/>
      <c r="K40" s="8"/>
      <c r="L40" s="107">
        <f t="shared" ref="L40:N40" si="5">SUM(L9:L39)</f>
        <v>335001.84</v>
      </c>
      <c r="M40" s="107">
        <f t="shared" si="5"/>
        <v>340018.22</v>
      </c>
      <c r="N40" s="105">
        <f t="shared" si="5"/>
        <v>5016.38</v>
      </c>
      <c r="Q40" s="61"/>
    </row>
    <row r="41" ht="15.75" customHeight="1">
      <c r="E41" s="61"/>
      <c r="G41" s="114">
        <f>G40/E44</f>
        <v>0.9538267606</v>
      </c>
      <c r="H41" s="1"/>
      <c r="J41" s="1"/>
      <c r="K41" s="13"/>
      <c r="L41" s="1"/>
      <c r="M41" s="114">
        <f>M40/K44</f>
        <v>1.014979761</v>
      </c>
      <c r="N41" s="1"/>
    </row>
    <row r="42" ht="15.75" customHeight="1">
      <c r="D42" s="2"/>
      <c r="E42" s="75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338608.5</v>
      </c>
      <c r="L43" s="115" t="s">
        <v>77</v>
      </c>
      <c r="M43" s="118">
        <f>L40+N40</f>
        <v>340018.22</v>
      </c>
    </row>
    <row r="44" ht="15.75" customHeight="1">
      <c r="D44" s="122" t="s">
        <v>29</v>
      </c>
      <c r="E44" s="124">
        <v>355000.0</v>
      </c>
      <c r="F44" s="2"/>
      <c r="G44" s="2"/>
      <c r="J44" s="126" t="s">
        <v>29</v>
      </c>
      <c r="K44" s="124">
        <v>335000.0</v>
      </c>
      <c r="L44" s="2"/>
      <c r="M44" s="2"/>
    </row>
    <row r="45" ht="15.75" customHeight="1"/>
    <row r="46" ht="15.75" customHeight="1"/>
    <row r="47" ht="15.75" customHeight="1">
      <c r="J47" s="61"/>
    </row>
    <row r="48" ht="15.75" customHeight="1">
      <c r="J48" s="12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4:H6"/>
    <mergeCell ref="J4:N6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0"/>
    <col customWidth="1" min="4" max="4" width="11.11"/>
    <col customWidth="1" min="5" max="5" width="19.33"/>
    <col customWidth="1" min="6" max="6" width="19.0"/>
    <col customWidth="1" min="7" max="7" width="18.44"/>
    <col customWidth="1" min="8" max="8" width="12.78"/>
    <col customWidth="1" min="9" max="9" width="11.0"/>
    <col customWidth="1" min="10" max="10" width="15.33"/>
    <col customWidth="1" min="11" max="11" width="19.11"/>
    <col customWidth="1" min="12" max="12" width="18.0"/>
    <col customWidth="1" min="13" max="13" width="21.44"/>
    <col customWidth="1" min="14" max="14" width="12.78"/>
    <col customWidth="1" min="15" max="15" width="11.0"/>
    <col customWidth="1" min="16" max="17" width="10.56"/>
    <col customWidth="1" min="18" max="18" width="11.33"/>
    <col customWidth="1" min="19" max="19" width="15.78"/>
    <col customWidth="1" min="20" max="20" width="15.44"/>
    <col customWidth="1" min="21" max="21" width="16.0"/>
    <col customWidth="1" min="22" max="22" width="15.44"/>
    <col customWidth="1" min="23" max="23" width="11.11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C9" s="78"/>
      <c r="D9" s="47">
        <v>1.0</v>
      </c>
      <c r="E9" s="47" t="s">
        <v>46</v>
      </c>
      <c r="F9" s="230">
        <v>6000.0</v>
      </c>
      <c r="G9" s="230">
        <v>8578.55</v>
      </c>
      <c r="H9" s="51">
        <f t="shared" ref="H9:H37" si="1">G9-F9</f>
        <v>2578.55</v>
      </c>
      <c r="J9" s="47">
        <v>1.0</v>
      </c>
      <c r="K9" s="47" t="s">
        <v>46</v>
      </c>
      <c r="L9" s="230">
        <v>5000.0</v>
      </c>
      <c r="M9" s="229">
        <v>6595.93</v>
      </c>
      <c r="N9" s="51">
        <f t="shared" ref="N9:N37" si="2">M9-L9</f>
        <v>1595.93</v>
      </c>
    </row>
    <row r="10" ht="15.75" customHeight="1">
      <c r="C10" s="78"/>
      <c r="D10" s="47">
        <v>2.0</v>
      </c>
      <c r="E10" s="47" t="s">
        <v>40</v>
      </c>
      <c r="F10" s="230">
        <v>7000.0</v>
      </c>
      <c r="G10" s="230">
        <v>6892.53</v>
      </c>
      <c r="H10" s="51">
        <f t="shared" si="1"/>
        <v>-107.47</v>
      </c>
      <c r="J10" s="47">
        <v>2.0</v>
      </c>
      <c r="K10" s="47" t="s">
        <v>40</v>
      </c>
      <c r="L10" s="230">
        <v>5500.0</v>
      </c>
      <c r="M10" s="229">
        <v>5913.69</v>
      </c>
      <c r="N10" s="51">
        <f t="shared" si="2"/>
        <v>413.69</v>
      </c>
    </row>
    <row r="11" ht="15.75" customHeight="1">
      <c r="C11" s="78"/>
      <c r="D11" s="47">
        <v>3.0</v>
      </c>
      <c r="E11" s="47" t="s">
        <v>47</v>
      </c>
      <c r="F11" s="230">
        <v>11000.0</v>
      </c>
      <c r="G11" s="230">
        <v>7701.75</v>
      </c>
      <c r="H11" s="51">
        <f t="shared" si="1"/>
        <v>-3298.25</v>
      </c>
      <c r="J11" s="47">
        <v>3.0</v>
      </c>
      <c r="K11" s="47" t="s">
        <v>47</v>
      </c>
      <c r="L11" s="230">
        <v>11500.0</v>
      </c>
      <c r="M11" s="229">
        <v>7235.4400000000005</v>
      </c>
      <c r="N11" s="51">
        <f t="shared" si="2"/>
        <v>-4264.56</v>
      </c>
    </row>
    <row r="12" ht="15.75" customHeight="1">
      <c r="C12" s="78"/>
      <c r="D12" s="47">
        <v>4.0</v>
      </c>
      <c r="E12" s="47" t="s">
        <v>205</v>
      </c>
      <c r="F12" s="230">
        <v>13000.0</v>
      </c>
      <c r="G12" s="230">
        <v>16813.13</v>
      </c>
      <c r="H12" s="51">
        <f t="shared" si="1"/>
        <v>3813.13</v>
      </c>
      <c r="J12" s="47">
        <v>4.0</v>
      </c>
      <c r="K12" s="47" t="s">
        <v>205</v>
      </c>
      <c r="L12" s="230">
        <v>13000.0</v>
      </c>
      <c r="M12" s="229">
        <v>13371.18</v>
      </c>
      <c r="N12" s="51">
        <f t="shared" si="2"/>
        <v>371.18</v>
      </c>
    </row>
    <row r="13" ht="15.75" customHeight="1">
      <c r="D13" s="47">
        <v>5.0</v>
      </c>
      <c r="E13" s="47" t="s">
        <v>41</v>
      </c>
      <c r="F13" s="230">
        <v>21500.0</v>
      </c>
      <c r="G13" s="230">
        <v>13670.9</v>
      </c>
      <c r="H13" s="51">
        <f t="shared" si="1"/>
        <v>-7829.1</v>
      </c>
      <c r="J13" s="47">
        <v>5.0</v>
      </c>
      <c r="K13" s="47" t="s">
        <v>41</v>
      </c>
      <c r="L13" s="230">
        <v>17400.0</v>
      </c>
      <c r="M13" s="229">
        <v>13205.6</v>
      </c>
      <c r="N13" s="51">
        <f t="shared" si="2"/>
        <v>-4194.4</v>
      </c>
    </row>
    <row r="14" ht="15.75" customHeight="1">
      <c r="D14" s="47">
        <v>6.0</v>
      </c>
      <c r="E14" s="47" t="s">
        <v>44</v>
      </c>
      <c r="F14" s="230">
        <v>22500.0</v>
      </c>
      <c r="G14" s="230">
        <v>16295.2</v>
      </c>
      <c r="H14" s="51">
        <f t="shared" si="1"/>
        <v>-6204.8</v>
      </c>
      <c r="J14" s="47">
        <v>6.0</v>
      </c>
      <c r="K14" s="47" t="s">
        <v>44</v>
      </c>
      <c r="L14" s="230">
        <v>22500.0</v>
      </c>
      <c r="M14" s="229">
        <v>22765.77</v>
      </c>
      <c r="N14" s="51">
        <f t="shared" si="2"/>
        <v>265.77</v>
      </c>
    </row>
    <row r="15" ht="15.75" customHeight="1">
      <c r="D15" s="47">
        <v>7.0</v>
      </c>
      <c r="E15" s="47" t="s">
        <v>45</v>
      </c>
      <c r="F15" s="230">
        <v>5000.0</v>
      </c>
      <c r="G15" s="230">
        <v>3858.7</v>
      </c>
      <c r="H15" s="51">
        <f t="shared" si="1"/>
        <v>-1141.3</v>
      </c>
      <c r="J15" s="47">
        <v>7.0</v>
      </c>
      <c r="K15" s="47" t="s">
        <v>45</v>
      </c>
      <c r="L15" s="230">
        <v>4600.0</v>
      </c>
      <c r="M15" s="229">
        <v>5902.349999999999</v>
      </c>
      <c r="N15" s="51">
        <f t="shared" si="2"/>
        <v>1302.35</v>
      </c>
    </row>
    <row r="16" ht="15.75" customHeight="1">
      <c r="D16" s="47">
        <v>8.0</v>
      </c>
      <c r="E16" s="47" t="s">
        <v>46</v>
      </c>
      <c r="F16" s="230">
        <v>6000.0</v>
      </c>
      <c r="G16" s="230">
        <v>7464.5</v>
      </c>
      <c r="H16" s="51">
        <f t="shared" si="1"/>
        <v>1464.5</v>
      </c>
      <c r="J16" s="47">
        <v>8.0</v>
      </c>
      <c r="K16" s="47" t="s">
        <v>46</v>
      </c>
      <c r="L16" s="230">
        <v>5000.0</v>
      </c>
      <c r="M16" s="229">
        <v>6776.67</v>
      </c>
      <c r="N16" s="51">
        <f t="shared" si="2"/>
        <v>1776.67</v>
      </c>
    </row>
    <row r="17" ht="15.75" customHeight="1">
      <c r="D17" s="47">
        <v>9.0</v>
      </c>
      <c r="E17" s="47" t="s">
        <v>40</v>
      </c>
      <c r="F17" s="230">
        <v>7000.0</v>
      </c>
      <c r="G17" s="230">
        <v>6130.28</v>
      </c>
      <c r="H17" s="51">
        <f t="shared" si="1"/>
        <v>-869.72</v>
      </c>
      <c r="J17" s="47">
        <v>9.0</v>
      </c>
      <c r="K17" s="47" t="s">
        <v>40</v>
      </c>
      <c r="L17" s="230">
        <v>5500.0</v>
      </c>
      <c r="M17" s="229">
        <v>4738.21</v>
      </c>
      <c r="N17" s="51">
        <f t="shared" si="2"/>
        <v>-761.79</v>
      </c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47</v>
      </c>
      <c r="F18" s="230">
        <v>20000.0</v>
      </c>
      <c r="G18" s="230">
        <v>17114.63</v>
      </c>
      <c r="H18" s="51">
        <f t="shared" si="1"/>
        <v>-2885.37</v>
      </c>
      <c r="J18" s="47">
        <v>10.0</v>
      </c>
      <c r="K18" s="47" t="s">
        <v>47</v>
      </c>
      <c r="L18" s="230">
        <v>11500.0</v>
      </c>
      <c r="M18" s="229">
        <v>15358.16</v>
      </c>
      <c r="N18" s="51">
        <f t="shared" si="2"/>
        <v>3858.16</v>
      </c>
      <c r="S18" s="74" t="s">
        <v>29</v>
      </c>
      <c r="T18" s="75">
        <v>380000.0</v>
      </c>
      <c r="U18" s="2" t="s">
        <v>29</v>
      </c>
      <c r="V18" s="76">
        <v>340000.0</v>
      </c>
    </row>
    <row r="19" ht="15.75" customHeight="1">
      <c r="D19" s="47">
        <v>11.0</v>
      </c>
      <c r="E19" s="47" t="s">
        <v>205</v>
      </c>
      <c r="F19" s="230">
        <v>13000.0</v>
      </c>
      <c r="G19" s="230">
        <v>13125.58</v>
      </c>
      <c r="H19" s="51">
        <f t="shared" si="1"/>
        <v>125.58</v>
      </c>
      <c r="J19" s="47">
        <v>11.0</v>
      </c>
      <c r="K19" s="47" t="s">
        <v>205</v>
      </c>
      <c r="L19" s="230">
        <v>13000.0</v>
      </c>
      <c r="M19" s="229">
        <v>12701.289999999999</v>
      </c>
      <c r="N19" s="51">
        <f t="shared" si="2"/>
        <v>-298.71</v>
      </c>
      <c r="S19" s="74"/>
      <c r="T19" s="2"/>
      <c r="U19" s="2"/>
      <c r="V19" s="77"/>
    </row>
    <row r="20" ht="15.75" customHeight="1">
      <c r="D20" s="47">
        <v>12.0</v>
      </c>
      <c r="E20" s="47" t="s">
        <v>41</v>
      </c>
      <c r="F20" s="230">
        <v>21500.0</v>
      </c>
      <c r="G20" s="230">
        <v>21684.85</v>
      </c>
      <c r="H20" s="51">
        <f t="shared" si="1"/>
        <v>184.85</v>
      </c>
      <c r="J20" s="47">
        <v>12.0</v>
      </c>
      <c r="K20" s="47" t="s">
        <v>41</v>
      </c>
      <c r="L20" s="230">
        <v>17400.0</v>
      </c>
      <c r="M20" s="229">
        <v>14992.59</v>
      </c>
      <c r="N20" s="51">
        <f t="shared" si="2"/>
        <v>-2407.41</v>
      </c>
      <c r="S20" s="74" t="s">
        <v>58</v>
      </c>
      <c r="T20" s="75">
        <f>SUM(G9:G15)</f>
        <v>73810.76</v>
      </c>
      <c r="U20" s="58" t="s">
        <v>58</v>
      </c>
      <c r="V20" s="76">
        <f>SUM(M9:M15)</f>
        <v>74989.96</v>
      </c>
    </row>
    <row r="21" ht="15.75" customHeight="1">
      <c r="D21" s="47">
        <v>13.0</v>
      </c>
      <c r="E21" s="47" t="s">
        <v>44</v>
      </c>
      <c r="F21" s="230">
        <v>22500.0</v>
      </c>
      <c r="G21" s="230">
        <v>21071.6</v>
      </c>
      <c r="H21" s="51">
        <f t="shared" si="1"/>
        <v>-1428.4</v>
      </c>
      <c r="J21" s="47">
        <v>13.0</v>
      </c>
      <c r="K21" s="47" t="s">
        <v>44</v>
      </c>
      <c r="L21" s="230">
        <v>22500.0</v>
      </c>
      <c r="M21" s="229">
        <v>17238.269999999997</v>
      </c>
      <c r="N21" s="51">
        <f t="shared" si="2"/>
        <v>-5261.73</v>
      </c>
      <c r="S21" s="74"/>
      <c r="T21" s="79">
        <f>T20/T18</f>
        <v>0.1942388421</v>
      </c>
      <c r="V21" s="80">
        <f>V20/V18</f>
        <v>0.2205587059</v>
      </c>
      <c r="W21" s="66"/>
    </row>
    <row r="22" ht="15.75" customHeight="1">
      <c r="D22" s="47">
        <v>14.0</v>
      </c>
      <c r="E22" s="47" t="s">
        <v>45</v>
      </c>
      <c r="F22" s="230">
        <v>5000.0</v>
      </c>
      <c r="G22" s="230">
        <v>2417.9</v>
      </c>
      <c r="H22" s="51">
        <f t="shared" si="1"/>
        <v>-2582.1</v>
      </c>
      <c r="J22" s="47">
        <v>14.0</v>
      </c>
      <c r="K22" s="47" t="s">
        <v>45</v>
      </c>
      <c r="L22" s="230">
        <v>4600.0</v>
      </c>
      <c r="M22" s="229">
        <v>4134.55</v>
      </c>
      <c r="N22" s="51">
        <f t="shared" si="2"/>
        <v>-465.45</v>
      </c>
      <c r="S22" s="74"/>
      <c r="T22" s="81"/>
      <c r="V22" s="77"/>
    </row>
    <row r="23" ht="15.75" customHeight="1">
      <c r="D23" s="47">
        <v>15.0</v>
      </c>
      <c r="E23" s="47" t="s">
        <v>46</v>
      </c>
      <c r="F23" s="230">
        <v>6000.0</v>
      </c>
      <c r="G23" s="230">
        <v>9738.6</v>
      </c>
      <c r="H23" s="51">
        <f t="shared" si="1"/>
        <v>3738.6</v>
      </c>
      <c r="J23" s="47">
        <v>15.0</v>
      </c>
      <c r="K23" s="47" t="s">
        <v>46</v>
      </c>
      <c r="L23" s="230">
        <v>5000.0</v>
      </c>
      <c r="M23" s="229">
        <v>6375.28</v>
      </c>
      <c r="N23" s="51">
        <f t="shared" si="2"/>
        <v>1375.28</v>
      </c>
      <c r="S23" s="74" t="s">
        <v>62</v>
      </c>
      <c r="T23" s="75">
        <f>SUM(G16:G22)</f>
        <v>89009.34</v>
      </c>
      <c r="U23" s="58" t="s">
        <v>62</v>
      </c>
      <c r="V23" s="76">
        <f>SUM(M16:M22)</f>
        <v>75939.74</v>
      </c>
    </row>
    <row r="24" ht="15.75" customHeight="1">
      <c r="D24" s="47">
        <v>16.0</v>
      </c>
      <c r="E24" s="47" t="s">
        <v>40</v>
      </c>
      <c r="F24" s="230">
        <v>7000.0</v>
      </c>
      <c r="G24" s="230">
        <v>8116.95</v>
      </c>
      <c r="H24" s="51">
        <f t="shared" si="1"/>
        <v>1116.95</v>
      </c>
      <c r="J24" s="47">
        <v>16.0</v>
      </c>
      <c r="K24" s="47" t="s">
        <v>40</v>
      </c>
      <c r="L24" s="230">
        <v>5500.0</v>
      </c>
      <c r="M24" s="229">
        <v>6025.17</v>
      </c>
      <c r="N24" s="51">
        <f t="shared" si="2"/>
        <v>525.17</v>
      </c>
      <c r="S24" s="74"/>
      <c r="T24" s="79">
        <f>T23/T18</f>
        <v>0.2342351053</v>
      </c>
      <c r="V24" s="80">
        <f>V23/V18</f>
        <v>0.2233521765</v>
      </c>
    </row>
    <row r="25" ht="15.75" customHeight="1">
      <c r="D25" s="47">
        <v>17.0</v>
      </c>
      <c r="E25" s="47" t="s">
        <v>47</v>
      </c>
      <c r="F25" s="230">
        <v>11000.0</v>
      </c>
      <c r="G25" s="230">
        <v>6198.23</v>
      </c>
      <c r="H25" s="51">
        <f t="shared" si="1"/>
        <v>-4801.77</v>
      </c>
      <c r="J25" s="47">
        <v>17.0</v>
      </c>
      <c r="K25" s="47" t="s">
        <v>47</v>
      </c>
      <c r="L25" s="230">
        <v>11500.0</v>
      </c>
      <c r="M25" s="230">
        <v>6867.93</v>
      </c>
      <c r="N25" s="51">
        <f t="shared" si="2"/>
        <v>-4632.07</v>
      </c>
      <c r="S25" s="74"/>
      <c r="T25" s="81"/>
      <c r="V25" s="77"/>
    </row>
    <row r="26" ht="19.5" customHeight="1">
      <c r="D26" s="47">
        <v>18.0</v>
      </c>
      <c r="E26" s="47" t="s">
        <v>48</v>
      </c>
      <c r="F26" s="230">
        <v>13000.0</v>
      </c>
      <c r="G26" s="230">
        <f>14008.85-24.62</f>
        <v>13984.23</v>
      </c>
      <c r="H26" s="51">
        <f t="shared" si="1"/>
        <v>984.23</v>
      </c>
      <c r="J26" s="47">
        <v>18.0</v>
      </c>
      <c r="K26" s="47" t="s">
        <v>48</v>
      </c>
      <c r="L26" s="230">
        <v>13000.0</v>
      </c>
      <c r="M26" s="230">
        <v>14841.45</v>
      </c>
      <c r="N26" s="51">
        <f t="shared" si="2"/>
        <v>1841.45</v>
      </c>
      <c r="S26" s="74" t="s">
        <v>63</v>
      </c>
      <c r="T26" s="75">
        <f>SUM(G23:G29)</f>
        <v>81699.46</v>
      </c>
      <c r="U26" s="58" t="s">
        <v>63</v>
      </c>
      <c r="V26" s="76">
        <f>SUM(M23:M29)</f>
        <v>76192.27</v>
      </c>
    </row>
    <row r="27" ht="15.75" customHeight="1">
      <c r="D27" s="47">
        <v>19.0</v>
      </c>
      <c r="E27" s="47" t="s">
        <v>41</v>
      </c>
      <c r="F27" s="230">
        <v>21500.0</v>
      </c>
      <c r="G27" s="230">
        <v>17593.2</v>
      </c>
      <c r="H27" s="51">
        <f t="shared" si="1"/>
        <v>-3906.8</v>
      </c>
      <c r="J27" s="47">
        <v>19.0</v>
      </c>
      <c r="K27" s="47" t="s">
        <v>41</v>
      </c>
      <c r="L27" s="230">
        <v>17400.0</v>
      </c>
      <c r="M27" s="230">
        <v>14148.630000000001</v>
      </c>
      <c r="N27" s="51">
        <f t="shared" si="2"/>
        <v>-3251.37</v>
      </c>
      <c r="S27" s="74"/>
      <c r="T27" s="79">
        <f>T26/T18</f>
        <v>0.2149985789</v>
      </c>
      <c r="V27" s="80">
        <f>V26/V18</f>
        <v>0.2240949118</v>
      </c>
    </row>
    <row r="28" ht="15.75" customHeight="1">
      <c r="D28" s="47">
        <v>20.0</v>
      </c>
      <c r="E28" s="47" t="s">
        <v>44</v>
      </c>
      <c r="F28" s="230">
        <v>22500.0</v>
      </c>
      <c r="G28" s="230">
        <v>17566.0</v>
      </c>
      <c r="H28" s="51">
        <f t="shared" si="1"/>
        <v>-4934</v>
      </c>
      <c r="J28" s="47">
        <v>20.0</v>
      </c>
      <c r="K28" s="47" t="s">
        <v>44</v>
      </c>
      <c r="L28" s="230">
        <v>22500.0</v>
      </c>
      <c r="M28" s="230">
        <v>22068.82</v>
      </c>
      <c r="N28" s="51">
        <f t="shared" si="2"/>
        <v>-431.18</v>
      </c>
      <c r="S28" s="74"/>
      <c r="V28" s="82"/>
    </row>
    <row r="29" ht="15.75" customHeight="1">
      <c r="D29" s="47">
        <v>21.0</v>
      </c>
      <c r="E29" s="47" t="s">
        <v>45</v>
      </c>
      <c r="F29" s="230">
        <v>5000.0</v>
      </c>
      <c r="G29" s="230">
        <v>8502.25</v>
      </c>
      <c r="H29" s="51">
        <f t="shared" si="1"/>
        <v>3502.25</v>
      </c>
      <c r="J29" s="47">
        <v>21.0</v>
      </c>
      <c r="K29" s="47" t="s">
        <v>45</v>
      </c>
      <c r="L29" s="230">
        <v>4600.0</v>
      </c>
      <c r="M29" s="230">
        <v>5864.99</v>
      </c>
      <c r="N29" s="51">
        <f t="shared" si="2"/>
        <v>1264.99</v>
      </c>
      <c r="S29" s="74" t="s">
        <v>64</v>
      </c>
      <c r="T29" s="61">
        <f>SUM(G30:G36)</f>
        <v>79546.61</v>
      </c>
      <c r="U29" s="58" t="s">
        <v>64</v>
      </c>
      <c r="V29" s="83">
        <f>SUM(M30:M36)</f>
        <v>79439.67</v>
      </c>
    </row>
    <row r="30" ht="19.5" customHeight="1">
      <c r="D30" s="47">
        <v>22.0</v>
      </c>
      <c r="E30" s="47" t="s">
        <v>46</v>
      </c>
      <c r="F30" s="230">
        <v>6000.0</v>
      </c>
      <c r="G30" s="230">
        <v>6158.15</v>
      </c>
      <c r="H30" s="51">
        <f t="shared" si="1"/>
        <v>158.15</v>
      </c>
      <c r="J30" s="47">
        <v>22.0</v>
      </c>
      <c r="K30" s="47" t="s">
        <v>46</v>
      </c>
      <c r="L30" s="230">
        <v>5000.0</v>
      </c>
      <c r="M30" s="230">
        <v>5424.0</v>
      </c>
      <c r="N30" s="51">
        <f t="shared" si="2"/>
        <v>424</v>
      </c>
      <c r="S30" s="74"/>
      <c r="T30" s="79">
        <f>T29/T18</f>
        <v>0.2093331842</v>
      </c>
      <c r="V30" s="80">
        <f>V29/V18</f>
        <v>0.2336460882</v>
      </c>
    </row>
    <row r="31" ht="19.5" customHeight="1">
      <c r="D31" s="47">
        <v>23.0</v>
      </c>
      <c r="E31" s="47" t="s">
        <v>40</v>
      </c>
      <c r="F31" s="230">
        <v>7000.0</v>
      </c>
      <c r="G31" s="230">
        <v>7234.8</v>
      </c>
      <c r="H31" s="51">
        <f t="shared" si="1"/>
        <v>234.8</v>
      </c>
      <c r="J31" s="47">
        <v>23.0</v>
      </c>
      <c r="K31" s="47" t="s">
        <v>40</v>
      </c>
      <c r="L31" s="230">
        <v>5500.0</v>
      </c>
      <c r="M31" s="230">
        <v>6259.18</v>
      </c>
      <c r="N31" s="51">
        <f t="shared" si="2"/>
        <v>759.18</v>
      </c>
      <c r="S31" s="74" t="s">
        <v>65</v>
      </c>
      <c r="T31" s="61">
        <f>SUM(G37:G38)</f>
        <v>21041.55</v>
      </c>
      <c r="U31" s="58" t="s">
        <v>65</v>
      </c>
      <c r="V31" s="83">
        <f>SUM(M37:M38)</f>
        <v>14218.77</v>
      </c>
    </row>
    <row r="32" ht="15.75" customHeight="1">
      <c r="D32" s="47">
        <v>24.0</v>
      </c>
      <c r="E32" s="47" t="s">
        <v>47</v>
      </c>
      <c r="F32" s="230">
        <v>11000.0</v>
      </c>
      <c r="G32" s="230">
        <f>13872-6142</f>
        <v>7730</v>
      </c>
      <c r="H32" s="51">
        <f t="shared" si="1"/>
        <v>-3270</v>
      </c>
      <c r="J32" s="47">
        <v>24.0</v>
      </c>
      <c r="K32" s="47" t="s">
        <v>47</v>
      </c>
      <c r="L32" s="230">
        <v>11500.0</v>
      </c>
      <c r="M32" s="230">
        <v>5959.18</v>
      </c>
      <c r="N32" s="51">
        <f t="shared" si="2"/>
        <v>-5540.82</v>
      </c>
      <c r="S32" s="84" t="s">
        <v>206</v>
      </c>
      <c r="T32" s="85">
        <f>T31/T18</f>
        <v>0.0553725</v>
      </c>
      <c r="U32" s="84" t="s">
        <v>206</v>
      </c>
      <c r="V32" s="87">
        <f>V31/V18</f>
        <v>0.04181991176</v>
      </c>
    </row>
    <row r="33" ht="15.75" customHeight="1">
      <c r="D33" s="47">
        <v>25.0</v>
      </c>
      <c r="E33" s="47" t="s">
        <v>205</v>
      </c>
      <c r="F33" s="230">
        <v>13000.0</v>
      </c>
      <c r="G33" s="230">
        <v>14579.75</v>
      </c>
      <c r="H33" s="51">
        <f t="shared" si="1"/>
        <v>1579.75</v>
      </c>
      <c r="J33" s="47">
        <v>25.0</v>
      </c>
      <c r="K33" s="47" t="s">
        <v>205</v>
      </c>
      <c r="L33" s="230">
        <v>13000.0</v>
      </c>
      <c r="M33" s="230">
        <v>11836.189999999999</v>
      </c>
      <c r="N33" s="51">
        <f t="shared" si="2"/>
        <v>-1163.81</v>
      </c>
    </row>
    <row r="34" ht="15.75" customHeight="1">
      <c r="D34" s="47">
        <v>26.0</v>
      </c>
      <c r="E34" s="47" t="s">
        <v>171</v>
      </c>
      <c r="F34" s="262">
        <v>21500.0</v>
      </c>
      <c r="G34" s="230">
        <v>17691.45</v>
      </c>
      <c r="H34" s="51">
        <f t="shared" si="1"/>
        <v>-3808.55</v>
      </c>
      <c r="J34" s="47">
        <v>26.0</v>
      </c>
      <c r="K34" s="47" t="s">
        <v>171</v>
      </c>
      <c r="L34" s="230">
        <v>17400.0</v>
      </c>
      <c r="M34" s="230">
        <v>17875.969999999998</v>
      </c>
      <c r="N34" s="51">
        <f t="shared" si="2"/>
        <v>475.97</v>
      </c>
      <c r="R34" s="263" t="s">
        <v>72</v>
      </c>
      <c r="S34" s="93" t="s">
        <v>73</v>
      </c>
      <c r="T34" s="94">
        <f>G40</f>
        <v>353761.8</v>
      </c>
      <c r="U34" s="164" t="s">
        <v>74</v>
      </c>
      <c r="V34" s="96">
        <f>M40</f>
        <v>328479.72</v>
      </c>
      <c r="W34" s="263" t="s">
        <v>72</v>
      </c>
    </row>
    <row r="35" ht="19.5" customHeight="1">
      <c r="D35" s="47">
        <v>27.0</v>
      </c>
      <c r="E35" s="47" t="s">
        <v>44</v>
      </c>
      <c r="F35" s="230">
        <v>22500.0</v>
      </c>
      <c r="G35" s="230">
        <v>21116.76</v>
      </c>
      <c r="H35" s="51">
        <f t="shared" si="1"/>
        <v>-1383.24</v>
      </c>
      <c r="J35" s="47">
        <v>27.0</v>
      </c>
      <c r="K35" s="47" t="s">
        <v>44</v>
      </c>
      <c r="L35" s="230">
        <v>22500.0</v>
      </c>
      <c r="M35" s="230">
        <v>24876.39</v>
      </c>
      <c r="N35" s="51">
        <f t="shared" si="2"/>
        <v>2376.39</v>
      </c>
      <c r="R35" s="264">
        <f>T35-U35</f>
        <v>-0.06904789474</v>
      </c>
      <c r="S35" s="98"/>
      <c r="T35" s="99">
        <f>T34/T18</f>
        <v>0.9309521053</v>
      </c>
      <c r="U35" s="181">
        <f>31/31</f>
        <v>1</v>
      </c>
      <c r="V35" s="100">
        <f>V34/V18</f>
        <v>0.9661168235</v>
      </c>
      <c r="W35" s="264">
        <f>V35-U35</f>
        <v>-0.03388317647</v>
      </c>
    </row>
    <row r="36" ht="15.75" customHeight="1">
      <c r="D36" s="47">
        <v>28.0</v>
      </c>
      <c r="E36" s="47" t="s">
        <v>45</v>
      </c>
      <c r="F36" s="230">
        <v>5000.0</v>
      </c>
      <c r="G36" s="230">
        <f>5035.7</f>
        <v>5035.7</v>
      </c>
      <c r="H36" s="51">
        <f t="shared" si="1"/>
        <v>35.7</v>
      </c>
      <c r="J36" s="47">
        <v>28.0</v>
      </c>
      <c r="K36" s="47" t="s">
        <v>45</v>
      </c>
      <c r="L36" s="230">
        <v>4600.0</v>
      </c>
      <c r="M36" s="230">
        <f>4663.01+2753.56-207.81</f>
        <v>7208.76</v>
      </c>
      <c r="N36" s="51">
        <f t="shared" si="2"/>
        <v>2608.76</v>
      </c>
      <c r="S36" s="98" t="s">
        <v>76</v>
      </c>
      <c r="T36" s="104">
        <f>T18-T34</f>
        <v>26238.2</v>
      </c>
      <c r="U36" s="99"/>
      <c r="V36" s="106">
        <f>V18-V34</f>
        <v>11520.28</v>
      </c>
    </row>
    <row r="37" ht="15.75" customHeight="1">
      <c r="D37" s="47">
        <v>29.0</v>
      </c>
      <c r="E37" s="47" t="s">
        <v>46</v>
      </c>
      <c r="F37" s="230">
        <v>6000.0</v>
      </c>
      <c r="G37" s="230">
        <f>1289+6545</f>
        <v>7834</v>
      </c>
      <c r="H37" s="51">
        <f t="shared" si="1"/>
        <v>1834</v>
      </c>
      <c r="J37" s="47">
        <v>29.0</v>
      </c>
      <c r="K37" s="47" t="s">
        <v>46</v>
      </c>
      <c r="L37" s="230">
        <v>5000.0</v>
      </c>
      <c r="M37" s="230">
        <f>4025.18+2049.6-101.96</f>
        <v>5972.82</v>
      </c>
      <c r="N37" s="51">
        <f t="shared" si="2"/>
        <v>972.82</v>
      </c>
      <c r="S37" s="110"/>
      <c r="T37" s="112">
        <f>T36/T18</f>
        <v>0.06904789474</v>
      </c>
      <c r="U37" s="112"/>
      <c r="V37" s="113">
        <f>V36/V18</f>
        <v>0.03388317647</v>
      </c>
    </row>
    <row r="38" ht="15.75" customHeight="1">
      <c r="D38" s="47">
        <v>30.0</v>
      </c>
      <c r="E38" s="47" t="s">
        <v>40</v>
      </c>
      <c r="F38" s="230">
        <v>10000.0</v>
      </c>
      <c r="G38" s="230">
        <v>13207.55</v>
      </c>
      <c r="H38" s="51"/>
      <c r="J38" s="47">
        <v>30.0</v>
      </c>
      <c r="K38" s="47" t="s">
        <v>40</v>
      </c>
      <c r="L38" s="230">
        <v>5500.0</v>
      </c>
      <c r="M38" s="230">
        <v>8245.95</v>
      </c>
      <c r="N38" s="51"/>
    </row>
    <row r="39" ht="15.75" customHeight="1">
      <c r="D39" s="47">
        <v>31.0</v>
      </c>
      <c r="E39" s="47" t="s">
        <v>47</v>
      </c>
      <c r="F39" s="230">
        <v>11000.0</v>
      </c>
      <c r="G39" s="230">
        <v>9379.08</v>
      </c>
      <c r="H39" s="51"/>
      <c r="J39" s="47">
        <v>31.0</v>
      </c>
      <c r="K39" s="47" t="s">
        <v>47</v>
      </c>
      <c r="L39" s="230">
        <v>11500.0</v>
      </c>
      <c r="M39" s="230">
        <v>7530.29</v>
      </c>
      <c r="N39" s="51"/>
    </row>
    <row r="40" ht="15.75" customHeight="1">
      <c r="D40" s="8"/>
      <c r="E40" s="8"/>
      <c r="F40" s="107">
        <f>SUM(F9:F39)</f>
        <v>380000</v>
      </c>
      <c r="G40" s="107">
        <f>SUM(G9:G39)-725</f>
        <v>353761.8</v>
      </c>
      <c r="H40" s="105">
        <f>SUM(H9:H39)</f>
        <v>-27099.83</v>
      </c>
      <c r="J40" s="8"/>
      <c r="K40" s="8"/>
      <c r="L40" s="107">
        <f>SUM(L9:L39)</f>
        <v>340000</v>
      </c>
      <c r="M40" s="107">
        <f>SUM(M9:M39)-60+128.01-134.01-28+263.02</f>
        <v>328479.72</v>
      </c>
      <c r="N40" s="105">
        <f>SUM(N9:N39)</f>
        <v>-10465.54</v>
      </c>
      <c r="Q40" s="61"/>
    </row>
    <row r="41" ht="15.75" customHeight="1">
      <c r="E41" s="61"/>
      <c r="G41" s="114">
        <f>G40/E44</f>
        <v>0.9309521053</v>
      </c>
      <c r="H41" s="1"/>
      <c r="J41" s="1"/>
      <c r="K41" s="13"/>
      <c r="L41" s="1"/>
      <c r="M41" s="114">
        <f>M40/K44</f>
        <v>0.9661168235</v>
      </c>
      <c r="N41" s="1"/>
    </row>
    <row r="42" ht="15.75" customHeight="1">
      <c r="D42" s="2"/>
      <c r="E42" s="75"/>
      <c r="F42" s="2"/>
      <c r="G42" s="2"/>
      <c r="K42" s="61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352900.17</v>
      </c>
      <c r="L43" s="115" t="s">
        <v>77</v>
      </c>
      <c r="M43" s="118">
        <f>L40+N40</f>
        <v>329534.46</v>
      </c>
    </row>
    <row r="44" ht="15.75" customHeight="1">
      <c r="D44" s="122" t="s">
        <v>29</v>
      </c>
      <c r="E44" s="124">
        <v>380000.0</v>
      </c>
      <c r="F44" s="2"/>
      <c r="G44" s="2"/>
      <c r="J44" s="126" t="s">
        <v>29</v>
      </c>
      <c r="K44" s="124">
        <v>340000.0</v>
      </c>
      <c r="L44" s="2"/>
      <c r="M44" s="2"/>
    </row>
    <row r="45" ht="15.75" customHeight="1"/>
    <row r="46" ht="15.75" customHeight="1"/>
    <row r="47" ht="15.75" customHeight="1">
      <c r="J47" s="61"/>
    </row>
    <row r="48" ht="15.75" customHeight="1">
      <c r="J48" s="12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4:H6"/>
    <mergeCell ref="J4:N6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33"/>
    <col customWidth="1" min="4" max="4" width="11.11"/>
    <col customWidth="1" min="5" max="5" width="19.33"/>
    <col customWidth="1" min="6" max="6" width="19.0"/>
    <col customWidth="1" min="7" max="7" width="18.44"/>
    <col customWidth="1" min="8" max="8" width="12.78"/>
    <col customWidth="1" min="9" max="9" width="13.33"/>
    <col customWidth="1" min="10" max="10" width="15.33"/>
    <col customWidth="1" min="11" max="11" width="19.11"/>
    <col customWidth="1" min="12" max="12" width="18.0"/>
    <col customWidth="1" min="13" max="13" width="21.44"/>
    <col customWidth="1" min="14" max="14" width="12.78"/>
    <col customWidth="1" min="15" max="15" width="11.0"/>
    <col customWidth="1" min="16" max="17" width="10.56"/>
    <col customWidth="1" min="18" max="18" width="11.33"/>
    <col customWidth="1" min="19" max="19" width="15.78"/>
    <col customWidth="1" min="20" max="20" width="15.44"/>
    <col customWidth="1" min="21" max="21" width="16.0"/>
    <col customWidth="1" min="22" max="22" width="15.44"/>
    <col customWidth="1" min="23" max="23" width="12.0"/>
    <col customWidth="1" min="24" max="26" width="10.56"/>
  </cols>
  <sheetData>
    <row r="1" ht="15.75" customHeight="1"/>
    <row r="2" ht="15.75" customHeight="1"/>
    <row r="3" ht="15.75" customHeight="1">
      <c r="F3" s="2"/>
      <c r="G3" s="2"/>
      <c r="J3" s="2"/>
      <c r="K3" s="2"/>
      <c r="L3" s="2"/>
      <c r="M3" s="2"/>
    </row>
    <row r="4" ht="15.75" customHeight="1"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D5" s="31"/>
      <c r="H5" s="32"/>
      <c r="J5" s="31"/>
      <c r="N5" s="32"/>
    </row>
    <row r="6" ht="15.75" customHeight="1">
      <c r="D6" s="34"/>
      <c r="E6" s="35"/>
      <c r="F6" s="35"/>
      <c r="G6" s="35"/>
      <c r="H6" s="36"/>
      <c r="J6" s="34"/>
      <c r="K6" s="35"/>
      <c r="L6" s="35"/>
      <c r="M6" s="35"/>
      <c r="N6" s="36"/>
    </row>
    <row r="7" ht="15.75" customHeight="1">
      <c r="D7" s="40" t="s">
        <v>28</v>
      </c>
      <c r="E7" s="41"/>
      <c r="F7" s="41"/>
      <c r="G7" s="41"/>
      <c r="H7" s="6"/>
      <c r="J7" s="40" t="s">
        <v>28</v>
      </c>
      <c r="K7" s="41"/>
      <c r="L7" s="41"/>
      <c r="M7" s="41"/>
      <c r="N7" s="6"/>
    </row>
    <row r="8" ht="15.75" customHeight="1"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</row>
    <row r="9" ht="15.75" customHeight="1">
      <c r="C9" s="78">
        <f t="shared" ref="C9:C11" si="1">AVERAGE(G9,G16,G23,G30,G37)</f>
        <v>13200.012</v>
      </c>
      <c r="D9" s="47">
        <v>1.0</v>
      </c>
      <c r="E9" s="47" t="s">
        <v>205</v>
      </c>
      <c r="F9" s="230">
        <v>14000.0</v>
      </c>
      <c r="G9" s="230">
        <f>15690.9-260</f>
        <v>15430.9</v>
      </c>
      <c r="H9" s="51">
        <f t="shared" ref="H9:H39" si="2">G9-F9</f>
        <v>1430.9</v>
      </c>
      <c r="I9" s="78">
        <f t="shared" ref="I9:I11" si="3">AVERAGE(M9,M16,M23,M30,M37)</f>
        <v>13629.676</v>
      </c>
      <c r="J9" s="47">
        <v>1.0</v>
      </c>
      <c r="K9" s="47" t="s">
        <v>205</v>
      </c>
      <c r="L9" s="230">
        <v>12500.0</v>
      </c>
      <c r="M9" s="230">
        <f>16548.04-687.23</f>
        <v>15860.81</v>
      </c>
      <c r="N9" s="51">
        <f t="shared" ref="N9:N39" si="4">M9-L9</f>
        <v>3360.81</v>
      </c>
    </row>
    <row r="10" ht="15.75" customHeight="1">
      <c r="C10" s="78">
        <f t="shared" si="1"/>
        <v>18032.356</v>
      </c>
      <c r="D10" s="47">
        <v>2.0</v>
      </c>
      <c r="E10" s="47" t="s">
        <v>41</v>
      </c>
      <c r="F10" s="230">
        <v>18000.0</v>
      </c>
      <c r="G10" s="230">
        <f>14818.5</f>
        <v>14818.5</v>
      </c>
      <c r="H10" s="51">
        <f t="shared" si="2"/>
        <v>-3181.5</v>
      </c>
      <c r="I10" s="78">
        <f t="shared" si="3"/>
        <v>15838.128</v>
      </c>
      <c r="J10" s="47">
        <v>2.0</v>
      </c>
      <c r="K10" s="47" t="s">
        <v>41</v>
      </c>
      <c r="L10" s="230">
        <v>14700.0</v>
      </c>
      <c r="M10" s="230">
        <f>17438.98-542.85</f>
        <v>16896.13</v>
      </c>
      <c r="N10" s="51">
        <f t="shared" si="4"/>
        <v>2196.13</v>
      </c>
    </row>
    <row r="11" ht="15.75" customHeight="1">
      <c r="C11" s="78">
        <f t="shared" si="1"/>
        <v>22191.438</v>
      </c>
      <c r="D11" s="47">
        <v>3.0</v>
      </c>
      <c r="E11" s="47" t="s">
        <v>44</v>
      </c>
      <c r="F11" s="230">
        <v>20500.0</v>
      </c>
      <c r="G11" s="230">
        <f>21067.41</f>
        <v>21067.41</v>
      </c>
      <c r="H11" s="51">
        <f t="shared" si="2"/>
        <v>567.41</v>
      </c>
      <c r="I11" s="78">
        <f t="shared" si="3"/>
        <v>23008.03</v>
      </c>
      <c r="J11" s="47">
        <v>3.0</v>
      </c>
      <c r="K11" s="47" t="s">
        <v>44</v>
      </c>
      <c r="L11" s="230">
        <v>22000.0</v>
      </c>
      <c r="M11" s="230">
        <f>25589.36-1442.04</f>
        <v>24147.32</v>
      </c>
      <c r="N11" s="51">
        <f t="shared" si="4"/>
        <v>2147.32</v>
      </c>
    </row>
    <row r="12" ht="15.75" customHeight="1">
      <c r="C12" s="78">
        <f t="shared" ref="C12:C15" si="5">AVERAGE(G12,G19,G26,G33)</f>
        <v>5323.65</v>
      </c>
      <c r="D12" s="47">
        <v>4.0</v>
      </c>
      <c r="E12" s="47" t="s">
        <v>45</v>
      </c>
      <c r="F12" s="230">
        <v>4500.0</v>
      </c>
      <c r="G12" s="230">
        <v>4558.1</v>
      </c>
      <c r="H12" s="51">
        <f t="shared" si="2"/>
        <v>58.1</v>
      </c>
      <c r="I12" s="78">
        <f t="shared" ref="I12:I15" si="6">AVERAGE(M12,M19,M26,M33)</f>
        <v>3843.7325</v>
      </c>
      <c r="J12" s="47">
        <v>4.0</v>
      </c>
      <c r="K12" s="47" t="s">
        <v>45</v>
      </c>
      <c r="L12" s="230">
        <v>5000.0</v>
      </c>
      <c r="M12" s="230">
        <v>2569.87</v>
      </c>
      <c r="N12" s="51">
        <f t="shared" si="4"/>
        <v>-2430.13</v>
      </c>
    </row>
    <row r="13" ht="15.75" customHeight="1">
      <c r="C13" s="78">
        <f t="shared" si="5"/>
        <v>8150.3325</v>
      </c>
      <c r="D13" s="47">
        <v>5.0</v>
      </c>
      <c r="E13" s="47" t="s">
        <v>46</v>
      </c>
      <c r="F13" s="230">
        <v>6500.0</v>
      </c>
      <c r="G13" s="230">
        <v>8903.4</v>
      </c>
      <c r="H13" s="51">
        <f t="shared" si="2"/>
        <v>2403.4</v>
      </c>
      <c r="I13" s="78">
        <f t="shared" si="6"/>
        <v>4637.2225</v>
      </c>
      <c r="J13" s="47">
        <v>5.0</v>
      </c>
      <c r="K13" s="47" t="s">
        <v>46</v>
      </c>
      <c r="L13" s="230">
        <v>6000.0</v>
      </c>
      <c r="M13" s="230">
        <v>4965.72</v>
      </c>
      <c r="N13" s="51">
        <f t="shared" si="4"/>
        <v>-1034.28</v>
      </c>
    </row>
    <row r="14" ht="15.75" customHeight="1">
      <c r="C14" s="78">
        <f t="shared" si="5"/>
        <v>6078.475</v>
      </c>
      <c r="D14" s="47">
        <v>6.0</v>
      </c>
      <c r="E14" s="47" t="s">
        <v>40</v>
      </c>
      <c r="F14" s="230">
        <v>7000.0</v>
      </c>
      <c r="G14" s="230">
        <v>5601.5</v>
      </c>
      <c r="H14" s="51">
        <f t="shared" si="2"/>
        <v>-1398.5</v>
      </c>
      <c r="I14" s="78">
        <f t="shared" si="6"/>
        <v>5855.96</v>
      </c>
      <c r="J14" s="47">
        <v>6.0</v>
      </c>
      <c r="K14" s="47" t="s">
        <v>40</v>
      </c>
      <c r="L14" s="230">
        <v>7000.0</v>
      </c>
      <c r="M14" s="230">
        <v>6779.09</v>
      </c>
      <c r="N14" s="51">
        <f t="shared" si="4"/>
        <v>-220.91</v>
      </c>
    </row>
    <row r="15" ht="15.75" customHeight="1">
      <c r="C15" s="78">
        <f t="shared" si="5"/>
        <v>7703.5325</v>
      </c>
      <c r="D15" s="47">
        <v>7.0</v>
      </c>
      <c r="E15" s="47" t="s">
        <v>47</v>
      </c>
      <c r="F15" s="230">
        <v>7500.0</v>
      </c>
      <c r="G15" s="230">
        <f>4671</f>
        <v>4671</v>
      </c>
      <c r="H15" s="51">
        <f t="shared" si="2"/>
        <v>-2829</v>
      </c>
      <c r="I15" s="78">
        <f t="shared" si="6"/>
        <v>5742.765</v>
      </c>
      <c r="J15" s="47">
        <v>7.0</v>
      </c>
      <c r="K15" s="47" t="s">
        <v>47</v>
      </c>
      <c r="L15" s="230">
        <v>8000.0</v>
      </c>
      <c r="M15" s="230">
        <f>203.5+4563.28+2432.57-178.98</f>
        <v>7020.37</v>
      </c>
      <c r="N15" s="51">
        <f t="shared" si="4"/>
        <v>-979.63</v>
      </c>
    </row>
    <row r="16" ht="15.75" customHeight="1">
      <c r="D16" s="47">
        <v>8.0</v>
      </c>
      <c r="E16" s="47" t="s">
        <v>205</v>
      </c>
      <c r="F16" s="230">
        <v>14000.0</v>
      </c>
      <c r="G16" s="230">
        <f>12478.76-180</f>
        <v>12298.76</v>
      </c>
      <c r="H16" s="51">
        <f t="shared" si="2"/>
        <v>-1701.24</v>
      </c>
      <c r="J16" s="47">
        <v>8.0</v>
      </c>
      <c r="K16" s="47" t="s">
        <v>205</v>
      </c>
      <c r="L16" s="230">
        <v>12500.0</v>
      </c>
      <c r="M16" s="230">
        <f>11416.94+4236.43-408.63</f>
        <v>15244.74</v>
      </c>
      <c r="N16" s="51">
        <f t="shared" si="4"/>
        <v>2744.74</v>
      </c>
    </row>
    <row r="17" ht="15.75" customHeight="1">
      <c r="D17" s="47">
        <v>9.0</v>
      </c>
      <c r="E17" s="47" t="s">
        <v>41</v>
      </c>
      <c r="F17" s="230">
        <v>18000.0</v>
      </c>
      <c r="G17" s="230">
        <f>218.25+14864.06</f>
        <v>15082.31</v>
      </c>
      <c r="H17" s="51">
        <f t="shared" si="2"/>
        <v>-2917.69</v>
      </c>
      <c r="J17" s="47">
        <v>9.0</v>
      </c>
      <c r="K17" s="47" t="s">
        <v>41</v>
      </c>
      <c r="L17" s="230">
        <v>14700.0</v>
      </c>
      <c r="M17" s="230">
        <f>8782.58+5671.02-407.75</f>
        <v>14045.85</v>
      </c>
      <c r="N17" s="51">
        <f t="shared" si="4"/>
        <v>-654.15</v>
      </c>
      <c r="S17" s="70"/>
      <c r="T17" s="71" t="s">
        <v>52</v>
      </c>
      <c r="U17" s="72"/>
      <c r="V17" s="73" t="s">
        <v>53</v>
      </c>
    </row>
    <row r="18" ht="15.75" customHeight="1">
      <c r="D18" s="47">
        <v>10.0</v>
      </c>
      <c r="E18" s="47" t="s">
        <v>44</v>
      </c>
      <c r="F18" s="230">
        <v>20500.0</v>
      </c>
      <c r="G18" s="230">
        <f>26897.95</f>
        <v>26897.95</v>
      </c>
      <c r="H18" s="51">
        <f t="shared" si="2"/>
        <v>6397.95</v>
      </c>
      <c r="J18" s="47">
        <v>10.0</v>
      </c>
      <c r="K18" s="47" t="s">
        <v>44</v>
      </c>
      <c r="L18" s="230">
        <v>22000.0</v>
      </c>
      <c r="M18" s="230">
        <f>16619.22+9626.42-1320.35</f>
        <v>24925.29</v>
      </c>
      <c r="N18" s="51">
        <f t="shared" si="4"/>
        <v>2925.29</v>
      </c>
      <c r="S18" s="74" t="s">
        <v>29</v>
      </c>
      <c r="T18" s="75">
        <v>365000.0</v>
      </c>
      <c r="U18" s="2" t="s">
        <v>29</v>
      </c>
      <c r="V18" s="76">
        <v>350000.0</v>
      </c>
    </row>
    <row r="19" ht="15.75" customHeight="1">
      <c r="D19" s="47">
        <v>11.0</v>
      </c>
      <c r="E19" s="47" t="s">
        <v>45</v>
      </c>
      <c r="F19" s="230">
        <v>4500.0</v>
      </c>
      <c r="G19" s="230">
        <f>5180.75</f>
        <v>5180.75</v>
      </c>
      <c r="H19" s="51">
        <f t="shared" si="2"/>
        <v>680.75</v>
      </c>
      <c r="J19" s="47">
        <v>11.0</v>
      </c>
      <c r="K19" s="47" t="s">
        <v>45</v>
      </c>
      <c r="L19" s="230">
        <v>5000.0</v>
      </c>
      <c r="M19" s="230">
        <f>2675.81+1126.57-85.97</f>
        <v>3716.41</v>
      </c>
      <c r="N19" s="51">
        <f t="shared" si="4"/>
        <v>-1283.59</v>
      </c>
      <c r="S19" s="74"/>
      <c r="T19" s="2"/>
      <c r="U19" s="2"/>
      <c r="V19" s="77"/>
    </row>
    <row r="20" ht="15.75" customHeight="1">
      <c r="D20" s="47">
        <v>12.0</v>
      </c>
      <c r="E20" s="47" t="s">
        <v>46</v>
      </c>
      <c r="F20" s="230">
        <v>6500.0</v>
      </c>
      <c r="G20" s="230">
        <f>16.2+8853.13</f>
        <v>8869.33</v>
      </c>
      <c r="H20" s="51">
        <f t="shared" si="2"/>
        <v>2369.33</v>
      </c>
      <c r="J20" s="47">
        <v>12.0</v>
      </c>
      <c r="K20" s="47" t="s">
        <v>46</v>
      </c>
      <c r="L20" s="230">
        <v>6000.0</v>
      </c>
      <c r="M20" s="230">
        <f>1860.79+3218.91-194.99</f>
        <v>4884.71</v>
      </c>
      <c r="N20" s="51">
        <f t="shared" si="4"/>
        <v>-1115.29</v>
      </c>
      <c r="S20" s="74" t="s">
        <v>58</v>
      </c>
      <c r="T20" s="75">
        <f>SUM(G9:G15)</f>
        <v>75050.81</v>
      </c>
      <c r="U20" s="58" t="s">
        <v>58</v>
      </c>
      <c r="V20" s="76">
        <f>SUM(M9:M15)</f>
        <v>78239.31</v>
      </c>
    </row>
    <row r="21" ht="15.75" customHeight="1">
      <c r="D21" s="47">
        <v>13.0</v>
      </c>
      <c r="E21" s="47" t="s">
        <v>40</v>
      </c>
      <c r="F21" s="230">
        <v>7000.0</v>
      </c>
      <c r="G21" s="230">
        <f>2072+3661.3</f>
        <v>5733.3</v>
      </c>
      <c r="H21" s="51">
        <f t="shared" si="2"/>
        <v>-1266.7</v>
      </c>
      <c r="J21" s="47">
        <v>13.0</v>
      </c>
      <c r="K21" s="47" t="s">
        <v>40</v>
      </c>
      <c r="L21" s="230">
        <v>7000.0</v>
      </c>
      <c r="M21" s="230">
        <f>2199.03+2369.27-149</f>
        <v>4419.3</v>
      </c>
      <c r="N21" s="51">
        <f t="shared" si="4"/>
        <v>-2580.7</v>
      </c>
      <c r="S21" s="74"/>
      <c r="T21" s="79">
        <f>T20/T18</f>
        <v>0.2056186575</v>
      </c>
      <c r="V21" s="80">
        <f>V20/V18</f>
        <v>0.2235408857</v>
      </c>
      <c r="W21" s="66"/>
    </row>
    <row r="22" ht="15.75" customHeight="1">
      <c r="D22" s="47">
        <v>14.0</v>
      </c>
      <c r="E22" s="47" t="s">
        <v>47</v>
      </c>
      <c r="F22" s="230">
        <v>7500.0</v>
      </c>
      <c r="G22" s="230">
        <f>233+5951.3</f>
        <v>6184.3</v>
      </c>
      <c r="H22" s="51">
        <f t="shared" si="2"/>
        <v>-1315.7</v>
      </c>
      <c r="J22" s="47">
        <v>14.0</v>
      </c>
      <c r="K22" s="47" t="s">
        <v>47</v>
      </c>
      <c r="L22" s="230">
        <v>8000.0</v>
      </c>
      <c r="M22" s="230">
        <f>3639.13+2888.87-150.97</f>
        <v>6377.03</v>
      </c>
      <c r="N22" s="51">
        <f t="shared" si="4"/>
        <v>-1622.97</v>
      </c>
      <c r="S22" s="74"/>
      <c r="T22" s="81"/>
      <c r="V22" s="77"/>
    </row>
    <row r="23" ht="15.75" customHeight="1">
      <c r="D23" s="47">
        <v>15.0</v>
      </c>
      <c r="E23" s="47" t="s">
        <v>48</v>
      </c>
      <c r="F23" s="230">
        <v>14000.0</v>
      </c>
      <c r="G23" s="230">
        <f>13081.2-140</f>
        <v>12941.2</v>
      </c>
      <c r="H23" s="51">
        <f t="shared" si="2"/>
        <v>-1058.8</v>
      </c>
      <c r="J23" s="47">
        <v>15.0</v>
      </c>
      <c r="K23" s="47" t="s">
        <v>48</v>
      </c>
      <c r="L23" s="230">
        <v>12500.0</v>
      </c>
      <c r="M23" s="230">
        <f>8537.37+3552.86-263.99</f>
        <v>11826.24</v>
      </c>
      <c r="N23" s="51">
        <f t="shared" si="4"/>
        <v>-673.76</v>
      </c>
      <c r="S23" s="74" t="s">
        <v>62</v>
      </c>
      <c r="T23" s="75">
        <f>SUM(G16:G22)</f>
        <v>80246.7</v>
      </c>
      <c r="U23" s="58" t="s">
        <v>62</v>
      </c>
      <c r="V23" s="76">
        <f>SUM(M16:M22)</f>
        <v>73613.33</v>
      </c>
    </row>
    <row r="24" ht="15.75" customHeight="1">
      <c r="D24" s="47">
        <v>16.0</v>
      </c>
      <c r="E24" s="47" t="s">
        <v>41</v>
      </c>
      <c r="F24" s="230">
        <v>18000.0</v>
      </c>
      <c r="G24" s="230">
        <f>20179.2</f>
        <v>20179.2</v>
      </c>
      <c r="H24" s="51">
        <f t="shared" si="2"/>
        <v>2179.2</v>
      </c>
      <c r="J24" s="47">
        <v>16.0</v>
      </c>
      <c r="K24" s="47" t="s">
        <v>41</v>
      </c>
      <c r="L24" s="230">
        <v>14700.0</v>
      </c>
      <c r="M24" s="230">
        <f>17728.63-572.82</f>
        <v>17155.81</v>
      </c>
      <c r="N24" s="51">
        <f t="shared" si="4"/>
        <v>2455.81</v>
      </c>
      <c r="S24" s="74"/>
      <c r="T24" s="79">
        <f>T23/T18</f>
        <v>0.2198539726</v>
      </c>
      <c r="V24" s="80">
        <f>V23/V18</f>
        <v>0.2103238</v>
      </c>
    </row>
    <row r="25" ht="15.75" customHeight="1">
      <c r="D25" s="47">
        <v>17.0</v>
      </c>
      <c r="E25" s="47" t="s">
        <v>44</v>
      </c>
      <c r="F25" s="230">
        <v>20500.0</v>
      </c>
      <c r="G25" s="230">
        <f>18740.1</f>
        <v>18740.1</v>
      </c>
      <c r="H25" s="51">
        <f t="shared" si="2"/>
        <v>-1759.9</v>
      </c>
      <c r="J25" s="47">
        <v>17.0</v>
      </c>
      <c r="K25" s="47" t="s">
        <v>44</v>
      </c>
      <c r="L25" s="230">
        <v>22000.0</v>
      </c>
      <c r="M25" s="230">
        <f>22238.91-1480.87</f>
        <v>20758.04</v>
      </c>
      <c r="N25" s="51">
        <f t="shared" si="4"/>
        <v>-1241.96</v>
      </c>
      <c r="S25" s="74"/>
      <c r="T25" s="81"/>
      <c r="V25" s="77"/>
    </row>
    <row r="26" ht="19.5" customHeight="1">
      <c r="D26" s="47">
        <v>18.0</v>
      </c>
      <c r="E26" s="47" t="s">
        <v>45</v>
      </c>
      <c r="F26" s="230">
        <v>4500.0</v>
      </c>
      <c r="G26" s="230">
        <f>7254.7</f>
        <v>7254.7</v>
      </c>
      <c r="H26" s="51">
        <f t="shared" si="2"/>
        <v>2754.7</v>
      </c>
      <c r="J26" s="47">
        <v>18.0</v>
      </c>
      <c r="K26" s="47" t="s">
        <v>45</v>
      </c>
      <c r="L26" s="230">
        <v>5000.0</v>
      </c>
      <c r="M26" s="230">
        <f>3705.35+949.03-54.98</f>
        <v>4599.4</v>
      </c>
      <c r="N26" s="51">
        <f t="shared" si="4"/>
        <v>-400.6</v>
      </c>
      <c r="S26" s="74" t="s">
        <v>63</v>
      </c>
      <c r="T26" s="75">
        <f>SUM(G23:G29)</f>
        <v>81607.88</v>
      </c>
      <c r="U26" s="58" t="s">
        <v>63</v>
      </c>
      <c r="V26" s="76">
        <f>SUM(M23:M29)</f>
        <v>70804.78</v>
      </c>
    </row>
    <row r="27" ht="15.75" customHeight="1">
      <c r="D27" s="47">
        <v>19.0</v>
      </c>
      <c r="E27" s="47" t="s">
        <v>46</v>
      </c>
      <c r="F27" s="230">
        <v>7000.0</v>
      </c>
      <c r="G27" s="230">
        <f>7984.75</f>
        <v>7984.75</v>
      </c>
      <c r="H27" s="51">
        <f t="shared" si="2"/>
        <v>984.75</v>
      </c>
      <c r="J27" s="47">
        <v>19.0</v>
      </c>
      <c r="K27" s="47" t="s">
        <v>46</v>
      </c>
      <c r="L27" s="230">
        <v>6000.0</v>
      </c>
      <c r="M27" s="230">
        <f>2838.94+1798.98-98.97</f>
        <v>4538.95</v>
      </c>
      <c r="N27" s="51">
        <f t="shared" si="4"/>
        <v>-1461.05</v>
      </c>
      <c r="S27" s="74"/>
      <c r="T27" s="79">
        <f>T26/T18</f>
        <v>0.2235832329</v>
      </c>
      <c r="V27" s="80">
        <f>V26/V18</f>
        <v>0.2022993714</v>
      </c>
    </row>
    <row r="28" ht="15.75" customHeight="1">
      <c r="D28" s="47">
        <v>20.0</v>
      </c>
      <c r="E28" s="47" t="s">
        <v>40</v>
      </c>
      <c r="F28" s="230">
        <v>7000.0</v>
      </c>
      <c r="G28" s="230">
        <f>4871.75</f>
        <v>4871.75</v>
      </c>
      <c r="H28" s="51">
        <f t="shared" si="2"/>
        <v>-2128.25</v>
      </c>
      <c r="J28" s="47">
        <v>20.0</v>
      </c>
      <c r="K28" s="47" t="s">
        <v>40</v>
      </c>
      <c r="L28" s="230">
        <v>7000.0</v>
      </c>
      <c r="M28" s="230">
        <f>4596.67+1902.85-144.98</f>
        <v>6354.54</v>
      </c>
      <c r="N28" s="51">
        <f t="shared" si="4"/>
        <v>-645.46</v>
      </c>
      <c r="S28" s="74"/>
      <c r="V28" s="82"/>
    </row>
    <row r="29" ht="15.75" customHeight="1">
      <c r="D29" s="47">
        <v>21.0</v>
      </c>
      <c r="E29" s="47" t="s">
        <v>47</v>
      </c>
      <c r="F29" s="230">
        <v>7500.0</v>
      </c>
      <c r="G29" s="230">
        <f>9636.18</f>
        <v>9636.18</v>
      </c>
      <c r="H29" s="51">
        <f t="shared" si="2"/>
        <v>2136.18</v>
      </c>
      <c r="J29" s="47">
        <v>21.0</v>
      </c>
      <c r="K29" s="47" t="s">
        <v>47</v>
      </c>
      <c r="L29" s="230">
        <v>8000.0</v>
      </c>
      <c r="M29" s="230">
        <f>3173.75+2606.03-207.98</f>
        <v>5571.8</v>
      </c>
      <c r="N29" s="51">
        <f t="shared" si="4"/>
        <v>-2428.2</v>
      </c>
      <c r="S29" s="74" t="s">
        <v>64</v>
      </c>
      <c r="T29" s="61">
        <f>SUM(G30:G36)</f>
        <v>84053.55</v>
      </c>
      <c r="U29" s="58" t="s">
        <v>64</v>
      </c>
      <c r="V29" s="83">
        <f>SUM(M30:M36)</f>
        <v>68748.88</v>
      </c>
    </row>
    <row r="30" ht="19.5" customHeight="1">
      <c r="D30" s="47">
        <v>22.0</v>
      </c>
      <c r="E30" s="47" t="s">
        <v>205</v>
      </c>
      <c r="F30" s="230">
        <v>14000.0</v>
      </c>
      <c r="G30" s="230">
        <f>13482.1-265</f>
        <v>13217.1</v>
      </c>
      <c r="H30" s="51">
        <f t="shared" si="2"/>
        <v>-782.9</v>
      </c>
      <c r="J30" s="47">
        <v>22.0</v>
      </c>
      <c r="K30" s="47" t="s">
        <v>205</v>
      </c>
      <c r="L30" s="230">
        <v>12500.0</v>
      </c>
      <c r="M30" s="230">
        <f>12774.71-240.88</f>
        <v>12533.83</v>
      </c>
      <c r="N30" s="51">
        <f t="shared" si="4"/>
        <v>33.83</v>
      </c>
      <c r="S30" s="74"/>
      <c r="T30" s="79">
        <f>T29/T18</f>
        <v>0.2302836986</v>
      </c>
      <c r="V30" s="80">
        <f>V29/V18</f>
        <v>0.1964253714</v>
      </c>
    </row>
    <row r="31" ht="18.0" customHeight="1">
      <c r="D31" s="47">
        <v>23.0</v>
      </c>
      <c r="E31" s="47" t="s">
        <v>171</v>
      </c>
      <c r="F31" s="230">
        <v>18000.0</v>
      </c>
      <c r="G31" s="230">
        <f>19527.42</f>
        <v>19527.42</v>
      </c>
      <c r="H31" s="51">
        <f t="shared" si="2"/>
        <v>1527.42</v>
      </c>
      <c r="J31" s="47">
        <v>23.0</v>
      </c>
      <c r="K31" s="47" t="s">
        <v>171</v>
      </c>
      <c r="L31" s="230">
        <v>14700.0</v>
      </c>
      <c r="M31" s="230">
        <f>16245.9-734.33</f>
        <v>15511.57</v>
      </c>
      <c r="N31" s="51">
        <f t="shared" si="4"/>
        <v>811.57</v>
      </c>
      <c r="S31" s="74" t="s">
        <v>65</v>
      </c>
      <c r="T31" s="61">
        <f>SUM(G37:G39)</f>
        <v>55184.05</v>
      </c>
      <c r="U31" s="58" t="s">
        <v>65</v>
      </c>
      <c r="V31" s="83">
        <f>SUM(M37:M39)</f>
        <v>51291.59</v>
      </c>
    </row>
    <row r="32" ht="15.75" customHeight="1">
      <c r="D32" s="47">
        <v>24.0</v>
      </c>
      <c r="E32" s="47" t="s">
        <v>44</v>
      </c>
      <c r="F32" s="230">
        <v>20500.0</v>
      </c>
      <c r="G32" s="230">
        <f>21734.13</f>
        <v>21734.13</v>
      </c>
      <c r="H32" s="51">
        <f t="shared" si="2"/>
        <v>1234.13</v>
      </c>
      <c r="J32" s="47">
        <v>24.0</v>
      </c>
      <c r="K32" s="47" t="s">
        <v>44</v>
      </c>
      <c r="L32" s="230">
        <v>22000.0</v>
      </c>
      <c r="M32" s="230">
        <f>23688.84-1506.89</f>
        <v>22181.95</v>
      </c>
      <c r="N32" s="51">
        <f t="shared" si="4"/>
        <v>181.95</v>
      </c>
      <c r="S32" s="84" t="s">
        <v>206</v>
      </c>
      <c r="T32" s="85">
        <f>T31/T18</f>
        <v>0.1511891781</v>
      </c>
      <c r="U32" s="84" t="s">
        <v>206</v>
      </c>
      <c r="V32" s="87">
        <f>V31/V18</f>
        <v>0.1465474</v>
      </c>
    </row>
    <row r="33" ht="15.75" customHeight="1">
      <c r="D33" s="47">
        <v>25.0</v>
      </c>
      <c r="E33" s="47" t="s">
        <v>45</v>
      </c>
      <c r="F33" s="230">
        <v>4500.0</v>
      </c>
      <c r="G33" s="230">
        <f>4301.05</f>
        <v>4301.05</v>
      </c>
      <c r="H33" s="51">
        <f t="shared" si="2"/>
        <v>-198.95</v>
      </c>
      <c r="J33" s="47">
        <v>25.0</v>
      </c>
      <c r="K33" s="47" t="s">
        <v>45</v>
      </c>
      <c r="L33" s="230">
        <v>5000.0</v>
      </c>
      <c r="M33" s="230">
        <f>4489.25</f>
        <v>4489.25</v>
      </c>
      <c r="N33" s="51">
        <f t="shared" si="4"/>
        <v>-510.75</v>
      </c>
    </row>
    <row r="34" ht="15.75" customHeight="1">
      <c r="D34" s="47">
        <v>26.0</v>
      </c>
      <c r="E34" s="47" t="s">
        <v>46</v>
      </c>
      <c r="F34" s="230">
        <v>6500.0</v>
      </c>
      <c r="G34" s="230">
        <f>6843.85</f>
        <v>6843.85</v>
      </c>
      <c r="H34" s="51">
        <f t="shared" si="2"/>
        <v>343.85</v>
      </c>
      <c r="J34" s="47">
        <v>26.0</v>
      </c>
      <c r="K34" s="47" t="s">
        <v>46</v>
      </c>
      <c r="L34" s="230">
        <v>6000.0</v>
      </c>
      <c r="M34" s="230">
        <f>4159.51</f>
        <v>4159.51</v>
      </c>
      <c r="N34" s="51">
        <f t="shared" si="4"/>
        <v>-1840.49</v>
      </c>
      <c r="R34" s="92" t="s">
        <v>72</v>
      </c>
      <c r="S34" s="93" t="s">
        <v>73</v>
      </c>
      <c r="T34" s="94">
        <f>G40</f>
        <v>376069.12</v>
      </c>
      <c r="U34" s="164" t="s">
        <v>74</v>
      </c>
      <c r="V34" s="96">
        <f>M40</f>
        <v>343093.93</v>
      </c>
      <c r="W34" s="259" t="s">
        <v>72</v>
      </c>
    </row>
    <row r="35" ht="19.5" customHeight="1">
      <c r="D35" s="47">
        <v>27.0</v>
      </c>
      <c r="E35" s="47" t="s">
        <v>40</v>
      </c>
      <c r="F35" s="230">
        <v>7000.0</v>
      </c>
      <c r="G35" s="230">
        <f>8107.35</f>
        <v>8107.35</v>
      </c>
      <c r="H35" s="51">
        <f t="shared" si="2"/>
        <v>1107.35</v>
      </c>
      <c r="J35" s="47">
        <v>27.0</v>
      </c>
      <c r="K35" s="47" t="s">
        <v>40</v>
      </c>
      <c r="L35" s="230">
        <v>7000.0</v>
      </c>
      <c r="M35" s="230">
        <f>5870.91</f>
        <v>5870.91</v>
      </c>
      <c r="N35" s="51">
        <f t="shared" si="4"/>
        <v>-1129.09</v>
      </c>
      <c r="R35" s="97">
        <f>T35-U35</f>
        <v>0.03032635616</v>
      </c>
      <c r="S35" s="98"/>
      <c r="T35" s="99">
        <f>T34/T18</f>
        <v>1.030326356</v>
      </c>
      <c r="U35" s="181">
        <f>31/31</f>
        <v>1</v>
      </c>
      <c r="V35" s="100">
        <f>V34/V18</f>
        <v>0.9802683714</v>
      </c>
      <c r="W35" s="260">
        <f>V35-U35</f>
        <v>-0.01973162857</v>
      </c>
    </row>
    <row r="36" ht="15.75" customHeight="1">
      <c r="D36" s="47">
        <v>28.0</v>
      </c>
      <c r="E36" s="47" t="s">
        <v>47</v>
      </c>
      <c r="F36" s="230">
        <v>7500.0</v>
      </c>
      <c r="G36" s="230">
        <f>10322.65</f>
        <v>10322.65</v>
      </c>
      <c r="H36" s="51">
        <f t="shared" si="2"/>
        <v>2822.65</v>
      </c>
      <c r="J36" s="47">
        <v>28.0</v>
      </c>
      <c r="K36" s="47" t="s">
        <v>47</v>
      </c>
      <c r="L36" s="230">
        <v>8000.0</v>
      </c>
      <c r="M36" s="230">
        <f>4001.86</f>
        <v>4001.86</v>
      </c>
      <c r="N36" s="51">
        <f t="shared" si="4"/>
        <v>-3998.14</v>
      </c>
      <c r="S36" s="98" t="s">
        <v>76</v>
      </c>
      <c r="T36" s="104">
        <f>T18-T34</f>
        <v>-11069.12</v>
      </c>
      <c r="U36" s="99"/>
      <c r="V36" s="106">
        <f>V18-V34</f>
        <v>6906.07</v>
      </c>
    </row>
    <row r="37" ht="15.75" customHeight="1">
      <c r="D37" s="47">
        <v>29.0</v>
      </c>
      <c r="E37" s="47" t="s">
        <v>205</v>
      </c>
      <c r="F37" s="230">
        <v>14000.0</v>
      </c>
      <c r="G37" s="230">
        <f>12364.1-252</f>
        <v>12112.1</v>
      </c>
      <c r="H37" s="51">
        <f t="shared" si="2"/>
        <v>-1887.9</v>
      </c>
      <c r="J37" s="47">
        <v>29.0</v>
      </c>
      <c r="K37" s="47" t="s">
        <v>205</v>
      </c>
      <c r="L37" s="230">
        <v>12500.0</v>
      </c>
      <c r="M37" s="230">
        <f>12682.76</f>
        <v>12682.76</v>
      </c>
      <c r="N37" s="51">
        <f t="shared" si="4"/>
        <v>182.76</v>
      </c>
      <c r="S37" s="110"/>
      <c r="T37" s="112">
        <f>T36/T18</f>
        <v>-0.03032635616</v>
      </c>
      <c r="U37" s="112"/>
      <c r="V37" s="113">
        <f>V36/V18</f>
        <v>0.01973162857</v>
      </c>
    </row>
    <row r="38" ht="15.75" customHeight="1">
      <c r="D38" s="47">
        <v>30.0</v>
      </c>
      <c r="E38" s="47" t="s">
        <v>41</v>
      </c>
      <c r="F38" s="230">
        <v>18000.0</v>
      </c>
      <c r="G38" s="230">
        <f>20554.35</f>
        <v>20554.35</v>
      </c>
      <c r="H38" s="51">
        <f t="shared" si="2"/>
        <v>2554.35</v>
      </c>
      <c r="J38" s="47">
        <v>30.0</v>
      </c>
      <c r="K38" s="47" t="s">
        <v>41</v>
      </c>
      <c r="L38" s="230">
        <v>14700.0</v>
      </c>
      <c r="M38" s="230">
        <f>15581.28</f>
        <v>15581.28</v>
      </c>
      <c r="N38" s="51">
        <f t="shared" si="4"/>
        <v>881.28</v>
      </c>
    </row>
    <row r="39" ht="15.75" customHeight="1">
      <c r="D39" s="47">
        <v>31.0</v>
      </c>
      <c r="E39" s="47" t="s">
        <v>44</v>
      </c>
      <c r="F39" s="230">
        <v>20500.0</v>
      </c>
      <c r="G39" s="230">
        <f>22517.6</f>
        <v>22517.6</v>
      </c>
      <c r="H39" s="51">
        <f t="shared" si="2"/>
        <v>2017.6</v>
      </c>
      <c r="J39" s="47">
        <v>31.0</v>
      </c>
      <c r="K39" s="47" t="s">
        <v>44</v>
      </c>
      <c r="L39" s="230">
        <v>22000.0</v>
      </c>
      <c r="M39" s="230">
        <f>23027.55</f>
        <v>23027.55</v>
      </c>
      <c r="N39" s="51">
        <f t="shared" si="4"/>
        <v>1027.55</v>
      </c>
    </row>
    <row r="40" ht="15.75" customHeight="1">
      <c r="D40" s="8"/>
      <c r="E40" s="8"/>
      <c r="F40" s="107">
        <f>SUM(F9:F39)</f>
        <v>365000</v>
      </c>
      <c r="G40" s="107">
        <f>SUM(G9:G39)-47.75-26.12</f>
        <v>376069.12</v>
      </c>
      <c r="H40" s="105">
        <f>SUM(H9:H39)</f>
        <v>11142.99</v>
      </c>
      <c r="J40" s="8"/>
      <c r="K40" s="8"/>
      <c r="L40" s="107">
        <f>SUM(L9:L39)</f>
        <v>350000</v>
      </c>
      <c r="M40" s="107">
        <f>SUM(M9:M39)-8+242.02+81.01+81.01</f>
        <v>343093.93</v>
      </c>
      <c r="N40" s="105">
        <f>SUM(N9:N39)</f>
        <v>-7302.11</v>
      </c>
      <c r="Q40" s="61"/>
      <c r="T40" s="61">
        <f>T34</f>
        <v>376069.12</v>
      </c>
      <c r="U40" s="61">
        <f>T40*0.008</f>
        <v>3008.55296</v>
      </c>
      <c r="V40" s="61"/>
      <c r="W40" s="61"/>
    </row>
    <row r="41" ht="15.75" customHeight="1">
      <c r="E41" s="61"/>
      <c r="G41" s="114">
        <f>G40/E44</f>
        <v>1.030326356</v>
      </c>
      <c r="H41" s="1"/>
      <c r="K41" s="61"/>
      <c r="M41" s="114">
        <f>M40/K44</f>
        <v>0.9802683714</v>
      </c>
      <c r="N41" s="1"/>
    </row>
    <row r="42" ht="15.75" customHeight="1">
      <c r="D42" s="2"/>
      <c r="E42" s="75"/>
      <c r="F42" s="2"/>
      <c r="G42" s="2"/>
      <c r="J42" s="2"/>
      <c r="K42" s="75"/>
      <c r="L42" s="2"/>
      <c r="M42" s="2"/>
    </row>
    <row r="43" ht="15.75" customHeight="1">
      <c r="D43" s="2"/>
      <c r="E43" s="2"/>
      <c r="F43" s="115" t="s">
        <v>77</v>
      </c>
      <c r="G43" s="118">
        <f>F40+H40</f>
        <v>376142.99</v>
      </c>
      <c r="L43" s="115" t="s">
        <v>77</v>
      </c>
      <c r="M43" s="118">
        <f>L40+N40</f>
        <v>342697.89</v>
      </c>
    </row>
    <row r="44" ht="15.75" customHeight="1">
      <c r="D44" s="122" t="s">
        <v>29</v>
      </c>
      <c r="E44" s="124">
        <v>365000.0</v>
      </c>
      <c r="F44" s="2"/>
      <c r="G44" s="2"/>
      <c r="J44" s="126" t="s">
        <v>29</v>
      </c>
      <c r="K44" s="124">
        <v>350000.0</v>
      </c>
      <c r="L44" s="2"/>
      <c r="M44" s="2"/>
    </row>
    <row r="45" ht="15.75" customHeight="1"/>
    <row r="46" ht="15.75" customHeight="1"/>
    <row r="47" ht="15.75" customHeight="1">
      <c r="J47" s="61"/>
    </row>
    <row r="48" ht="15.75" customHeight="1">
      <c r="J48" s="12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4:H6"/>
    <mergeCell ref="J4:N6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3.0"/>
    <col customWidth="1" min="3" max="3" width="11.11"/>
    <col customWidth="1" min="4" max="4" width="19.33"/>
    <col customWidth="1" min="5" max="5" width="19.0"/>
    <col customWidth="1" min="6" max="6" width="23.33"/>
    <col customWidth="1" min="7" max="7" width="16.33"/>
    <col customWidth="1" min="8" max="8" width="14.11"/>
    <col customWidth="1" min="9" max="9" width="15.33"/>
    <col customWidth="1" min="10" max="10" width="19.11"/>
    <col customWidth="1" min="11" max="11" width="17.67"/>
    <col customWidth="1" min="12" max="12" width="21.44"/>
    <col customWidth="1" min="13" max="13" width="16.33"/>
    <col customWidth="1" min="14" max="14" width="11.0"/>
    <col customWidth="1" min="15" max="16" width="10.56"/>
    <col customWidth="1" min="17" max="17" width="14.11"/>
    <col customWidth="1" min="18" max="18" width="15.78"/>
    <col customWidth="1" min="19" max="19" width="15.44"/>
    <col customWidth="1" min="20" max="20" width="16.0"/>
    <col customWidth="1" min="21" max="21" width="15.44"/>
    <col customWidth="1" min="22" max="22" width="11.11"/>
    <col customWidth="1" min="23" max="23" width="10.56"/>
    <col customWidth="1" min="24" max="25" width="13.0"/>
    <col customWidth="1" min="26" max="26" width="13.78"/>
    <col customWidth="1" min="27" max="28" width="13.0"/>
    <col customWidth="1" min="29" max="29" width="14.11"/>
    <col customWidth="1" min="30" max="30" width="13.44"/>
    <col customWidth="1" min="31" max="31" width="13.0"/>
  </cols>
  <sheetData>
    <row r="1" ht="15.75" customHeight="1">
      <c r="B1" s="61"/>
    </row>
    <row r="2" ht="15.75" customHeight="1">
      <c r="B2" s="61"/>
    </row>
    <row r="3" ht="15.75" customHeight="1">
      <c r="B3" s="61"/>
      <c r="E3" s="2"/>
      <c r="F3" s="2"/>
      <c r="I3" s="2"/>
      <c r="J3" s="2"/>
      <c r="K3" s="2"/>
      <c r="L3" s="2"/>
    </row>
    <row r="4" ht="15.75" customHeight="1">
      <c r="B4" s="61"/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B5" s="61"/>
      <c r="C5" s="31"/>
      <c r="G5" s="32"/>
      <c r="I5" s="31"/>
      <c r="M5" s="32"/>
      <c r="Q5" s="46" t="s">
        <v>207</v>
      </c>
      <c r="R5" s="6"/>
      <c r="T5" s="46" t="s">
        <v>208</v>
      </c>
      <c r="U5" s="6"/>
      <c r="Z5" s="46" t="s">
        <v>207</v>
      </c>
      <c r="AA5" s="6"/>
      <c r="AC5" s="46" t="s">
        <v>208</v>
      </c>
      <c r="AD5" s="6"/>
    </row>
    <row r="6" ht="15.75" customHeight="1">
      <c r="B6" s="61"/>
      <c r="C6" s="34"/>
      <c r="D6" s="35"/>
      <c r="E6" s="35"/>
      <c r="F6" s="35"/>
      <c r="G6" s="36"/>
      <c r="I6" s="34"/>
      <c r="J6" s="35"/>
      <c r="K6" s="35"/>
      <c r="L6" s="35"/>
      <c r="M6" s="36"/>
      <c r="Q6" s="261">
        <v>45505.0</v>
      </c>
      <c r="R6" s="261">
        <v>45536.0</v>
      </c>
      <c r="T6" s="261">
        <v>45505.0</v>
      </c>
      <c r="U6" s="261">
        <v>45536.0</v>
      </c>
      <c r="Z6" s="261">
        <v>45505.0</v>
      </c>
      <c r="AA6" s="261">
        <v>45536.0</v>
      </c>
      <c r="AC6" s="261">
        <v>45505.0</v>
      </c>
      <c r="AD6" s="261">
        <v>45536.0</v>
      </c>
    </row>
    <row r="7" ht="15.75" customHeight="1">
      <c r="B7" s="61"/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P7" s="58" t="s">
        <v>45</v>
      </c>
      <c r="Q7" s="229">
        <v>5923.387500000001</v>
      </c>
      <c r="R7" s="229">
        <v>4521.622</v>
      </c>
      <c r="T7" s="229">
        <v>3389.2725</v>
      </c>
      <c r="U7" s="229">
        <v>3329.052</v>
      </c>
      <c r="Y7" s="58" t="s">
        <v>45</v>
      </c>
      <c r="Z7" s="229">
        <v>5923.387500000001</v>
      </c>
      <c r="AA7" s="229">
        <v>4521.622</v>
      </c>
      <c r="AC7" s="229">
        <v>3389.2725</v>
      </c>
      <c r="AD7" s="229">
        <v>3329.052</v>
      </c>
    </row>
    <row r="8" ht="15.75" customHeight="1">
      <c r="A8" s="175">
        <v>45870.0</v>
      </c>
      <c r="B8" s="61" t="s">
        <v>209</v>
      </c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Q8" s="229">
        <v>5217.297500000001</v>
      </c>
      <c r="R8" s="229">
        <v>5676.575</v>
      </c>
      <c r="T8" s="229">
        <v>4368.817499999999</v>
      </c>
      <c r="U8" s="229">
        <v>3416.5700000000006</v>
      </c>
      <c r="Z8" s="229">
        <v>5217.297500000001</v>
      </c>
      <c r="AA8" s="229">
        <v>5676.575</v>
      </c>
      <c r="AC8" s="229">
        <v>4368.817499999999</v>
      </c>
      <c r="AD8" s="229">
        <v>3416.5700000000006</v>
      </c>
    </row>
    <row r="9" ht="15.75" customHeight="1">
      <c r="A9" s="61">
        <v>5323.65</v>
      </c>
      <c r="B9" s="61">
        <f t="shared" ref="B9:B10" si="1">AVERAGE(F9,F16,F23,F30,F37)</f>
        <v>3791.57</v>
      </c>
      <c r="C9" s="47">
        <v>1.0</v>
      </c>
      <c r="D9" s="47" t="s">
        <v>45</v>
      </c>
      <c r="E9" s="61">
        <v>5500.0</v>
      </c>
      <c r="F9" s="61">
        <f>5237.5</f>
        <v>5237.5</v>
      </c>
      <c r="G9" s="51">
        <f t="shared" ref="G9:G38" si="2">F9-E9</f>
        <v>-262.5</v>
      </c>
      <c r="H9" s="61">
        <f t="shared" ref="H9:H10" si="3">AVERAGE(L9,L16,L23,L30,L37)</f>
        <v>4659.828</v>
      </c>
      <c r="I9" s="47">
        <v>1.0</v>
      </c>
      <c r="J9" s="47" t="s">
        <v>45</v>
      </c>
      <c r="K9" s="61">
        <v>4500.0</v>
      </c>
      <c r="L9" s="61">
        <f>3766.21+2556.35+182.01-162.97</f>
        <v>6341.6</v>
      </c>
      <c r="M9" s="51">
        <f t="shared" ref="M9:M38" si="4">L9-K9</f>
        <v>1841.6</v>
      </c>
      <c r="Q9" s="229">
        <v>4712.1625</v>
      </c>
      <c r="R9" s="229">
        <v>6934.362499999999</v>
      </c>
      <c r="T9" s="229">
        <v>4588.5925</v>
      </c>
      <c r="U9" s="229">
        <v>5175.125</v>
      </c>
      <c r="Z9" s="229">
        <v>4712.1625</v>
      </c>
      <c r="AA9" s="229">
        <v>6934.362499999999</v>
      </c>
      <c r="AC9" s="229">
        <v>4588.5925</v>
      </c>
      <c r="AD9" s="229">
        <v>5175.125</v>
      </c>
    </row>
    <row r="10" ht="15.75" customHeight="1">
      <c r="A10" s="61">
        <v>8150.3325</v>
      </c>
      <c r="B10" s="61">
        <f t="shared" si="1"/>
        <v>5346.46</v>
      </c>
      <c r="C10" s="47">
        <v>2.0</v>
      </c>
      <c r="D10" s="47" t="s">
        <v>46</v>
      </c>
      <c r="E10" s="61">
        <v>8000.0</v>
      </c>
      <c r="F10" s="61">
        <f>6077.8</f>
        <v>6077.8</v>
      </c>
      <c r="G10" s="51">
        <f t="shared" si="2"/>
        <v>-1922.2</v>
      </c>
      <c r="H10" s="61">
        <f t="shared" si="3"/>
        <v>5320.356</v>
      </c>
      <c r="I10" s="47">
        <v>2.0</v>
      </c>
      <c r="J10" s="47" t="s">
        <v>46</v>
      </c>
      <c r="K10" s="61">
        <v>5500.0</v>
      </c>
      <c r="L10" s="61">
        <f>3343.08+2217.46-110</f>
        <v>5450.54</v>
      </c>
      <c r="M10" s="51">
        <f t="shared" si="4"/>
        <v>-49.46</v>
      </c>
      <c r="Q10" s="229">
        <v>7324.556</v>
      </c>
      <c r="R10" s="229">
        <v>7458.387500000001</v>
      </c>
      <c r="T10" s="229">
        <v>5034.896</v>
      </c>
      <c r="U10" s="229">
        <v>7111.18</v>
      </c>
      <c r="Z10" s="229">
        <v>7324.556</v>
      </c>
      <c r="AA10" s="229">
        <v>7458.387500000001</v>
      </c>
      <c r="AC10" s="229">
        <v>5034.896</v>
      </c>
      <c r="AD10" s="229">
        <v>7111.18</v>
      </c>
    </row>
    <row r="11" ht="15.75" customHeight="1">
      <c r="A11" s="61">
        <v>6078.475</v>
      </c>
      <c r="B11" s="61">
        <f t="shared" ref="B11:B15" si="5">AVERAGE(F11,F18,F25,F32)</f>
        <v>9829.02</v>
      </c>
      <c r="C11" s="47">
        <v>3.0</v>
      </c>
      <c r="D11" s="47" t="s">
        <v>40</v>
      </c>
      <c r="E11" s="61">
        <v>7000.0</v>
      </c>
      <c r="F11" s="61">
        <f>6224.45</f>
        <v>6224.45</v>
      </c>
      <c r="G11" s="51">
        <f t="shared" si="2"/>
        <v>-775.55</v>
      </c>
      <c r="H11" s="61">
        <f t="shared" ref="H11:H15" si="6">AVERAGE(L11,L18,L25,L32)</f>
        <v>5201.9825</v>
      </c>
      <c r="I11" s="47">
        <v>3.0</v>
      </c>
      <c r="J11" s="47" t="s">
        <v>40</v>
      </c>
      <c r="K11" s="61">
        <v>6500.0</v>
      </c>
      <c r="L11" s="61">
        <f>2069.74+3358.5-177.97</f>
        <v>5250.27</v>
      </c>
      <c r="M11" s="51">
        <f t="shared" si="4"/>
        <v>-1249.73</v>
      </c>
      <c r="Q11" s="229">
        <v>13353.779999999999</v>
      </c>
      <c r="R11" s="229">
        <v>11258.9</v>
      </c>
      <c r="T11" s="229">
        <v>9889.944</v>
      </c>
      <c r="U11" s="229">
        <v>9871.1025</v>
      </c>
      <c r="Z11" s="229">
        <v>13353.779999999999</v>
      </c>
      <c r="AA11" s="229">
        <v>11258.9</v>
      </c>
      <c r="AC11" s="229">
        <v>9889.944</v>
      </c>
      <c r="AD11" s="229">
        <v>9871.1025</v>
      </c>
    </row>
    <row r="12" ht="15.75" customHeight="1">
      <c r="A12" s="61">
        <v>7703.532499999999</v>
      </c>
      <c r="B12" s="61">
        <f t="shared" si="5"/>
        <v>7625.2075</v>
      </c>
      <c r="C12" s="47">
        <v>4.0</v>
      </c>
      <c r="D12" s="47" t="s">
        <v>47</v>
      </c>
      <c r="E12" s="61">
        <v>8000.0</v>
      </c>
      <c r="F12" s="61">
        <f>353.75+9586.5</f>
        <v>9940.25</v>
      </c>
      <c r="G12" s="51">
        <f t="shared" si="2"/>
        <v>1940.25</v>
      </c>
      <c r="H12" s="61">
        <f t="shared" si="6"/>
        <v>7241.07</v>
      </c>
      <c r="I12" s="47">
        <v>4.0</v>
      </c>
      <c r="J12" s="47" t="s">
        <v>47</v>
      </c>
      <c r="K12" s="61">
        <v>6500.0</v>
      </c>
      <c r="L12" s="61">
        <f>7552.03+4785.11-389.69</f>
        <v>11947.45</v>
      </c>
      <c r="M12" s="51">
        <f t="shared" si="4"/>
        <v>5447.45</v>
      </c>
      <c r="Q12" s="229">
        <v>15854.13</v>
      </c>
      <c r="R12" s="229">
        <v>18225.075</v>
      </c>
      <c r="T12" s="229">
        <v>15058.432</v>
      </c>
      <c r="U12" s="229">
        <v>12109.160000000002</v>
      </c>
      <c r="Z12" s="229">
        <v>15854.13</v>
      </c>
      <c r="AA12" s="229">
        <v>18225.075</v>
      </c>
      <c r="AC12" s="229">
        <v>15058.432</v>
      </c>
      <c r="AD12" s="229">
        <v>12109.160000000002</v>
      </c>
    </row>
    <row r="13" ht="15.75" customHeight="1">
      <c r="A13" s="61">
        <v>13200.011999999999</v>
      </c>
      <c r="B13" s="61">
        <f t="shared" si="5"/>
        <v>13075.0525</v>
      </c>
      <c r="C13" s="47">
        <v>5.0</v>
      </c>
      <c r="D13" s="47" t="s">
        <v>205</v>
      </c>
      <c r="E13" s="61">
        <v>14000.0</v>
      </c>
      <c r="F13" s="61">
        <f>17353.45-329</f>
        <v>17024.45</v>
      </c>
      <c r="G13" s="51">
        <f t="shared" si="2"/>
        <v>3024.45</v>
      </c>
      <c r="H13" s="61">
        <f t="shared" si="6"/>
        <v>11697.55</v>
      </c>
      <c r="I13" s="47">
        <v>5.0</v>
      </c>
      <c r="J13" s="47" t="s">
        <v>205</v>
      </c>
      <c r="K13" s="61">
        <v>14500.0</v>
      </c>
      <c r="L13" s="61">
        <f>8878.18+5939.03-778.7</f>
        <v>14038.51</v>
      </c>
      <c r="M13" s="51">
        <f t="shared" si="4"/>
        <v>-461.49</v>
      </c>
      <c r="Q13" s="229">
        <v>21108.3425</v>
      </c>
      <c r="R13" s="229">
        <v>17940.21</v>
      </c>
      <c r="T13" s="229">
        <v>21270.6625</v>
      </c>
      <c r="U13" s="229">
        <v>20740.381999999998</v>
      </c>
      <c r="Z13" s="229">
        <v>21108.3425</v>
      </c>
      <c r="AA13" s="229">
        <v>17940.21</v>
      </c>
      <c r="AC13" s="229">
        <v>21270.6625</v>
      </c>
      <c r="AD13" s="229">
        <v>20740.381999999998</v>
      </c>
    </row>
    <row r="14" ht="15.75" customHeight="1">
      <c r="A14" s="61">
        <v>18032.356</v>
      </c>
      <c r="B14" s="61">
        <f t="shared" si="5"/>
        <v>19634.52</v>
      </c>
      <c r="C14" s="47">
        <v>6.0</v>
      </c>
      <c r="D14" s="47" t="s">
        <v>41</v>
      </c>
      <c r="E14" s="61">
        <v>20000.0</v>
      </c>
      <c r="F14" s="61">
        <f>19588.51</f>
        <v>19588.51</v>
      </c>
      <c r="G14" s="51">
        <f t="shared" si="2"/>
        <v>-411.49</v>
      </c>
      <c r="H14" s="61">
        <f t="shared" si="6"/>
        <v>14468.5475</v>
      </c>
      <c r="I14" s="47">
        <v>6.0</v>
      </c>
      <c r="J14" s="47" t="s">
        <v>41</v>
      </c>
      <c r="K14" s="61">
        <v>17000.0</v>
      </c>
      <c r="L14" s="61">
        <f>7297.09+49.99+5501.93-917.78</f>
        <v>11931.23</v>
      </c>
      <c r="M14" s="51">
        <f t="shared" si="4"/>
        <v>-5068.77</v>
      </c>
      <c r="Q14" s="167">
        <f t="shared" ref="Q14:R14" si="7">SUM(Q7:Q13)</f>
        <v>73493.656</v>
      </c>
      <c r="R14" s="167">
        <f t="shared" si="7"/>
        <v>72015.132</v>
      </c>
      <c r="S14" s="66">
        <f>R14/Q14-1</f>
        <v>-0.02011770921</v>
      </c>
      <c r="T14" s="167">
        <f t="shared" ref="T14:U14" si="8">SUM(T7:T13)</f>
        <v>63600.617</v>
      </c>
      <c r="U14" s="167">
        <f t="shared" si="8"/>
        <v>61752.5715</v>
      </c>
      <c r="V14" s="66">
        <f>U14/T14-1</f>
        <v>-0.02905703729</v>
      </c>
      <c r="Z14" s="167">
        <f t="shared" ref="Z14:AA14" si="9">SUM(Z7:Z13)</f>
        <v>73493.656</v>
      </c>
      <c r="AA14" s="167">
        <f t="shared" si="9"/>
        <v>72015.132</v>
      </c>
      <c r="AB14" s="66">
        <f>AA14/Z14-1</f>
        <v>-0.02011770921</v>
      </c>
      <c r="AC14" s="167">
        <f t="shared" ref="AC14:AD14" si="10">SUM(AC7:AC13)</f>
        <v>63600.617</v>
      </c>
      <c r="AD14" s="167">
        <f t="shared" si="10"/>
        <v>61752.5715</v>
      </c>
      <c r="AE14" s="66">
        <f>AD14/AC14-1</f>
        <v>-0.02905703729</v>
      </c>
    </row>
    <row r="15" ht="15.75" customHeight="1">
      <c r="A15" s="61">
        <v>22191.438000000002</v>
      </c>
      <c r="B15" s="61">
        <f t="shared" si="5"/>
        <v>17751.7625</v>
      </c>
      <c r="C15" s="47">
        <v>7.0</v>
      </c>
      <c r="D15" s="47" t="s">
        <v>44</v>
      </c>
      <c r="E15" s="61">
        <v>23000.0</v>
      </c>
      <c r="F15" s="61">
        <f>18982.25+165.25</f>
        <v>19147.5</v>
      </c>
      <c r="G15" s="51">
        <f t="shared" si="2"/>
        <v>-3852.5</v>
      </c>
      <c r="H15" s="61">
        <f t="shared" si="6"/>
        <v>21070.3525</v>
      </c>
      <c r="I15" s="47">
        <v>7.0</v>
      </c>
      <c r="J15" s="47" t="s">
        <v>44</v>
      </c>
      <c r="K15" s="61">
        <v>23000.0</v>
      </c>
      <c r="L15" s="61">
        <f>6849.65+13472.23-1289.05</f>
        <v>19032.83</v>
      </c>
      <c r="M15" s="51">
        <f t="shared" si="4"/>
        <v>-3967.17</v>
      </c>
    </row>
    <row r="16" ht="15.75" customHeight="1">
      <c r="A16" s="167">
        <f>SUM(A9:A15)</f>
        <v>80679.796</v>
      </c>
      <c r="B16" s="61"/>
      <c r="C16" s="47">
        <v>8.0</v>
      </c>
      <c r="D16" s="47" t="s">
        <v>45</v>
      </c>
      <c r="E16" s="61">
        <v>5500.0</v>
      </c>
      <c r="F16" s="61">
        <f>4169.35</f>
        <v>4169.35</v>
      </c>
      <c r="G16" s="51">
        <f t="shared" si="2"/>
        <v>-1330.65</v>
      </c>
      <c r="I16" s="47">
        <v>8.0</v>
      </c>
      <c r="J16" s="47" t="s">
        <v>45</v>
      </c>
      <c r="K16" s="61">
        <v>4500.0</v>
      </c>
      <c r="L16" s="61">
        <f>2405.13+1390.03-132.97</f>
        <v>3662.19</v>
      </c>
      <c r="M16" s="51">
        <f t="shared" si="4"/>
        <v>-837.81</v>
      </c>
      <c r="Z16" s="46" t="s">
        <v>207</v>
      </c>
      <c r="AA16" s="6"/>
      <c r="AC16" s="46" t="s">
        <v>208</v>
      </c>
      <c r="AD16" s="6"/>
    </row>
    <row r="17" ht="15.75" customHeight="1">
      <c r="B17" s="61"/>
      <c r="C17" s="47">
        <v>9.0</v>
      </c>
      <c r="D17" s="47" t="s">
        <v>46</v>
      </c>
      <c r="E17" s="61">
        <v>8000.0</v>
      </c>
      <c r="F17" s="61">
        <f>7589.05</f>
        <v>7589.05</v>
      </c>
      <c r="G17" s="51">
        <f t="shared" si="2"/>
        <v>-410.95</v>
      </c>
      <c r="I17" s="47">
        <v>9.0</v>
      </c>
      <c r="J17" s="47" t="s">
        <v>46</v>
      </c>
      <c r="K17" s="61">
        <v>5500.0</v>
      </c>
      <c r="L17" s="61">
        <f>73.97+4087.61+1829.39-238.72</f>
        <v>5752.25</v>
      </c>
      <c r="M17" s="51">
        <f t="shared" si="4"/>
        <v>252.25</v>
      </c>
      <c r="R17" s="70"/>
      <c r="S17" s="71" t="s">
        <v>52</v>
      </c>
      <c r="T17" s="72"/>
      <c r="U17" s="73" t="s">
        <v>53</v>
      </c>
      <c r="Z17" s="261">
        <v>45505.0</v>
      </c>
      <c r="AA17" s="261">
        <v>45536.0</v>
      </c>
      <c r="AC17" s="261">
        <v>45505.0</v>
      </c>
      <c r="AD17" s="261">
        <v>45536.0</v>
      </c>
    </row>
    <row r="18" ht="15.75" customHeight="1">
      <c r="A18" s="175">
        <v>45870.0</v>
      </c>
      <c r="B18" s="61"/>
      <c r="C18" s="47">
        <v>10.0</v>
      </c>
      <c r="D18" s="47" t="s">
        <v>40</v>
      </c>
      <c r="E18" s="61">
        <v>7000.0</v>
      </c>
      <c r="F18" s="61">
        <f>8475.8</f>
        <v>8475.8</v>
      </c>
      <c r="G18" s="51">
        <f t="shared" si="2"/>
        <v>1475.8</v>
      </c>
      <c r="I18" s="47">
        <v>10.0</v>
      </c>
      <c r="J18" s="47" t="s">
        <v>40</v>
      </c>
      <c r="K18" s="61">
        <v>6500.0</v>
      </c>
      <c r="L18" s="61">
        <f>1948.64+2490.69-244.8</f>
        <v>4194.53</v>
      </c>
      <c r="M18" s="51">
        <f t="shared" si="4"/>
        <v>-2305.47</v>
      </c>
      <c r="R18" s="74" t="s">
        <v>29</v>
      </c>
      <c r="S18" s="75">
        <v>355000.0</v>
      </c>
      <c r="T18" s="2" t="s">
        <v>29</v>
      </c>
      <c r="U18" s="76">
        <v>320000.0</v>
      </c>
      <c r="Y18" s="58" t="s">
        <v>45</v>
      </c>
      <c r="Z18" s="229">
        <v>5923.387500000001</v>
      </c>
      <c r="AA18" s="229">
        <v>4521.622</v>
      </c>
      <c r="AC18" s="229">
        <v>3389.2725</v>
      </c>
      <c r="AD18" s="229">
        <v>3329.052</v>
      </c>
    </row>
    <row r="19" ht="15.75" customHeight="1">
      <c r="A19" s="61">
        <v>3843.7325</v>
      </c>
      <c r="B19" s="61"/>
      <c r="C19" s="47">
        <v>11.0</v>
      </c>
      <c r="D19" s="47" t="s">
        <v>47</v>
      </c>
      <c r="E19" s="61">
        <v>8000.0</v>
      </c>
      <c r="F19" s="61">
        <v>9203.95</v>
      </c>
      <c r="G19" s="51">
        <f t="shared" si="2"/>
        <v>1203.95</v>
      </c>
      <c r="I19" s="47">
        <v>11.0</v>
      </c>
      <c r="J19" s="47" t="s">
        <v>47</v>
      </c>
      <c r="K19" s="61">
        <v>6500.0</v>
      </c>
      <c r="L19" s="61">
        <v>5450.75</v>
      </c>
      <c r="M19" s="51">
        <f t="shared" si="4"/>
        <v>-1049.25</v>
      </c>
      <c r="R19" s="74"/>
      <c r="S19" s="2"/>
      <c r="T19" s="2"/>
      <c r="U19" s="77"/>
      <c r="Z19" s="229">
        <v>5217.297500000001</v>
      </c>
      <c r="AA19" s="229">
        <v>5676.575</v>
      </c>
      <c r="AC19" s="229">
        <v>4368.817499999999</v>
      </c>
      <c r="AD19" s="229">
        <v>3416.5700000000006</v>
      </c>
    </row>
    <row r="20" ht="15.75" customHeight="1">
      <c r="A20" s="61">
        <v>4637.2225</v>
      </c>
      <c r="B20" s="61"/>
      <c r="C20" s="47">
        <v>12.0</v>
      </c>
      <c r="D20" s="47" t="s">
        <v>48</v>
      </c>
      <c r="E20" s="61">
        <v>14000.0</v>
      </c>
      <c r="F20" s="61">
        <f>10341.58-203</f>
        <v>10138.58</v>
      </c>
      <c r="G20" s="51">
        <f t="shared" si="2"/>
        <v>-3861.42</v>
      </c>
      <c r="I20" s="47">
        <v>12.0</v>
      </c>
      <c r="J20" s="47" t="s">
        <v>48</v>
      </c>
      <c r="K20" s="61">
        <v>14500.0</v>
      </c>
      <c r="L20" s="61">
        <v>9161.43</v>
      </c>
      <c r="M20" s="51">
        <f t="shared" si="4"/>
        <v>-5338.57</v>
      </c>
      <c r="R20" s="74" t="s">
        <v>58</v>
      </c>
      <c r="S20" s="75">
        <f>SUM(F9:F15)</f>
        <v>83240.46</v>
      </c>
      <c r="T20" s="58" t="s">
        <v>58</v>
      </c>
      <c r="U20" s="76">
        <f>SUM(L9:L15)</f>
        <v>73992.43</v>
      </c>
      <c r="Z20" s="229">
        <v>4712.1625</v>
      </c>
      <c r="AA20" s="229">
        <v>6934.362499999999</v>
      </c>
      <c r="AC20" s="229">
        <v>4588.5925</v>
      </c>
      <c r="AD20" s="229">
        <v>5175.125</v>
      </c>
    </row>
    <row r="21" ht="15.75" customHeight="1">
      <c r="A21" s="61">
        <v>5855.96</v>
      </c>
      <c r="B21" s="61"/>
      <c r="C21" s="47">
        <v>13.0</v>
      </c>
      <c r="D21" s="47" t="s">
        <v>41</v>
      </c>
      <c r="E21" s="61">
        <v>20000.0</v>
      </c>
      <c r="F21" s="61">
        <v>17461.55</v>
      </c>
      <c r="G21" s="51">
        <f t="shared" si="2"/>
        <v>-2538.45</v>
      </c>
      <c r="I21" s="47">
        <v>13.0</v>
      </c>
      <c r="J21" s="47" t="s">
        <v>41</v>
      </c>
      <c r="K21" s="61">
        <v>17000.0</v>
      </c>
      <c r="L21" s="61">
        <v>14505.09</v>
      </c>
      <c r="M21" s="51">
        <f t="shared" si="4"/>
        <v>-2494.91</v>
      </c>
      <c r="R21" s="74"/>
      <c r="S21" s="79">
        <f>S20/S18</f>
        <v>0.234480169</v>
      </c>
      <c r="U21" s="80">
        <f>U20/U18</f>
        <v>0.2312263438</v>
      </c>
      <c r="V21" s="66"/>
      <c r="Z21" s="229">
        <v>7324.556</v>
      </c>
      <c r="AA21" s="229">
        <v>7458.387500000001</v>
      </c>
      <c r="AC21" s="229">
        <v>5034.896</v>
      </c>
      <c r="AD21" s="229">
        <v>7111.18</v>
      </c>
    </row>
    <row r="22" ht="15.75" customHeight="1">
      <c r="A22" s="61">
        <v>5742.765000000001</v>
      </c>
      <c r="B22" s="61"/>
      <c r="C22" s="47">
        <v>14.0</v>
      </c>
      <c r="D22" s="47" t="s">
        <v>44</v>
      </c>
      <c r="E22" s="61">
        <v>23000.0</v>
      </c>
      <c r="F22" s="61">
        <v>19296.75</v>
      </c>
      <c r="G22" s="51">
        <f t="shared" si="2"/>
        <v>-3703.25</v>
      </c>
      <c r="I22" s="47">
        <v>14.0</v>
      </c>
      <c r="J22" s="47" t="s">
        <v>44</v>
      </c>
      <c r="K22" s="61">
        <v>23000.0</v>
      </c>
      <c r="L22" s="61">
        <v>19739.21</v>
      </c>
      <c r="M22" s="51">
        <f t="shared" si="4"/>
        <v>-3260.79</v>
      </c>
      <c r="R22" s="74"/>
      <c r="S22" s="81"/>
      <c r="U22" s="77"/>
      <c r="Z22" s="229">
        <v>13353.779999999999</v>
      </c>
      <c r="AA22" s="229">
        <v>11258.9</v>
      </c>
      <c r="AC22" s="229">
        <v>9889.944</v>
      </c>
      <c r="AD22" s="229">
        <v>9871.1025</v>
      </c>
    </row>
    <row r="23" ht="15.75" customHeight="1">
      <c r="A23" s="61">
        <v>13629.676000000001</v>
      </c>
      <c r="B23" s="61"/>
      <c r="C23" s="47">
        <v>15.0</v>
      </c>
      <c r="D23" s="47" t="s">
        <v>45</v>
      </c>
      <c r="E23" s="61">
        <v>5500.0</v>
      </c>
      <c r="F23" s="61">
        <v>3244.25</v>
      </c>
      <c r="G23" s="51">
        <f t="shared" si="2"/>
        <v>-2255.75</v>
      </c>
      <c r="I23" s="47">
        <v>15.0</v>
      </c>
      <c r="J23" s="47" t="s">
        <v>45</v>
      </c>
      <c r="K23" s="61">
        <v>4500.0</v>
      </c>
      <c r="L23" s="61">
        <v>4676.8</v>
      </c>
      <c r="M23" s="51">
        <f t="shared" si="4"/>
        <v>176.8</v>
      </c>
      <c r="R23" s="74" t="s">
        <v>62</v>
      </c>
      <c r="S23" s="75">
        <f>SUM(F16:F22)</f>
        <v>76335.03</v>
      </c>
      <c r="T23" s="58" t="s">
        <v>62</v>
      </c>
      <c r="U23" s="76">
        <f>SUM(L16:L22)</f>
        <v>62465.45</v>
      </c>
      <c r="Z23" s="229">
        <v>15854.13</v>
      </c>
      <c r="AA23" s="229">
        <v>18225.075</v>
      </c>
      <c r="AC23" s="229">
        <v>15058.432</v>
      </c>
      <c r="AD23" s="229">
        <v>12109.160000000002</v>
      </c>
    </row>
    <row r="24" ht="15.75" customHeight="1">
      <c r="A24" s="61">
        <v>15838.128000000002</v>
      </c>
      <c r="B24" s="61"/>
      <c r="C24" s="47">
        <v>16.0</v>
      </c>
      <c r="D24" s="47" t="s">
        <v>46</v>
      </c>
      <c r="E24" s="61">
        <v>8000.0</v>
      </c>
      <c r="F24" s="61">
        <f>3509.25</f>
        <v>3509.25</v>
      </c>
      <c r="G24" s="51">
        <f t="shared" si="2"/>
        <v>-4490.75</v>
      </c>
      <c r="I24" s="47">
        <v>16.0</v>
      </c>
      <c r="J24" s="47" t="s">
        <v>46</v>
      </c>
      <c r="K24" s="61">
        <v>5500.0</v>
      </c>
      <c r="L24" s="61">
        <f>3644.28+1750.65-259</f>
        <v>5135.93</v>
      </c>
      <c r="M24" s="51">
        <f t="shared" si="4"/>
        <v>-364.07</v>
      </c>
      <c r="R24" s="74"/>
      <c r="S24" s="79">
        <f>S23/S18</f>
        <v>0.2150282535</v>
      </c>
      <c r="U24" s="80">
        <f>U23/U18</f>
        <v>0.1952045313</v>
      </c>
      <c r="Z24" s="229">
        <v>21108.3425</v>
      </c>
      <c r="AA24" s="229">
        <v>17940.21</v>
      </c>
      <c r="AC24" s="229">
        <v>21270.6625</v>
      </c>
      <c r="AD24" s="229">
        <v>20740.381999999998</v>
      </c>
    </row>
    <row r="25" ht="15.75" customHeight="1">
      <c r="A25" s="61">
        <v>23008.03</v>
      </c>
      <c r="B25" s="61"/>
      <c r="C25" s="47">
        <v>17.0</v>
      </c>
      <c r="D25" s="47" t="s">
        <v>40</v>
      </c>
      <c r="E25" s="61">
        <v>7000.0</v>
      </c>
      <c r="F25" s="61">
        <f>14457.38</f>
        <v>14457.38</v>
      </c>
      <c r="G25" s="51">
        <f t="shared" si="2"/>
        <v>7457.38</v>
      </c>
      <c r="I25" s="47">
        <v>17.0</v>
      </c>
      <c r="J25" s="47" t="s">
        <v>40</v>
      </c>
      <c r="K25" s="61">
        <v>6500.0</v>
      </c>
      <c r="L25" s="61">
        <f>149.5+3114.23+2205.75-267.98-14</f>
        <v>5187.5</v>
      </c>
      <c r="M25" s="51">
        <f t="shared" si="4"/>
        <v>-1312.5</v>
      </c>
      <c r="R25" s="74"/>
      <c r="S25" s="81"/>
      <c r="U25" s="77"/>
      <c r="Z25" s="167">
        <f t="shared" ref="Z25:AA25" si="11">SUM(Z18:Z24)</f>
        <v>73493.656</v>
      </c>
      <c r="AA25" s="167">
        <f t="shared" si="11"/>
        <v>72015.132</v>
      </c>
      <c r="AB25" s="66">
        <f>AA25/Z25-1</f>
        <v>-0.02011770921</v>
      </c>
      <c r="AC25" s="167">
        <f t="shared" ref="AC25:AD25" si="12">SUM(AC18:AC24)</f>
        <v>63600.617</v>
      </c>
      <c r="AD25" s="167">
        <f t="shared" si="12"/>
        <v>61752.5715</v>
      </c>
      <c r="AE25" s="66">
        <f>AD25/AC25-1</f>
        <v>-0.02905703729</v>
      </c>
    </row>
    <row r="26" ht="19.5" customHeight="1">
      <c r="A26" s="167">
        <f>SUM(A19:A25)</f>
        <v>72555.514</v>
      </c>
      <c r="B26" s="61"/>
      <c r="C26" s="47">
        <v>18.0</v>
      </c>
      <c r="D26" s="47" t="s">
        <v>47</v>
      </c>
      <c r="E26" s="61">
        <v>8000.0</v>
      </c>
      <c r="F26" s="61">
        <f>6282.88</f>
        <v>6282.88</v>
      </c>
      <c r="G26" s="51">
        <f t="shared" si="2"/>
        <v>-1717.12</v>
      </c>
      <c r="I26" s="47">
        <v>18.0</v>
      </c>
      <c r="J26" s="47" t="s">
        <v>47</v>
      </c>
      <c r="K26" s="61">
        <v>6500.0</v>
      </c>
      <c r="L26" s="266">
        <f>3506.64+1196.6+1183.74-298.97</f>
        <v>5588.01</v>
      </c>
      <c r="M26" s="51">
        <f t="shared" si="4"/>
        <v>-911.99</v>
      </c>
      <c r="R26" s="74" t="s">
        <v>63</v>
      </c>
      <c r="S26" s="75">
        <f>SUM(F23:F29)</f>
        <v>76071.05</v>
      </c>
      <c r="T26" s="58" t="s">
        <v>63</v>
      </c>
      <c r="U26" s="76">
        <f>SUM(L23:L29)</f>
        <v>70835.93</v>
      </c>
    </row>
    <row r="27" ht="15.75" customHeight="1">
      <c r="B27" s="61"/>
      <c r="C27" s="47">
        <v>19.0</v>
      </c>
      <c r="D27" s="47" t="s">
        <v>205</v>
      </c>
      <c r="E27" s="61">
        <v>14000.0</v>
      </c>
      <c r="F27" s="61">
        <f>148.25+11670.63-294</f>
        <v>11524.88</v>
      </c>
      <c r="G27" s="51">
        <f t="shared" si="2"/>
        <v>-2475.12</v>
      </c>
      <c r="I27" s="47">
        <v>19.0</v>
      </c>
      <c r="J27" s="47" t="s">
        <v>205</v>
      </c>
      <c r="K27" s="61">
        <v>14500.0</v>
      </c>
      <c r="L27" s="61">
        <f>7090.51+5393.6-872.15</f>
        <v>11611.96</v>
      </c>
      <c r="M27" s="51">
        <f t="shared" si="4"/>
        <v>-2888.04</v>
      </c>
      <c r="R27" s="74"/>
      <c r="S27" s="79">
        <f>S26/S18</f>
        <v>0.2142846479</v>
      </c>
      <c r="U27" s="80">
        <f>U26/U18</f>
        <v>0.2213622813</v>
      </c>
    </row>
    <row r="28" ht="15.75" customHeight="1">
      <c r="B28" s="61"/>
      <c r="C28" s="47">
        <v>20.0</v>
      </c>
      <c r="D28" s="47" t="s">
        <v>171</v>
      </c>
      <c r="E28" s="61">
        <v>20000.0</v>
      </c>
      <c r="F28" s="61">
        <f>1336.25+20729.26</f>
        <v>22065.51</v>
      </c>
      <c r="G28" s="51">
        <f t="shared" si="2"/>
        <v>2065.51</v>
      </c>
      <c r="I28" s="47">
        <v>20.0</v>
      </c>
      <c r="J28" s="47" t="s">
        <v>171</v>
      </c>
      <c r="K28" s="61">
        <v>17000.0</v>
      </c>
      <c r="L28" s="61">
        <f>9541.69+399+6297.87-1040.5</f>
        <v>15198.06</v>
      </c>
      <c r="M28" s="51">
        <f t="shared" si="4"/>
        <v>-1801.94</v>
      </c>
      <c r="R28" s="74"/>
      <c r="U28" s="82"/>
    </row>
    <row r="29" ht="15.75" customHeight="1">
      <c r="B29" s="61"/>
      <c r="C29" s="47">
        <v>21.0</v>
      </c>
      <c r="D29" s="47" t="s">
        <v>44</v>
      </c>
      <c r="E29" s="61">
        <v>23000.0</v>
      </c>
      <c r="F29" s="61">
        <f>14986.9</f>
        <v>14986.9</v>
      </c>
      <c r="G29" s="51">
        <f t="shared" si="2"/>
        <v>-8013.1</v>
      </c>
      <c r="I29" s="47">
        <v>21.0</v>
      </c>
      <c r="J29" s="47" t="s">
        <v>44</v>
      </c>
      <c r="K29" s="61">
        <v>23000.0</v>
      </c>
      <c r="L29" s="61">
        <f>16126.27+2748.75+6576.58-2013.93</f>
        <v>23437.67</v>
      </c>
      <c r="M29" s="51">
        <f t="shared" si="4"/>
        <v>437.67</v>
      </c>
      <c r="R29" s="74" t="s">
        <v>64</v>
      </c>
      <c r="S29" s="61">
        <f>SUM(F30:F36)</f>
        <v>75232.16</v>
      </c>
      <c r="T29" s="58" t="s">
        <v>64</v>
      </c>
      <c r="U29" s="83">
        <f>SUM(L30:L36)</f>
        <v>71241.77</v>
      </c>
    </row>
    <row r="30" ht="19.5" customHeight="1">
      <c r="B30" s="61"/>
      <c r="C30" s="47">
        <v>22.0</v>
      </c>
      <c r="D30" s="47" t="s">
        <v>45</v>
      </c>
      <c r="E30" s="61">
        <v>5500.0</v>
      </c>
      <c r="F30" s="61">
        <f>3755.75</f>
        <v>3755.75</v>
      </c>
      <c r="G30" s="51">
        <f t="shared" si="2"/>
        <v>-1744.25</v>
      </c>
      <c r="I30" s="47">
        <v>22.0</v>
      </c>
      <c r="J30" s="47" t="s">
        <v>45</v>
      </c>
      <c r="K30" s="61">
        <v>4500.0</v>
      </c>
      <c r="L30" s="61">
        <f>3749.15+720.11-175.99</f>
        <v>4293.27</v>
      </c>
      <c r="M30" s="51">
        <f t="shared" si="4"/>
        <v>-206.73</v>
      </c>
      <c r="R30" s="74"/>
      <c r="S30" s="79">
        <f>S29/S18</f>
        <v>0.2119215775</v>
      </c>
      <c r="U30" s="80">
        <f>U29/U18</f>
        <v>0.2226305313</v>
      </c>
    </row>
    <row r="31" ht="18.0" customHeight="1">
      <c r="B31" s="61"/>
      <c r="C31" s="47">
        <v>23.0</v>
      </c>
      <c r="D31" s="47" t="s">
        <v>46</v>
      </c>
      <c r="E31" s="61">
        <v>8000.0</v>
      </c>
      <c r="F31" s="61">
        <f>5633.5</f>
        <v>5633.5</v>
      </c>
      <c r="G31" s="51">
        <f t="shared" si="2"/>
        <v>-2366.5</v>
      </c>
      <c r="I31" s="47">
        <v>23.0</v>
      </c>
      <c r="J31" s="47" t="s">
        <v>46</v>
      </c>
      <c r="K31" s="61">
        <v>5500.0</v>
      </c>
      <c r="L31" s="61">
        <f>3988.75+392.48+306.73-182.97</f>
        <v>4504.99</v>
      </c>
      <c r="M31" s="51">
        <f t="shared" si="4"/>
        <v>-995.01</v>
      </c>
      <c r="R31" s="74" t="s">
        <v>65</v>
      </c>
      <c r="S31" s="61">
        <f>SUM(F37:F39)</f>
        <v>6473.7</v>
      </c>
      <c r="T31" s="58" t="s">
        <v>65</v>
      </c>
      <c r="U31" s="83">
        <f>SUM(L37:L39)</f>
        <v>10083.35</v>
      </c>
    </row>
    <row r="32" ht="15.75" customHeight="1">
      <c r="B32" s="61"/>
      <c r="C32" s="47">
        <v>24.0</v>
      </c>
      <c r="D32" s="47" t="s">
        <v>40</v>
      </c>
      <c r="E32" s="61">
        <v>7000.0</v>
      </c>
      <c r="F32" s="61">
        <f>10158.45</f>
        <v>10158.45</v>
      </c>
      <c r="G32" s="51">
        <f t="shared" si="2"/>
        <v>3158.45</v>
      </c>
      <c r="I32" s="47">
        <v>24.0</v>
      </c>
      <c r="J32" s="47" t="s">
        <v>40</v>
      </c>
      <c r="K32" s="61">
        <v>6500.0</v>
      </c>
      <c r="L32" s="61">
        <f>3661.89+2697.22-183.48</f>
        <v>6175.63</v>
      </c>
      <c r="M32" s="51">
        <f t="shared" si="4"/>
        <v>-324.37</v>
      </c>
      <c r="R32" s="84" t="s">
        <v>206</v>
      </c>
      <c r="S32" s="85">
        <f>S31/S18</f>
        <v>0.01823577465</v>
      </c>
      <c r="T32" s="84" t="s">
        <v>206</v>
      </c>
      <c r="U32" s="87">
        <f>U31/U18</f>
        <v>0.03151046875</v>
      </c>
    </row>
    <row r="33" ht="15.75" customHeight="1">
      <c r="B33" s="61"/>
      <c r="C33" s="47">
        <v>25.0</v>
      </c>
      <c r="D33" s="47" t="s">
        <v>47</v>
      </c>
      <c r="E33" s="61">
        <v>8000.0</v>
      </c>
      <c r="F33" s="61">
        <f>5073.75</f>
        <v>5073.75</v>
      </c>
      <c r="G33" s="51">
        <f t="shared" si="2"/>
        <v>-2926.25</v>
      </c>
      <c r="I33" s="47">
        <v>25.0</v>
      </c>
      <c r="J33" s="47" t="s">
        <v>47</v>
      </c>
      <c r="K33" s="61">
        <v>6500.0</v>
      </c>
      <c r="L33" s="61">
        <f>3345.63+1953.42+888-208.98</f>
        <v>5978.07</v>
      </c>
      <c r="M33" s="51">
        <f t="shared" si="4"/>
        <v>-521.93</v>
      </c>
    </row>
    <row r="34" ht="15.75" customHeight="1">
      <c r="B34" s="61"/>
      <c r="C34" s="47">
        <v>26.0</v>
      </c>
      <c r="D34" s="47" t="s">
        <v>205</v>
      </c>
      <c r="E34" s="61">
        <v>14000.0</v>
      </c>
      <c r="F34" s="61">
        <f>574.5+13359.8-322</f>
        <v>13612.3</v>
      </c>
      <c r="G34" s="51">
        <f t="shared" si="2"/>
        <v>-387.7</v>
      </c>
      <c r="I34" s="47">
        <v>26.0</v>
      </c>
      <c r="J34" s="47" t="s">
        <v>205</v>
      </c>
      <c r="K34" s="61">
        <v>14500.0</v>
      </c>
      <c r="L34" s="61">
        <f>6226.58+5835.02+742.54-825.84</f>
        <v>11978.3</v>
      </c>
      <c r="M34" s="51">
        <f t="shared" si="4"/>
        <v>-2521.7</v>
      </c>
      <c r="Q34" s="259" t="s">
        <v>72</v>
      </c>
      <c r="R34" s="93" t="s">
        <v>73</v>
      </c>
      <c r="S34" s="94">
        <f>F40</f>
        <v>317338.6</v>
      </c>
      <c r="T34" s="164" t="s">
        <v>74</v>
      </c>
      <c r="U34" s="96">
        <f>L40</f>
        <v>288742.87</v>
      </c>
      <c r="V34" s="259" t="s">
        <v>72</v>
      </c>
    </row>
    <row r="35" ht="19.5" customHeight="1">
      <c r="B35" s="61"/>
      <c r="C35" s="47">
        <v>27.0</v>
      </c>
      <c r="D35" s="47" t="s">
        <v>171</v>
      </c>
      <c r="E35" s="61">
        <v>20000.0</v>
      </c>
      <c r="F35" s="61">
        <f>19422.51</f>
        <v>19422.51</v>
      </c>
      <c r="G35" s="51">
        <f t="shared" si="2"/>
        <v>-577.49</v>
      </c>
      <c r="I35" s="47">
        <v>27.0</v>
      </c>
      <c r="J35" s="47" t="s">
        <v>171</v>
      </c>
      <c r="K35" s="61">
        <v>17000.0</v>
      </c>
      <c r="L35" s="61">
        <f>9877.46+663+6958.3-1258.95</f>
        <v>16239.81</v>
      </c>
      <c r="M35" s="51">
        <f t="shared" si="4"/>
        <v>-760.19</v>
      </c>
      <c r="Q35" s="260">
        <f>S35-T35</f>
        <v>-0.1060884507</v>
      </c>
      <c r="R35" s="98"/>
      <c r="S35" s="99">
        <f>S34/S18</f>
        <v>0.8939115493</v>
      </c>
      <c r="T35" s="181">
        <f>30/30</f>
        <v>1</v>
      </c>
      <c r="U35" s="100">
        <f>U34/U18</f>
        <v>0.9023214688</v>
      </c>
      <c r="V35" s="260">
        <f>U35-T35</f>
        <v>-0.09767853125</v>
      </c>
    </row>
    <row r="36" ht="15.75" customHeight="1">
      <c r="B36" s="61"/>
      <c r="C36" s="47">
        <v>28.0</v>
      </c>
      <c r="D36" s="47" t="s">
        <v>44</v>
      </c>
      <c r="E36" s="61">
        <v>23000.0</v>
      </c>
      <c r="F36" s="61">
        <f>148+17427.9</f>
        <v>17575.9</v>
      </c>
      <c r="G36" s="51">
        <f t="shared" si="2"/>
        <v>-5424.1</v>
      </c>
      <c r="I36" s="47">
        <v>28.0</v>
      </c>
      <c r="J36" s="47" t="s">
        <v>44</v>
      </c>
      <c r="K36" s="61">
        <v>23000.0</v>
      </c>
      <c r="L36" s="61">
        <f>14227.91+9393.76-1549.97</f>
        <v>22071.7</v>
      </c>
      <c r="M36" s="51">
        <f t="shared" si="4"/>
        <v>-928.3</v>
      </c>
      <c r="R36" s="98" t="s">
        <v>76</v>
      </c>
      <c r="S36" s="104">
        <f>S18-S34</f>
        <v>37661.4</v>
      </c>
      <c r="T36" s="99"/>
      <c r="U36" s="106">
        <f>U18-U34</f>
        <v>31257.13</v>
      </c>
    </row>
    <row r="37" ht="15.75" customHeight="1">
      <c r="B37" s="61"/>
      <c r="C37" s="47">
        <v>29.0</v>
      </c>
      <c r="D37" s="47" t="s">
        <v>45</v>
      </c>
      <c r="E37" s="61">
        <v>5500.0</v>
      </c>
      <c r="F37" s="61">
        <f>2551</f>
        <v>2551</v>
      </c>
      <c r="G37" s="51">
        <f t="shared" si="2"/>
        <v>-2949</v>
      </c>
      <c r="I37" s="47">
        <v>29.0</v>
      </c>
      <c r="J37" s="47" t="s">
        <v>45</v>
      </c>
      <c r="K37" s="61">
        <v>4500.0</v>
      </c>
      <c r="L37" s="61">
        <f>2934.24+1474-82.96</f>
        <v>4325.28</v>
      </c>
      <c r="M37" s="51">
        <f t="shared" si="4"/>
        <v>-174.72</v>
      </c>
      <c r="R37" s="110"/>
      <c r="S37" s="112">
        <f>S36/S18</f>
        <v>0.1060884507</v>
      </c>
      <c r="T37" s="112"/>
      <c r="U37" s="113">
        <f>U36/U18</f>
        <v>0.09767853125</v>
      </c>
    </row>
    <row r="38" ht="15.75" customHeight="1">
      <c r="B38" s="61"/>
      <c r="C38" s="47">
        <v>30.0</v>
      </c>
      <c r="D38" s="47" t="s">
        <v>46</v>
      </c>
      <c r="E38" s="61">
        <v>8000.0</v>
      </c>
      <c r="F38" s="61">
        <v>3922.7</v>
      </c>
      <c r="G38" s="51">
        <f t="shared" si="2"/>
        <v>-4077.3</v>
      </c>
      <c r="I38" s="47">
        <v>30.0</v>
      </c>
      <c r="J38" s="47" t="s">
        <v>46</v>
      </c>
      <c r="K38" s="61">
        <v>5500.0</v>
      </c>
      <c r="L38" s="61">
        <f>5892.05-125.98-8</f>
        <v>5758.07</v>
      </c>
      <c r="M38" s="51">
        <f t="shared" si="4"/>
        <v>258.07</v>
      </c>
    </row>
    <row r="39" ht="15.75" customHeight="1">
      <c r="B39" s="61"/>
      <c r="C39" s="47"/>
      <c r="D39" s="47"/>
      <c r="E39" s="230"/>
      <c r="F39" s="230"/>
      <c r="G39" s="51"/>
      <c r="I39" s="47"/>
      <c r="J39" s="47"/>
      <c r="K39" s="230"/>
      <c r="L39" s="230"/>
      <c r="M39" s="51"/>
    </row>
    <row r="40" ht="15.75" customHeight="1">
      <c r="B40" s="61"/>
      <c r="C40" s="8"/>
      <c r="D40" s="8"/>
      <c r="E40" s="107">
        <f>SUM(E9:E39)</f>
        <v>355500</v>
      </c>
      <c r="F40" s="271">
        <f>SUM(F9:F39)-13.8</f>
        <v>317338.6</v>
      </c>
      <c r="G40" s="105">
        <f>SUM(G9:G39)</f>
        <v>-38147.6</v>
      </c>
      <c r="I40" s="8"/>
      <c r="J40" s="8"/>
      <c r="K40" s="107">
        <f>SUM(K9:K39)</f>
        <v>320000</v>
      </c>
      <c r="L40" s="272">
        <f>SUM(L9:L39)+123.94</f>
        <v>288742.87</v>
      </c>
      <c r="M40" s="105">
        <f>SUM(M9:M39)</f>
        <v>-31381.07</v>
      </c>
      <c r="P40" s="61"/>
    </row>
    <row r="41" ht="15.75" customHeight="1">
      <c r="B41" s="61"/>
      <c r="D41" s="61"/>
      <c r="F41" s="61">
        <f>F40*5%+F40</f>
        <v>333205.53</v>
      </c>
      <c r="G41" s="13">
        <f>F41*7%+F41</f>
        <v>356529.9171</v>
      </c>
      <c r="J41" s="61"/>
      <c r="L41" s="275">
        <f>L40*4%+L40</f>
        <v>300292.5848</v>
      </c>
      <c r="M41" s="13">
        <f>L41*8%+L41</f>
        <v>324315.9916</v>
      </c>
    </row>
    <row r="42" ht="15.75" customHeight="1">
      <c r="B42" s="61"/>
      <c r="C42" s="2"/>
      <c r="D42" s="75"/>
      <c r="E42" s="2"/>
      <c r="F42" s="2"/>
      <c r="H42" s="61">
        <v>13075.0</v>
      </c>
      <c r="I42" s="75">
        <f>H42*5%+H42</f>
        <v>13728.75</v>
      </c>
      <c r="J42" s="75">
        <f>I42*7%+I42</f>
        <v>14689.7625</v>
      </c>
      <c r="K42" s="2"/>
      <c r="L42" s="2"/>
    </row>
    <row r="43" ht="15.75" customHeight="1">
      <c r="B43" s="61"/>
      <c r="C43" s="2"/>
      <c r="D43" s="2"/>
      <c r="E43" s="115" t="s">
        <v>77</v>
      </c>
      <c r="F43" s="118">
        <f>E40+G40</f>
        <v>317352.4</v>
      </c>
      <c r="K43" s="115" t="s">
        <v>77</v>
      </c>
      <c r="L43" s="118">
        <f>K40+M40</f>
        <v>288618.93</v>
      </c>
    </row>
    <row r="44" ht="15.75" customHeight="1">
      <c r="B44" s="61"/>
      <c r="C44" s="122" t="s">
        <v>29</v>
      </c>
      <c r="D44" s="124">
        <v>355000.0</v>
      </c>
      <c r="E44" s="2"/>
      <c r="F44" s="2"/>
      <c r="I44" s="126" t="s">
        <v>29</v>
      </c>
      <c r="J44" s="124">
        <v>320000.0</v>
      </c>
      <c r="K44" s="2"/>
      <c r="L44" s="2"/>
      <c r="M44" s="58">
        <v>11697.0</v>
      </c>
      <c r="N44" s="58">
        <f>M44*4%+M44</f>
        <v>12164.88</v>
      </c>
      <c r="O44" s="58">
        <f>N44*8%+N44</f>
        <v>13138.0704</v>
      </c>
    </row>
    <row r="45" ht="15.75" customHeight="1">
      <c r="B45" s="61"/>
    </row>
    <row r="46" ht="15.75" customHeight="1">
      <c r="B46" s="61"/>
    </row>
    <row r="47" ht="15.75" customHeight="1">
      <c r="B47" s="61"/>
      <c r="I47" s="61"/>
    </row>
    <row r="48" ht="15.75" customHeight="1">
      <c r="B48" s="61"/>
      <c r="I48" s="121"/>
    </row>
    <row r="49" ht="15.75" customHeight="1">
      <c r="B49" s="61"/>
    </row>
    <row r="50" ht="15.75" customHeight="1">
      <c r="B50" s="61"/>
    </row>
    <row r="51" ht="15.75" customHeight="1">
      <c r="B51" s="61"/>
    </row>
    <row r="52" ht="15.75" customHeight="1">
      <c r="B52" s="61"/>
    </row>
    <row r="53" ht="15.75" customHeight="1">
      <c r="B53" s="61"/>
    </row>
    <row r="54" ht="15.75" customHeight="1">
      <c r="B54" s="61"/>
    </row>
    <row r="55" ht="15.75" customHeight="1">
      <c r="B55" s="61"/>
    </row>
    <row r="56" ht="15.75" customHeight="1">
      <c r="B56" s="61"/>
    </row>
    <row r="57" ht="15.75" customHeight="1">
      <c r="B57" s="61"/>
    </row>
    <row r="58" ht="15.75" customHeight="1">
      <c r="B58" s="61"/>
    </row>
    <row r="59" ht="15.75" customHeight="1">
      <c r="B59" s="61"/>
    </row>
    <row r="60" ht="15.75" customHeight="1">
      <c r="B60" s="61"/>
    </row>
    <row r="61" ht="15.75" customHeight="1">
      <c r="B61" s="61"/>
    </row>
    <row r="62" ht="15.75" customHeight="1">
      <c r="B62" s="61"/>
    </row>
    <row r="63" ht="15.75" customHeight="1">
      <c r="B63" s="61"/>
    </row>
    <row r="64" ht="15.75" customHeight="1">
      <c r="B64" s="61"/>
    </row>
    <row r="65" ht="15.75" customHeight="1">
      <c r="B65" s="61"/>
    </row>
    <row r="66" ht="15.75" customHeight="1">
      <c r="B66" s="61"/>
    </row>
    <row r="67" ht="15.75" customHeight="1">
      <c r="B67" s="61"/>
    </row>
    <row r="68" ht="15.75" customHeight="1">
      <c r="B68" s="61"/>
    </row>
    <row r="69" ht="15.75" customHeight="1">
      <c r="B69" s="61"/>
    </row>
    <row r="70" ht="15.75" customHeight="1">
      <c r="B70" s="61"/>
    </row>
    <row r="71" ht="15.75" customHeight="1">
      <c r="B71" s="61"/>
    </row>
    <row r="72" ht="15.75" customHeight="1">
      <c r="B72" s="61"/>
    </row>
    <row r="73" ht="15.75" customHeight="1">
      <c r="B73" s="61"/>
    </row>
    <row r="74" ht="15.75" customHeight="1">
      <c r="B74" s="61"/>
    </row>
    <row r="75" ht="15.75" customHeight="1">
      <c r="B75" s="61"/>
    </row>
    <row r="76" ht="15.75" customHeight="1">
      <c r="B76" s="61"/>
    </row>
    <row r="77" ht="15.75" customHeight="1">
      <c r="B77" s="61"/>
    </row>
    <row r="78" ht="15.75" customHeight="1">
      <c r="B78" s="61"/>
    </row>
    <row r="79" ht="15.75" customHeight="1">
      <c r="B79" s="61"/>
    </row>
    <row r="80" ht="15.75" customHeight="1">
      <c r="B80" s="61"/>
    </row>
    <row r="81" ht="15.75" customHeight="1">
      <c r="B81" s="61"/>
    </row>
    <row r="82" ht="15.75" customHeight="1">
      <c r="B82" s="61"/>
    </row>
    <row r="83" ht="15.75" customHeight="1">
      <c r="B83" s="61"/>
    </row>
    <row r="84" ht="15.75" customHeight="1">
      <c r="B84" s="61"/>
    </row>
    <row r="85" ht="15.75" customHeight="1">
      <c r="B85" s="61"/>
    </row>
    <row r="86" ht="15.75" customHeight="1">
      <c r="B86" s="61"/>
    </row>
    <row r="87" ht="15.75" customHeight="1">
      <c r="B87" s="61"/>
    </row>
    <row r="88" ht="15.75" customHeight="1">
      <c r="B88" s="61"/>
    </row>
    <row r="89" ht="15.75" customHeight="1">
      <c r="B89" s="61"/>
    </row>
    <row r="90" ht="15.75" customHeight="1">
      <c r="B90" s="61"/>
    </row>
    <row r="91" ht="15.75" customHeight="1">
      <c r="B91" s="61"/>
    </row>
    <row r="92" ht="15.75" customHeight="1">
      <c r="B92" s="61"/>
    </row>
    <row r="93" ht="15.75" customHeight="1">
      <c r="B93" s="61"/>
    </row>
    <row r="94" ht="15.75" customHeight="1">
      <c r="B94" s="61"/>
    </row>
    <row r="95" ht="15.75" customHeight="1">
      <c r="B95" s="61"/>
    </row>
    <row r="96" ht="15.75" customHeight="1">
      <c r="B96" s="61"/>
    </row>
    <row r="97" ht="15.75" customHeight="1">
      <c r="B97" s="61"/>
    </row>
    <row r="98" ht="15.75" customHeight="1">
      <c r="B98" s="61"/>
    </row>
    <row r="99" ht="15.75" customHeight="1">
      <c r="B99" s="61"/>
    </row>
    <row r="100" ht="15.75" customHeight="1">
      <c r="B100" s="61"/>
    </row>
    <row r="101" ht="15.75" customHeight="1">
      <c r="B101" s="61"/>
    </row>
    <row r="102" ht="15.75" customHeight="1">
      <c r="B102" s="61"/>
    </row>
    <row r="103" ht="15.75" customHeight="1">
      <c r="B103" s="61"/>
    </row>
    <row r="104" ht="15.75" customHeight="1">
      <c r="B104" s="61"/>
    </row>
    <row r="105" ht="15.75" customHeight="1">
      <c r="B105" s="61"/>
    </row>
    <row r="106" ht="15.75" customHeight="1">
      <c r="B106" s="61"/>
    </row>
    <row r="107" ht="15.75" customHeight="1">
      <c r="B107" s="61"/>
    </row>
    <row r="108" ht="15.75" customHeight="1">
      <c r="B108" s="61"/>
    </row>
    <row r="109" ht="15.75" customHeight="1">
      <c r="B109" s="61"/>
    </row>
    <row r="110" ht="15.75" customHeight="1">
      <c r="B110" s="61"/>
    </row>
    <row r="111" ht="15.75" customHeight="1">
      <c r="B111" s="61"/>
    </row>
    <row r="112" ht="15.75" customHeight="1">
      <c r="B112" s="61"/>
    </row>
    <row r="113" ht="15.75" customHeight="1">
      <c r="B113" s="61"/>
    </row>
    <row r="114" ht="15.75" customHeight="1">
      <c r="B114" s="61"/>
    </row>
    <row r="115" ht="15.75" customHeight="1">
      <c r="B115" s="61"/>
    </row>
    <row r="116" ht="15.75" customHeight="1">
      <c r="B116" s="61"/>
    </row>
    <row r="117" ht="15.75" customHeight="1">
      <c r="B117" s="61"/>
    </row>
    <row r="118" ht="15.75" customHeight="1">
      <c r="B118" s="61"/>
    </row>
    <row r="119" ht="15.75" customHeight="1">
      <c r="B119" s="61"/>
    </row>
    <row r="120" ht="15.75" customHeight="1">
      <c r="B120" s="61"/>
    </row>
    <row r="121" ht="15.75" customHeight="1">
      <c r="B121" s="61"/>
    </row>
    <row r="122" ht="15.75" customHeight="1">
      <c r="B122" s="61"/>
    </row>
    <row r="123" ht="15.75" customHeight="1">
      <c r="B123" s="61"/>
    </row>
    <row r="124" ht="15.75" customHeight="1">
      <c r="B124" s="61"/>
    </row>
    <row r="125" ht="15.75" customHeight="1">
      <c r="B125" s="61"/>
    </row>
    <row r="126" ht="15.75" customHeight="1">
      <c r="B126" s="61"/>
    </row>
    <row r="127" ht="15.75" customHeight="1">
      <c r="B127" s="61"/>
    </row>
    <row r="128" ht="15.75" customHeight="1">
      <c r="B128" s="61"/>
    </row>
    <row r="129" ht="15.75" customHeight="1">
      <c r="B129" s="61"/>
    </row>
    <row r="130" ht="15.75" customHeight="1">
      <c r="B130" s="61"/>
    </row>
    <row r="131" ht="15.75" customHeight="1">
      <c r="B131" s="61"/>
    </row>
    <row r="132" ht="15.75" customHeight="1">
      <c r="B132" s="61"/>
    </row>
    <row r="133" ht="15.75" customHeight="1">
      <c r="B133" s="61"/>
    </row>
    <row r="134" ht="15.75" customHeight="1">
      <c r="B134" s="61"/>
    </row>
    <row r="135" ht="15.75" customHeight="1">
      <c r="B135" s="61"/>
    </row>
    <row r="136" ht="15.75" customHeight="1">
      <c r="B136" s="61"/>
    </row>
    <row r="137" ht="15.75" customHeight="1">
      <c r="B137" s="61"/>
    </row>
    <row r="138" ht="15.75" customHeight="1">
      <c r="B138" s="61"/>
    </row>
    <row r="139" ht="15.75" customHeight="1">
      <c r="B139" s="61"/>
    </row>
    <row r="140" ht="15.75" customHeight="1">
      <c r="B140" s="61"/>
    </row>
    <row r="141" ht="15.75" customHeight="1">
      <c r="B141" s="61"/>
    </row>
    <row r="142" ht="15.75" customHeight="1">
      <c r="B142" s="61"/>
    </row>
    <row r="143" ht="15.75" customHeight="1">
      <c r="B143" s="61"/>
    </row>
    <row r="144" ht="15.75" customHeight="1">
      <c r="B144" s="61"/>
    </row>
    <row r="145" ht="15.75" customHeight="1">
      <c r="B145" s="61"/>
    </row>
    <row r="146" ht="15.75" customHeight="1">
      <c r="B146" s="61"/>
    </row>
    <row r="147" ht="15.75" customHeight="1">
      <c r="B147" s="61"/>
    </row>
    <row r="148" ht="15.75" customHeight="1">
      <c r="B148" s="61"/>
    </row>
    <row r="149" ht="15.75" customHeight="1">
      <c r="B149" s="61"/>
    </row>
    <row r="150" ht="15.75" customHeight="1">
      <c r="B150" s="61"/>
    </row>
    <row r="151" ht="15.75" customHeight="1">
      <c r="B151" s="61"/>
    </row>
    <row r="152" ht="15.75" customHeight="1">
      <c r="B152" s="61"/>
    </row>
    <row r="153" ht="15.75" customHeight="1">
      <c r="B153" s="61"/>
    </row>
    <row r="154" ht="15.75" customHeight="1">
      <c r="B154" s="61"/>
    </row>
    <row r="155" ht="15.75" customHeight="1">
      <c r="B155" s="61"/>
    </row>
    <row r="156" ht="15.75" customHeight="1">
      <c r="B156" s="61"/>
    </row>
    <row r="157" ht="15.75" customHeight="1">
      <c r="B157" s="61"/>
    </row>
    <row r="158" ht="15.75" customHeight="1">
      <c r="B158" s="61"/>
    </row>
    <row r="159" ht="15.75" customHeight="1">
      <c r="B159" s="61"/>
    </row>
    <row r="160" ht="15.75" customHeight="1">
      <c r="B160" s="61"/>
    </row>
    <row r="161" ht="15.75" customHeight="1">
      <c r="B161" s="61"/>
    </row>
    <row r="162" ht="15.75" customHeight="1">
      <c r="B162" s="61"/>
    </row>
    <row r="163" ht="15.75" customHeight="1">
      <c r="B163" s="61"/>
    </row>
    <row r="164" ht="15.75" customHeight="1">
      <c r="B164" s="61"/>
    </row>
    <row r="165" ht="15.75" customHeight="1">
      <c r="B165" s="61"/>
    </row>
    <row r="166" ht="15.75" customHeight="1">
      <c r="B166" s="61"/>
    </row>
    <row r="167" ht="15.75" customHeight="1">
      <c r="B167" s="61"/>
    </row>
    <row r="168" ht="15.75" customHeight="1">
      <c r="B168" s="61"/>
    </row>
    <row r="169" ht="15.75" customHeight="1">
      <c r="B169" s="61"/>
    </row>
    <row r="170" ht="15.75" customHeight="1">
      <c r="B170" s="61"/>
    </row>
    <row r="171" ht="15.75" customHeight="1">
      <c r="B171" s="61"/>
    </row>
    <row r="172" ht="15.75" customHeight="1">
      <c r="B172" s="61"/>
    </row>
    <row r="173" ht="15.75" customHeight="1">
      <c r="B173" s="61"/>
    </row>
    <row r="174" ht="15.75" customHeight="1">
      <c r="B174" s="61"/>
    </row>
    <row r="175" ht="15.75" customHeight="1">
      <c r="B175" s="61"/>
    </row>
    <row r="176" ht="15.75" customHeight="1">
      <c r="B176" s="61"/>
    </row>
    <row r="177" ht="15.75" customHeight="1">
      <c r="B177" s="61"/>
    </row>
    <row r="178" ht="15.75" customHeight="1">
      <c r="B178" s="61"/>
    </row>
    <row r="179" ht="15.75" customHeight="1">
      <c r="B179" s="61"/>
    </row>
    <row r="180" ht="15.75" customHeight="1">
      <c r="B180" s="61"/>
    </row>
    <row r="181" ht="15.75" customHeight="1">
      <c r="B181" s="61"/>
    </row>
    <row r="182" ht="15.75" customHeight="1">
      <c r="B182" s="61"/>
    </row>
    <row r="183" ht="15.75" customHeight="1">
      <c r="B183" s="61"/>
    </row>
    <row r="184" ht="15.75" customHeight="1">
      <c r="B184" s="61"/>
    </row>
    <row r="185" ht="15.75" customHeight="1">
      <c r="B185" s="61"/>
    </row>
    <row r="186" ht="15.75" customHeight="1">
      <c r="B186" s="61"/>
    </row>
    <row r="187" ht="15.75" customHeight="1">
      <c r="B187" s="61"/>
    </row>
    <row r="188" ht="15.75" customHeight="1">
      <c r="B188" s="61"/>
    </row>
    <row r="189" ht="15.75" customHeight="1">
      <c r="B189" s="61"/>
    </row>
    <row r="190" ht="15.75" customHeight="1">
      <c r="B190" s="61"/>
    </row>
    <row r="191" ht="15.75" customHeight="1">
      <c r="B191" s="61"/>
    </row>
    <row r="192" ht="15.75" customHeight="1">
      <c r="B192" s="61"/>
    </row>
    <row r="193" ht="15.75" customHeight="1">
      <c r="B193" s="61"/>
    </row>
    <row r="194" ht="15.75" customHeight="1">
      <c r="B194" s="61"/>
    </row>
    <row r="195" ht="15.75" customHeight="1">
      <c r="B195" s="61"/>
    </row>
    <row r="196" ht="15.75" customHeight="1">
      <c r="B196" s="61"/>
    </row>
    <row r="197" ht="15.75" customHeight="1">
      <c r="B197" s="61"/>
    </row>
    <row r="198" ht="15.75" customHeight="1">
      <c r="B198" s="61"/>
    </row>
    <row r="199" ht="15.75" customHeight="1">
      <c r="B199" s="61"/>
    </row>
    <row r="200" ht="15.75" customHeight="1">
      <c r="B200" s="61"/>
    </row>
    <row r="201" ht="15.75" customHeight="1">
      <c r="B201" s="61"/>
    </row>
    <row r="202" ht="15.75" customHeight="1">
      <c r="B202" s="61"/>
    </row>
    <row r="203" ht="15.75" customHeight="1">
      <c r="B203" s="61"/>
    </row>
    <row r="204" ht="15.75" customHeight="1">
      <c r="B204" s="61"/>
    </row>
    <row r="205" ht="15.75" customHeight="1">
      <c r="B205" s="61"/>
    </row>
    <row r="206" ht="15.75" customHeight="1">
      <c r="B206" s="61"/>
    </row>
    <row r="207" ht="15.75" customHeight="1">
      <c r="B207" s="61"/>
    </row>
    <row r="208" ht="15.75" customHeight="1">
      <c r="B208" s="61"/>
    </row>
    <row r="209" ht="15.75" customHeight="1">
      <c r="B209" s="61"/>
    </row>
    <row r="210" ht="15.75" customHeight="1">
      <c r="B210" s="61"/>
    </row>
    <row r="211" ht="15.75" customHeight="1">
      <c r="B211" s="61"/>
    </row>
    <row r="212" ht="15.75" customHeight="1">
      <c r="B212" s="61"/>
    </row>
    <row r="213" ht="15.75" customHeight="1">
      <c r="B213" s="61"/>
    </row>
    <row r="214" ht="15.75" customHeight="1">
      <c r="B214" s="61"/>
    </row>
    <row r="215" ht="15.75" customHeight="1">
      <c r="B215" s="61"/>
    </row>
    <row r="216" ht="15.75" customHeight="1">
      <c r="B216" s="61"/>
    </row>
    <row r="217" ht="15.75" customHeight="1">
      <c r="B217" s="61"/>
    </row>
    <row r="218" ht="15.75" customHeight="1">
      <c r="B218" s="61"/>
    </row>
    <row r="219" ht="15.75" customHeight="1">
      <c r="B219" s="61"/>
    </row>
    <row r="220" ht="15.75" customHeight="1">
      <c r="B220" s="61"/>
    </row>
    <row r="221" ht="15.75" customHeight="1">
      <c r="B221" s="61"/>
    </row>
    <row r="222" ht="15.75" customHeight="1">
      <c r="B222" s="61"/>
    </row>
    <row r="223" ht="15.75" customHeight="1">
      <c r="B223" s="61"/>
    </row>
    <row r="224" ht="15.75" customHeight="1">
      <c r="B224" s="61"/>
    </row>
    <row r="225" ht="15.75" customHeight="1">
      <c r="B225" s="61"/>
    </row>
    <row r="226" ht="15.75" customHeight="1">
      <c r="B226" s="61"/>
    </row>
    <row r="227" ht="15.75" customHeight="1">
      <c r="B227" s="61"/>
    </row>
    <row r="228" ht="15.75" customHeight="1">
      <c r="B228" s="61"/>
    </row>
    <row r="229" ht="15.75" customHeight="1">
      <c r="B229" s="61"/>
    </row>
    <row r="230" ht="15.75" customHeight="1">
      <c r="B230" s="61"/>
    </row>
    <row r="231" ht="15.75" customHeight="1">
      <c r="B231" s="61"/>
    </row>
    <row r="232" ht="15.75" customHeight="1">
      <c r="B232" s="61"/>
    </row>
    <row r="233" ht="15.75" customHeight="1">
      <c r="B233" s="61"/>
    </row>
    <row r="234" ht="15.75" customHeight="1">
      <c r="B234" s="61"/>
    </row>
    <row r="235" ht="15.75" customHeight="1">
      <c r="B235" s="61"/>
    </row>
    <row r="236" ht="15.75" customHeight="1">
      <c r="B236" s="61"/>
    </row>
    <row r="237" ht="15.75" customHeight="1">
      <c r="B237" s="61"/>
    </row>
    <row r="238" ht="15.75" customHeight="1">
      <c r="B238" s="61"/>
    </row>
    <row r="239" ht="15.75" customHeight="1">
      <c r="B239" s="61"/>
    </row>
    <row r="240" ht="15.75" customHeight="1">
      <c r="B240" s="61"/>
    </row>
    <row r="241" ht="15.75" customHeight="1">
      <c r="B241" s="61"/>
    </row>
    <row r="242" ht="15.75" customHeight="1">
      <c r="B242" s="61"/>
    </row>
    <row r="243" ht="15.75" customHeight="1">
      <c r="B243" s="61"/>
    </row>
    <row r="244" ht="15.75" customHeight="1">
      <c r="B244" s="61"/>
    </row>
    <row r="245" ht="15.75" customHeight="1">
      <c r="B245" s="61"/>
    </row>
    <row r="246" ht="15.75" customHeight="1">
      <c r="B246" s="61"/>
    </row>
    <row r="247" ht="15.75" customHeight="1">
      <c r="B247" s="61"/>
    </row>
    <row r="248" ht="15.75" customHeight="1">
      <c r="B248" s="61"/>
    </row>
    <row r="249" ht="15.75" customHeight="1">
      <c r="B249" s="61"/>
    </row>
    <row r="250" ht="15.75" customHeight="1">
      <c r="B250" s="61"/>
    </row>
    <row r="251" ht="15.75" customHeight="1">
      <c r="B251" s="61"/>
    </row>
    <row r="252" ht="15.75" customHeight="1">
      <c r="B252" s="61"/>
    </row>
    <row r="253" ht="15.75" customHeight="1">
      <c r="B253" s="61"/>
    </row>
    <row r="254" ht="15.75" customHeight="1">
      <c r="B254" s="61"/>
    </row>
    <row r="255" ht="15.75" customHeight="1">
      <c r="B255" s="61"/>
    </row>
    <row r="256" ht="15.75" customHeight="1">
      <c r="B256" s="61"/>
    </row>
    <row r="257" ht="15.75" customHeight="1">
      <c r="B257" s="61"/>
    </row>
    <row r="258" ht="15.75" customHeight="1">
      <c r="B258" s="61"/>
    </row>
    <row r="259" ht="15.75" customHeight="1">
      <c r="B259" s="61"/>
    </row>
    <row r="260" ht="15.75" customHeight="1">
      <c r="B260" s="61"/>
    </row>
    <row r="261" ht="15.75" customHeight="1">
      <c r="B261" s="61"/>
    </row>
    <row r="262" ht="15.75" customHeight="1">
      <c r="B262" s="61"/>
    </row>
    <row r="263" ht="15.75" customHeight="1">
      <c r="B263" s="61"/>
    </row>
    <row r="264" ht="15.75" customHeight="1">
      <c r="B264" s="61"/>
    </row>
    <row r="265" ht="15.75" customHeight="1">
      <c r="B265" s="61"/>
    </row>
    <row r="266" ht="15.75" customHeight="1">
      <c r="B266" s="61"/>
    </row>
    <row r="267" ht="15.75" customHeight="1">
      <c r="B267" s="61"/>
    </row>
    <row r="268" ht="15.75" customHeight="1">
      <c r="B268" s="61"/>
    </row>
    <row r="269" ht="15.75" customHeight="1">
      <c r="B269" s="61"/>
    </row>
    <row r="270" ht="15.75" customHeight="1">
      <c r="B270" s="61"/>
    </row>
    <row r="271" ht="15.75" customHeight="1">
      <c r="B271" s="61"/>
    </row>
    <row r="272" ht="15.75" customHeight="1">
      <c r="B272" s="61"/>
    </row>
    <row r="273" ht="15.75" customHeight="1">
      <c r="B273" s="61"/>
    </row>
    <row r="274" ht="15.75" customHeight="1">
      <c r="B274" s="61"/>
    </row>
    <row r="275" ht="15.75" customHeight="1">
      <c r="B275" s="61"/>
    </row>
    <row r="276" ht="15.75" customHeight="1">
      <c r="B276" s="61"/>
    </row>
    <row r="277" ht="15.75" customHeight="1">
      <c r="B277" s="61"/>
    </row>
    <row r="278" ht="15.75" customHeight="1">
      <c r="B278" s="61"/>
    </row>
    <row r="279" ht="15.75" customHeight="1">
      <c r="B279" s="61"/>
    </row>
    <row r="280" ht="15.75" customHeight="1">
      <c r="B280" s="61"/>
    </row>
    <row r="281" ht="15.75" customHeight="1">
      <c r="B281" s="61"/>
    </row>
    <row r="282" ht="15.75" customHeight="1">
      <c r="B282" s="61"/>
    </row>
    <row r="283" ht="15.75" customHeight="1">
      <c r="B283" s="61"/>
    </row>
    <row r="284" ht="15.75" customHeight="1">
      <c r="B284" s="61"/>
    </row>
    <row r="285" ht="15.75" customHeight="1">
      <c r="B285" s="61"/>
    </row>
    <row r="286" ht="15.75" customHeight="1">
      <c r="B286" s="61"/>
    </row>
    <row r="287" ht="15.75" customHeight="1">
      <c r="B287" s="61"/>
    </row>
    <row r="288" ht="15.75" customHeight="1">
      <c r="B288" s="61"/>
    </row>
    <row r="289" ht="15.75" customHeight="1">
      <c r="B289" s="61"/>
    </row>
    <row r="290" ht="15.75" customHeight="1">
      <c r="B290" s="61"/>
    </row>
    <row r="291" ht="15.75" customHeight="1">
      <c r="B291" s="61"/>
    </row>
    <row r="292" ht="15.75" customHeight="1">
      <c r="B292" s="61"/>
    </row>
    <row r="293" ht="15.75" customHeight="1">
      <c r="B293" s="61"/>
    </row>
    <row r="294" ht="15.75" customHeight="1">
      <c r="B294" s="61"/>
    </row>
    <row r="295" ht="15.75" customHeight="1">
      <c r="B295" s="61"/>
    </row>
    <row r="296" ht="15.75" customHeight="1">
      <c r="B296" s="61"/>
    </row>
    <row r="297" ht="15.75" customHeight="1">
      <c r="B297" s="61"/>
    </row>
    <row r="298" ht="15.75" customHeight="1">
      <c r="B298" s="61"/>
    </row>
    <row r="299" ht="15.75" customHeight="1">
      <c r="B299" s="61"/>
    </row>
    <row r="300" ht="15.75" customHeight="1">
      <c r="B300" s="61"/>
    </row>
    <row r="301" ht="15.75" customHeight="1">
      <c r="B301" s="61"/>
    </row>
    <row r="302" ht="15.75" customHeight="1">
      <c r="B302" s="61"/>
    </row>
    <row r="303" ht="15.75" customHeight="1">
      <c r="B303" s="61"/>
    </row>
    <row r="304" ht="15.75" customHeight="1">
      <c r="B304" s="61"/>
    </row>
    <row r="305" ht="15.75" customHeight="1">
      <c r="B305" s="61"/>
    </row>
    <row r="306" ht="15.75" customHeight="1">
      <c r="B306" s="61"/>
    </row>
    <row r="307" ht="15.75" customHeight="1">
      <c r="B307" s="61"/>
    </row>
    <row r="308" ht="15.75" customHeight="1">
      <c r="B308" s="61"/>
    </row>
    <row r="309" ht="15.75" customHeight="1">
      <c r="B309" s="61"/>
    </row>
    <row r="310" ht="15.75" customHeight="1">
      <c r="B310" s="61"/>
    </row>
    <row r="311" ht="15.75" customHeight="1">
      <c r="B311" s="61"/>
    </row>
    <row r="312" ht="15.75" customHeight="1">
      <c r="B312" s="61"/>
    </row>
    <row r="313" ht="15.75" customHeight="1">
      <c r="B313" s="61"/>
    </row>
    <row r="314" ht="15.75" customHeight="1">
      <c r="B314" s="61"/>
    </row>
    <row r="315" ht="15.75" customHeight="1">
      <c r="B315" s="61"/>
    </row>
    <row r="316" ht="15.75" customHeight="1">
      <c r="B316" s="61"/>
    </row>
    <row r="317" ht="15.75" customHeight="1">
      <c r="B317" s="61"/>
    </row>
    <row r="318" ht="15.75" customHeight="1">
      <c r="B318" s="61"/>
    </row>
    <row r="319" ht="15.75" customHeight="1">
      <c r="B319" s="61"/>
    </row>
    <row r="320" ht="15.75" customHeight="1">
      <c r="B320" s="61"/>
    </row>
    <row r="321" ht="15.75" customHeight="1">
      <c r="B321" s="61"/>
    </row>
    <row r="322" ht="15.75" customHeight="1">
      <c r="B322" s="61"/>
    </row>
    <row r="323" ht="15.75" customHeight="1">
      <c r="B323" s="61"/>
    </row>
    <row r="324" ht="15.75" customHeight="1">
      <c r="B324" s="61"/>
    </row>
    <row r="325" ht="15.75" customHeight="1">
      <c r="B325" s="61"/>
    </row>
    <row r="326" ht="15.75" customHeight="1">
      <c r="B326" s="61"/>
    </row>
    <row r="327" ht="15.75" customHeight="1">
      <c r="B327" s="61"/>
    </row>
    <row r="328" ht="15.75" customHeight="1">
      <c r="B328" s="61"/>
    </row>
    <row r="329" ht="15.75" customHeight="1">
      <c r="B329" s="61"/>
    </row>
    <row r="330" ht="15.75" customHeight="1">
      <c r="B330" s="61"/>
    </row>
    <row r="331" ht="15.75" customHeight="1">
      <c r="B331" s="61"/>
    </row>
    <row r="332" ht="15.75" customHeight="1">
      <c r="B332" s="61"/>
    </row>
    <row r="333" ht="15.75" customHeight="1">
      <c r="B333" s="61"/>
    </row>
    <row r="334" ht="15.75" customHeight="1">
      <c r="B334" s="61"/>
    </row>
    <row r="335" ht="15.75" customHeight="1">
      <c r="B335" s="61"/>
    </row>
    <row r="336" ht="15.75" customHeight="1">
      <c r="B336" s="61"/>
    </row>
    <row r="337" ht="15.75" customHeight="1">
      <c r="B337" s="61"/>
    </row>
    <row r="338" ht="15.75" customHeight="1">
      <c r="B338" s="61"/>
    </row>
    <row r="339" ht="15.75" customHeight="1">
      <c r="B339" s="61"/>
    </row>
    <row r="340" ht="15.75" customHeight="1">
      <c r="B340" s="61"/>
    </row>
    <row r="341" ht="15.75" customHeight="1">
      <c r="B341" s="61"/>
    </row>
    <row r="342" ht="15.75" customHeight="1">
      <c r="B342" s="61"/>
    </row>
    <row r="343" ht="15.75" customHeight="1">
      <c r="B343" s="61"/>
    </row>
    <row r="344" ht="15.75" customHeight="1">
      <c r="B344" s="61"/>
    </row>
    <row r="345" ht="15.75" customHeight="1">
      <c r="B345" s="61"/>
    </row>
    <row r="346" ht="15.75" customHeight="1">
      <c r="B346" s="61"/>
    </row>
    <row r="347" ht="15.75" customHeight="1">
      <c r="B347" s="61"/>
    </row>
    <row r="348" ht="15.75" customHeight="1">
      <c r="B348" s="61"/>
    </row>
    <row r="349" ht="15.75" customHeight="1">
      <c r="B349" s="61"/>
    </row>
    <row r="350" ht="15.75" customHeight="1">
      <c r="B350" s="61"/>
    </row>
    <row r="351" ht="15.75" customHeight="1">
      <c r="B351" s="61"/>
    </row>
    <row r="352" ht="15.75" customHeight="1">
      <c r="B352" s="61"/>
    </row>
    <row r="353" ht="15.75" customHeight="1">
      <c r="B353" s="61"/>
    </row>
    <row r="354" ht="15.75" customHeight="1">
      <c r="B354" s="61"/>
    </row>
    <row r="355" ht="15.75" customHeight="1">
      <c r="B355" s="61"/>
    </row>
    <row r="356" ht="15.75" customHeight="1">
      <c r="B356" s="61"/>
    </row>
    <row r="357" ht="15.75" customHeight="1">
      <c r="B357" s="61"/>
    </row>
    <row r="358" ht="15.75" customHeight="1">
      <c r="B358" s="61"/>
    </row>
    <row r="359" ht="15.75" customHeight="1">
      <c r="B359" s="61"/>
    </row>
    <row r="360" ht="15.75" customHeight="1">
      <c r="B360" s="61"/>
    </row>
    <row r="361" ht="15.75" customHeight="1">
      <c r="B361" s="61"/>
    </row>
    <row r="362" ht="15.75" customHeight="1">
      <c r="B362" s="61"/>
    </row>
    <row r="363" ht="15.75" customHeight="1">
      <c r="B363" s="61"/>
    </row>
    <row r="364" ht="15.75" customHeight="1">
      <c r="B364" s="61"/>
    </row>
    <row r="365" ht="15.75" customHeight="1">
      <c r="B365" s="61"/>
    </row>
    <row r="366" ht="15.75" customHeight="1">
      <c r="B366" s="61"/>
    </row>
    <row r="367" ht="15.75" customHeight="1">
      <c r="B367" s="61"/>
    </row>
    <row r="368" ht="15.75" customHeight="1">
      <c r="B368" s="61"/>
    </row>
    <row r="369" ht="15.75" customHeight="1">
      <c r="B369" s="61"/>
    </row>
    <row r="370" ht="15.75" customHeight="1">
      <c r="B370" s="61"/>
    </row>
    <row r="371" ht="15.75" customHeight="1">
      <c r="B371" s="61"/>
    </row>
    <row r="372" ht="15.75" customHeight="1">
      <c r="B372" s="61"/>
    </row>
    <row r="373" ht="15.75" customHeight="1">
      <c r="B373" s="61"/>
    </row>
    <row r="374" ht="15.75" customHeight="1">
      <c r="B374" s="61"/>
    </row>
    <row r="375" ht="15.75" customHeight="1">
      <c r="B375" s="61"/>
    </row>
    <row r="376" ht="15.75" customHeight="1">
      <c r="B376" s="61"/>
    </row>
    <row r="377" ht="15.75" customHeight="1">
      <c r="B377" s="61"/>
    </row>
    <row r="378" ht="15.75" customHeight="1">
      <c r="B378" s="61"/>
    </row>
    <row r="379" ht="15.75" customHeight="1">
      <c r="B379" s="61"/>
    </row>
    <row r="380" ht="15.75" customHeight="1">
      <c r="B380" s="61"/>
    </row>
    <row r="381" ht="15.75" customHeight="1">
      <c r="B381" s="61"/>
    </row>
    <row r="382" ht="15.75" customHeight="1">
      <c r="B382" s="61"/>
    </row>
    <row r="383" ht="15.75" customHeight="1">
      <c r="B383" s="61"/>
    </row>
    <row r="384" ht="15.75" customHeight="1">
      <c r="B384" s="61"/>
    </row>
    <row r="385" ht="15.75" customHeight="1">
      <c r="B385" s="61"/>
    </row>
    <row r="386" ht="15.75" customHeight="1">
      <c r="B386" s="61"/>
    </row>
    <row r="387" ht="15.75" customHeight="1">
      <c r="B387" s="61"/>
    </row>
    <row r="388" ht="15.75" customHeight="1">
      <c r="B388" s="61"/>
    </row>
    <row r="389" ht="15.75" customHeight="1">
      <c r="B389" s="61"/>
    </row>
    <row r="390" ht="15.75" customHeight="1">
      <c r="B390" s="61"/>
    </row>
    <row r="391" ht="15.75" customHeight="1">
      <c r="B391" s="61"/>
    </row>
    <row r="392" ht="15.75" customHeight="1">
      <c r="B392" s="61"/>
    </row>
    <row r="393" ht="15.75" customHeight="1">
      <c r="B393" s="61"/>
    </row>
    <row r="394" ht="15.75" customHeight="1">
      <c r="B394" s="61"/>
    </row>
    <row r="395" ht="15.75" customHeight="1">
      <c r="B395" s="61"/>
    </row>
    <row r="396" ht="15.75" customHeight="1">
      <c r="B396" s="61"/>
    </row>
    <row r="397" ht="15.75" customHeight="1">
      <c r="B397" s="61"/>
    </row>
    <row r="398" ht="15.75" customHeight="1">
      <c r="B398" s="61"/>
    </row>
    <row r="399" ht="15.75" customHeight="1">
      <c r="B399" s="61"/>
    </row>
    <row r="400" ht="15.75" customHeight="1">
      <c r="B400" s="61"/>
    </row>
    <row r="401" ht="15.75" customHeight="1">
      <c r="B401" s="61"/>
    </row>
    <row r="402" ht="15.75" customHeight="1">
      <c r="B402" s="61"/>
    </row>
    <row r="403" ht="15.75" customHeight="1">
      <c r="B403" s="61"/>
    </row>
    <row r="404" ht="15.75" customHeight="1">
      <c r="B404" s="61"/>
    </row>
    <row r="405" ht="15.75" customHeight="1">
      <c r="B405" s="61"/>
    </row>
    <row r="406" ht="15.75" customHeight="1">
      <c r="B406" s="61"/>
    </row>
    <row r="407" ht="15.75" customHeight="1">
      <c r="B407" s="61"/>
    </row>
    <row r="408" ht="15.75" customHeight="1">
      <c r="B408" s="61"/>
    </row>
    <row r="409" ht="15.75" customHeight="1">
      <c r="B409" s="61"/>
    </row>
    <row r="410" ht="15.75" customHeight="1">
      <c r="B410" s="61"/>
    </row>
    <row r="411" ht="15.75" customHeight="1">
      <c r="B411" s="61"/>
    </row>
    <row r="412" ht="15.75" customHeight="1">
      <c r="B412" s="61"/>
    </row>
    <row r="413" ht="15.75" customHeight="1">
      <c r="B413" s="61"/>
    </row>
    <row r="414" ht="15.75" customHeight="1">
      <c r="B414" s="61"/>
    </row>
    <row r="415" ht="15.75" customHeight="1">
      <c r="B415" s="61"/>
    </row>
    <row r="416" ht="15.75" customHeight="1">
      <c r="B416" s="61"/>
    </row>
    <row r="417" ht="15.75" customHeight="1">
      <c r="B417" s="61"/>
    </row>
    <row r="418" ht="15.75" customHeight="1">
      <c r="B418" s="61"/>
    </row>
    <row r="419" ht="15.75" customHeight="1">
      <c r="B419" s="61"/>
    </row>
    <row r="420" ht="15.75" customHeight="1">
      <c r="B420" s="61"/>
    </row>
    <row r="421" ht="15.75" customHeight="1">
      <c r="B421" s="61"/>
    </row>
    <row r="422" ht="15.75" customHeight="1">
      <c r="B422" s="61"/>
    </row>
    <row r="423" ht="15.75" customHeight="1">
      <c r="B423" s="61"/>
    </row>
    <row r="424" ht="15.75" customHeight="1">
      <c r="B424" s="61"/>
    </row>
    <row r="425" ht="15.75" customHeight="1">
      <c r="B425" s="61"/>
    </row>
    <row r="426" ht="15.75" customHeight="1">
      <c r="B426" s="61"/>
    </row>
    <row r="427" ht="15.75" customHeight="1">
      <c r="B427" s="61"/>
    </row>
    <row r="428" ht="15.75" customHeight="1">
      <c r="B428" s="61"/>
    </row>
    <row r="429" ht="15.75" customHeight="1">
      <c r="B429" s="61"/>
    </row>
    <row r="430" ht="15.75" customHeight="1">
      <c r="B430" s="61"/>
    </row>
    <row r="431" ht="15.75" customHeight="1">
      <c r="B431" s="61"/>
    </row>
    <row r="432" ht="15.75" customHeight="1">
      <c r="B432" s="61"/>
    </row>
    <row r="433" ht="15.75" customHeight="1">
      <c r="B433" s="61"/>
    </row>
    <row r="434" ht="15.75" customHeight="1">
      <c r="B434" s="61"/>
    </row>
    <row r="435" ht="15.75" customHeight="1">
      <c r="B435" s="61"/>
    </row>
    <row r="436" ht="15.75" customHeight="1">
      <c r="B436" s="61"/>
    </row>
    <row r="437" ht="15.75" customHeight="1">
      <c r="B437" s="61"/>
    </row>
    <row r="438" ht="15.75" customHeight="1">
      <c r="B438" s="61"/>
    </row>
    <row r="439" ht="15.75" customHeight="1">
      <c r="B439" s="61"/>
    </row>
    <row r="440" ht="15.75" customHeight="1">
      <c r="B440" s="61"/>
    </row>
    <row r="441" ht="15.75" customHeight="1">
      <c r="B441" s="61"/>
    </row>
    <row r="442" ht="15.75" customHeight="1">
      <c r="B442" s="61"/>
    </row>
    <row r="443" ht="15.75" customHeight="1">
      <c r="B443" s="61"/>
    </row>
    <row r="444" ht="15.75" customHeight="1">
      <c r="B444" s="61"/>
    </row>
    <row r="445" ht="15.75" customHeight="1">
      <c r="B445" s="61"/>
    </row>
    <row r="446" ht="15.75" customHeight="1">
      <c r="B446" s="61"/>
    </row>
    <row r="447" ht="15.75" customHeight="1">
      <c r="B447" s="61"/>
    </row>
    <row r="448" ht="15.75" customHeight="1">
      <c r="B448" s="61"/>
    </row>
    <row r="449" ht="15.75" customHeight="1">
      <c r="B449" s="61"/>
    </row>
    <row r="450" ht="15.75" customHeight="1">
      <c r="B450" s="61"/>
    </row>
    <row r="451" ht="15.75" customHeight="1">
      <c r="B451" s="61"/>
    </row>
    <row r="452" ht="15.75" customHeight="1">
      <c r="B452" s="61"/>
    </row>
    <row r="453" ht="15.75" customHeight="1">
      <c r="B453" s="61"/>
    </row>
    <row r="454" ht="15.75" customHeight="1">
      <c r="B454" s="61"/>
    </row>
    <row r="455" ht="15.75" customHeight="1">
      <c r="B455" s="61"/>
    </row>
    <row r="456" ht="15.75" customHeight="1">
      <c r="B456" s="61"/>
    </row>
    <row r="457" ht="15.75" customHeight="1">
      <c r="B457" s="61"/>
    </row>
    <row r="458" ht="15.75" customHeight="1">
      <c r="B458" s="61"/>
    </row>
    <row r="459" ht="15.75" customHeight="1">
      <c r="B459" s="61"/>
    </row>
    <row r="460" ht="15.75" customHeight="1">
      <c r="B460" s="61"/>
    </row>
    <row r="461" ht="15.75" customHeight="1">
      <c r="B461" s="61"/>
    </row>
    <row r="462" ht="15.75" customHeight="1">
      <c r="B462" s="61"/>
    </row>
    <row r="463" ht="15.75" customHeight="1">
      <c r="B463" s="61"/>
    </row>
    <row r="464" ht="15.75" customHeight="1">
      <c r="B464" s="61"/>
    </row>
    <row r="465" ht="15.75" customHeight="1">
      <c r="B465" s="61"/>
    </row>
    <row r="466" ht="15.75" customHeight="1">
      <c r="B466" s="61"/>
    </row>
    <row r="467" ht="15.75" customHeight="1">
      <c r="B467" s="61"/>
    </row>
    <row r="468" ht="15.75" customHeight="1">
      <c r="B468" s="61"/>
    </row>
    <row r="469" ht="15.75" customHeight="1">
      <c r="B469" s="61"/>
    </row>
    <row r="470" ht="15.75" customHeight="1">
      <c r="B470" s="61"/>
    </row>
    <row r="471" ht="15.75" customHeight="1">
      <c r="B471" s="61"/>
    </row>
    <row r="472" ht="15.75" customHeight="1">
      <c r="B472" s="61"/>
    </row>
    <row r="473" ht="15.75" customHeight="1">
      <c r="B473" s="61"/>
    </row>
    <row r="474" ht="15.75" customHeight="1">
      <c r="B474" s="61"/>
    </row>
    <row r="475" ht="15.75" customHeight="1">
      <c r="B475" s="61"/>
    </row>
    <row r="476" ht="15.75" customHeight="1">
      <c r="B476" s="61"/>
    </row>
    <row r="477" ht="15.75" customHeight="1">
      <c r="B477" s="61"/>
    </row>
    <row r="478" ht="15.75" customHeight="1">
      <c r="B478" s="61"/>
    </row>
    <row r="479" ht="15.75" customHeight="1">
      <c r="B479" s="61"/>
    </row>
    <row r="480" ht="15.75" customHeight="1">
      <c r="B480" s="61"/>
    </row>
    <row r="481" ht="15.75" customHeight="1">
      <c r="B481" s="61"/>
    </row>
    <row r="482" ht="15.75" customHeight="1">
      <c r="B482" s="61"/>
    </row>
    <row r="483" ht="15.75" customHeight="1">
      <c r="B483" s="61"/>
    </row>
    <row r="484" ht="15.75" customHeight="1">
      <c r="B484" s="61"/>
    </row>
    <row r="485" ht="15.75" customHeight="1">
      <c r="B485" s="61"/>
    </row>
    <row r="486" ht="15.75" customHeight="1">
      <c r="B486" s="61"/>
    </row>
    <row r="487" ht="15.75" customHeight="1">
      <c r="B487" s="61"/>
    </row>
    <row r="488" ht="15.75" customHeight="1">
      <c r="B488" s="61"/>
    </row>
    <row r="489" ht="15.75" customHeight="1">
      <c r="B489" s="61"/>
    </row>
    <row r="490" ht="15.75" customHeight="1">
      <c r="B490" s="61"/>
    </row>
    <row r="491" ht="15.75" customHeight="1">
      <c r="B491" s="61"/>
    </row>
    <row r="492" ht="15.75" customHeight="1">
      <c r="B492" s="61"/>
    </row>
    <row r="493" ht="15.75" customHeight="1">
      <c r="B493" s="61"/>
    </row>
    <row r="494" ht="15.75" customHeight="1">
      <c r="B494" s="61"/>
    </row>
    <row r="495" ht="15.75" customHeight="1">
      <c r="B495" s="61"/>
    </row>
    <row r="496" ht="15.75" customHeight="1">
      <c r="B496" s="61"/>
    </row>
    <row r="497" ht="15.75" customHeight="1">
      <c r="B497" s="61"/>
    </row>
    <row r="498" ht="15.75" customHeight="1">
      <c r="B498" s="61"/>
    </row>
    <row r="499" ht="15.75" customHeight="1">
      <c r="B499" s="61"/>
    </row>
    <row r="500" ht="15.75" customHeight="1">
      <c r="B500" s="61"/>
    </row>
    <row r="501" ht="15.75" customHeight="1">
      <c r="B501" s="61"/>
    </row>
    <row r="502" ht="15.75" customHeight="1">
      <c r="B502" s="61"/>
    </row>
    <row r="503" ht="15.75" customHeight="1">
      <c r="B503" s="61"/>
    </row>
    <row r="504" ht="15.75" customHeight="1">
      <c r="B504" s="61"/>
    </row>
    <row r="505" ht="15.75" customHeight="1">
      <c r="B505" s="61"/>
    </row>
    <row r="506" ht="15.75" customHeight="1">
      <c r="B506" s="61"/>
    </row>
    <row r="507" ht="15.75" customHeight="1">
      <c r="B507" s="61"/>
    </row>
    <row r="508" ht="15.75" customHeight="1">
      <c r="B508" s="61"/>
    </row>
    <row r="509" ht="15.75" customHeight="1">
      <c r="B509" s="61"/>
    </row>
    <row r="510" ht="15.75" customHeight="1">
      <c r="B510" s="61"/>
    </row>
    <row r="511" ht="15.75" customHeight="1">
      <c r="B511" s="61"/>
    </row>
    <row r="512" ht="15.75" customHeight="1">
      <c r="B512" s="61"/>
    </row>
    <row r="513" ht="15.75" customHeight="1">
      <c r="B513" s="61"/>
    </row>
    <row r="514" ht="15.75" customHeight="1">
      <c r="B514" s="61"/>
    </row>
    <row r="515" ht="15.75" customHeight="1">
      <c r="B515" s="61"/>
    </row>
    <row r="516" ht="15.75" customHeight="1">
      <c r="B516" s="61"/>
    </row>
    <row r="517" ht="15.75" customHeight="1">
      <c r="B517" s="61"/>
    </row>
    <row r="518" ht="15.75" customHeight="1">
      <c r="B518" s="61"/>
    </row>
    <row r="519" ht="15.75" customHeight="1">
      <c r="B519" s="61"/>
    </row>
    <row r="520" ht="15.75" customHeight="1">
      <c r="B520" s="61"/>
    </row>
    <row r="521" ht="15.75" customHeight="1">
      <c r="B521" s="61"/>
    </row>
    <row r="522" ht="15.75" customHeight="1">
      <c r="B522" s="61"/>
    </row>
    <row r="523" ht="15.75" customHeight="1">
      <c r="B523" s="61"/>
    </row>
    <row r="524" ht="15.75" customHeight="1">
      <c r="B524" s="61"/>
    </row>
    <row r="525" ht="15.75" customHeight="1">
      <c r="B525" s="61"/>
    </row>
    <row r="526" ht="15.75" customHeight="1">
      <c r="B526" s="61"/>
    </row>
    <row r="527" ht="15.75" customHeight="1">
      <c r="B527" s="61"/>
    </row>
    <row r="528" ht="15.75" customHeight="1">
      <c r="B528" s="61"/>
    </row>
    <row r="529" ht="15.75" customHeight="1">
      <c r="B529" s="61"/>
    </row>
    <row r="530" ht="15.75" customHeight="1">
      <c r="B530" s="61"/>
    </row>
    <row r="531" ht="15.75" customHeight="1">
      <c r="B531" s="61"/>
    </row>
    <row r="532" ht="15.75" customHeight="1">
      <c r="B532" s="61"/>
    </row>
    <row r="533" ht="15.75" customHeight="1">
      <c r="B533" s="61"/>
    </row>
    <row r="534" ht="15.75" customHeight="1">
      <c r="B534" s="61"/>
    </row>
    <row r="535" ht="15.75" customHeight="1">
      <c r="B535" s="61"/>
    </row>
    <row r="536" ht="15.75" customHeight="1">
      <c r="B536" s="61"/>
    </row>
    <row r="537" ht="15.75" customHeight="1">
      <c r="B537" s="61"/>
    </row>
    <row r="538" ht="15.75" customHeight="1">
      <c r="B538" s="61"/>
    </row>
    <row r="539" ht="15.75" customHeight="1">
      <c r="B539" s="61"/>
    </row>
    <row r="540" ht="15.75" customHeight="1">
      <c r="B540" s="61"/>
    </row>
    <row r="541" ht="15.75" customHeight="1">
      <c r="B541" s="61"/>
    </row>
    <row r="542" ht="15.75" customHeight="1">
      <c r="B542" s="61"/>
    </row>
    <row r="543" ht="15.75" customHeight="1">
      <c r="B543" s="61"/>
    </row>
    <row r="544" ht="15.75" customHeight="1">
      <c r="B544" s="61"/>
    </row>
    <row r="545" ht="15.75" customHeight="1">
      <c r="B545" s="61"/>
    </row>
    <row r="546" ht="15.75" customHeight="1">
      <c r="B546" s="61"/>
    </row>
    <row r="547" ht="15.75" customHeight="1">
      <c r="B547" s="61"/>
    </row>
    <row r="548" ht="15.75" customHeight="1">
      <c r="B548" s="61"/>
    </row>
    <row r="549" ht="15.75" customHeight="1">
      <c r="B549" s="61"/>
    </row>
    <row r="550" ht="15.75" customHeight="1">
      <c r="B550" s="61"/>
    </row>
    <row r="551" ht="15.75" customHeight="1">
      <c r="B551" s="61"/>
    </row>
    <row r="552" ht="15.75" customHeight="1">
      <c r="B552" s="61"/>
    </row>
    <row r="553" ht="15.75" customHeight="1">
      <c r="B553" s="61"/>
    </row>
    <row r="554" ht="15.75" customHeight="1">
      <c r="B554" s="61"/>
    </row>
    <row r="555" ht="15.75" customHeight="1">
      <c r="B555" s="61"/>
    </row>
    <row r="556" ht="15.75" customHeight="1">
      <c r="B556" s="61"/>
    </row>
    <row r="557" ht="15.75" customHeight="1">
      <c r="B557" s="61"/>
    </row>
    <row r="558" ht="15.75" customHeight="1">
      <c r="B558" s="61"/>
    </row>
    <row r="559" ht="15.75" customHeight="1">
      <c r="B559" s="61"/>
    </row>
    <row r="560" ht="15.75" customHeight="1">
      <c r="B560" s="61"/>
    </row>
    <row r="561" ht="15.75" customHeight="1">
      <c r="B561" s="61"/>
    </row>
    <row r="562" ht="15.75" customHeight="1">
      <c r="B562" s="61"/>
    </row>
    <row r="563" ht="15.75" customHeight="1">
      <c r="B563" s="61"/>
    </row>
    <row r="564" ht="15.75" customHeight="1">
      <c r="B564" s="61"/>
    </row>
    <row r="565" ht="15.75" customHeight="1">
      <c r="B565" s="61"/>
    </row>
    <row r="566" ht="15.75" customHeight="1">
      <c r="B566" s="61"/>
    </row>
    <row r="567" ht="15.75" customHeight="1">
      <c r="B567" s="61"/>
    </row>
    <row r="568" ht="15.75" customHeight="1">
      <c r="B568" s="61"/>
    </row>
    <row r="569" ht="15.75" customHeight="1">
      <c r="B569" s="61"/>
    </row>
    <row r="570" ht="15.75" customHeight="1">
      <c r="B570" s="61"/>
    </row>
    <row r="571" ht="15.75" customHeight="1">
      <c r="B571" s="61"/>
    </row>
    <row r="572" ht="15.75" customHeight="1">
      <c r="B572" s="61"/>
    </row>
    <row r="573" ht="15.75" customHeight="1">
      <c r="B573" s="61"/>
    </row>
    <row r="574" ht="15.75" customHeight="1">
      <c r="B574" s="61"/>
    </row>
    <row r="575" ht="15.75" customHeight="1">
      <c r="B575" s="61"/>
    </row>
    <row r="576" ht="15.75" customHeight="1">
      <c r="B576" s="61"/>
    </row>
    <row r="577" ht="15.75" customHeight="1">
      <c r="B577" s="61"/>
    </row>
    <row r="578" ht="15.75" customHeight="1">
      <c r="B578" s="61"/>
    </row>
    <row r="579" ht="15.75" customHeight="1">
      <c r="B579" s="61"/>
    </row>
    <row r="580" ht="15.75" customHeight="1">
      <c r="B580" s="61"/>
    </row>
    <row r="581" ht="15.75" customHeight="1">
      <c r="B581" s="61"/>
    </row>
    <row r="582" ht="15.75" customHeight="1">
      <c r="B582" s="61"/>
    </row>
    <row r="583" ht="15.75" customHeight="1">
      <c r="B583" s="61"/>
    </row>
    <row r="584" ht="15.75" customHeight="1">
      <c r="B584" s="61"/>
    </row>
    <row r="585" ht="15.75" customHeight="1">
      <c r="B585" s="61"/>
    </row>
    <row r="586" ht="15.75" customHeight="1">
      <c r="B586" s="61"/>
    </row>
    <row r="587" ht="15.75" customHeight="1">
      <c r="B587" s="61"/>
    </row>
    <row r="588" ht="15.75" customHeight="1">
      <c r="B588" s="61"/>
    </row>
    <row r="589" ht="15.75" customHeight="1">
      <c r="B589" s="61"/>
    </row>
    <row r="590" ht="15.75" customHeight="1">
      <c r="B590" s="61"/>
    </row>
    <row r="591" ht="15.75" customHeight="1">
      <c r="B591" s="61"/>
    </row>
    <row r="592" ht="15.75" customHeight="1">
      <c r="B592" s="61"/>
    </row>
    <row r="593" ht="15.75" customHeight="1">
      <c r="B593" s="61"/>
    </row>
    <row r="594" ht="15.75" customHeight="1">
      <c r="B594" s="61"/>
    </row>
    <row r="595" ht="15.75" customHeight="1">
      <c r="B595" s="61"/>
    </row>
    <row r="596" ht="15.75" customHeight="1">
      <c r="B596" s="61"/>
    </row>
    <row r="597" ht="15.75" customHeight="1">
      <c r="B597" s="61"/>
    </row>
    <row r="598" ht="15.75" customHeight="1">
      <c r="B598" s="61"/>
    </row>
    <row r="599" ht="15.75" customHeight="1">
      <c r="B599" s="61"/>
    </row>
    <row r="600" ht="15.75" customHeight="1">
      <c r="B600" s="61"/>
    </row>
    <row r="601" ht="15.75" customHeight="1">
      <c r="B601" s="61"/>
    </row>
    <row r="602" ht="15.75" customHeight="1">
      <c r="B602" s="61"/>
    </row>
    <row r="603" ht="15.75" customHeight="1">
      <c r="B603" s="61"/>
    </row>
    <row r="604" ht="15.75" customHeight="1">
      <c r="B604" s="61"/>
    </row>
    <row r="605" ht="15.75" customHeight="1">
      <c r="B605" s="61"/>
    </row>
    <row r="606" ht="15.75" customHeight="1">
      <c r="B606" s="61"/>
    </row>
    <row r="607" ht="15.75" customHeight="1">
      <c r="B607" s="61"/>
    </row>
    <row r="608" ht="15.75" customHeight="1">
      <c r="B608" s="61"/>
    </row>
    <row r="609" ht="15.75" customHeight="1">
      <c r="B609" s="61"/>
    </row>
    <row r="610" ht="15.75" customHeight="1">
      <c r="B610" s="61"/>
    </row>
    <row r="611" ht="15.75" customHeight="1">
      <c r="B611" s="61"/>
    </row>
    <row r="612" ht="15.75" customHeight="1">
      <c r="B612" s="61"/>
    </row>
    <row r="613" ht="15.75" customHeight="1">
      <c r="B613" s="61"/>
    </row>
    <row r="614" ht="15.75" customHeight="1">
      <c r="B614" s="61"/>
    </row>
    <row r="615" ht="15.75" customHeight="1">
      <c r="B615" s="61"/>
    </row>
    <row r="616" ht="15.75" customHeight="1">
      <c r="B616" s="61"/>
    </row>
    <row r="617" ht="15.75" customHeight="1">
      <c r="B617" s="61"/>
    </row>
    <row r="618" ht="15.75" customHeight="1">
      <c r="B618" s="61"/>
    </row>
    <row r="619" ht="15.75" customHeight="1">
      <c r="B619" s="61"/>
    </row>
    <row r="620" ht="15.75" customHeight="1">
      <c r="B620" s="61"/>
    </row>
    <row r="621" ht="15.75" customHeight="1">
      <c r="B621" s="61"/>
    </row>
    <row r="622" ht="15.75" customHeight="1">
      <c r="B622" s="61"/>
    </row>
    <row r="623" ht="15.75" customHeight="1">
      <c r="B623" s="61"/>
    </row>
    <row r="624" ht="15.75" customHeight="1">
      <c r="B624" s="61"/>
    </row>
    <row r="625" ht="15.75" customHeight="1">
      <c r="B625" s="61"/>
    </row>
    <row r="626" ht="15.75" customHeight="1">
      <c r="B626" s="61"/>
    </row>
    <row r="627" ht="15.75" customHeight="1">
      <c r="B627" s="61"/>
    </row>
    <row r="628" ht="15.75" customHeight="1">
      <c r="B628" s="61"/>
    </row>
    <row r="629" ht="15.75" customHeight="1">
      <c r="B629" s="61"/>
    </row>
    <row r="630" ht="15.75" customHeight="1">
      <c r="B630" s="61"/>
    </row>
    <row r="631" ht="15.75" customHeight="1">
      <c r="B631" s="61"/>
    </row>
    <row r="632" ht="15.75" customHeight="1">
      <c r="B632" s="61"/>
    </row>
    <row r="633" ht="15.75" customHeight="1">
      <c r="B633" s="61"/>
    </row>
    <row r="634" ht="15.75" customHeight="1">
      <c r="B634" s="61"/>
    </row>
    <row r="635" ht="15.75" customHeight="1">
      <c r="B635" s="61"/>
    </row>
    <row r="636" ht="15.75" customHeight="1">
      <c r="B636" s="61"/>
    </row>
    <row r="637" ht="15.75" customHeight="1">
      <c r="B637" s="61"/>
    </row>
    <row r="638" ht="15.75" customHeight="1">
      <c r="B638" s="61"/>
    </row>
    <row r="639" ht="15.75" customHeight="1">
      <c r="B639" s="61"/>
    </row>
    <row r="640" ht="15.75" customHeight="1">
      <c r="B640" s="61"/>
    </row>
    <row r="641" ht="15.75" customHeight="1">
      <c r="B641" s="61"/>
    </row>
    <row r="642" ht="15.75" customHeight="1">
      <c r="B642" s="61"/>
    </row>
    <row r="643" ht="15.75" customHeight="1">
      <c r="B643" s="61"/>
    </row>
    <row r="644" ht="15.75" customHeight="1">
      <c r="B644" s="61"/>
    </row>
    <row r="645" ht="15.75" customHeight="1">
      <c r="B645" s="61"/>
    </row>
    <row r="646" ht="15.75" customHeight="1">
      <c r="B646" s="61"/>
    </row>
    <row r="647" ht="15.75" customHeight="1">
      <c r="B647" s="61"/>
    </row>
    <row r="648" ht="15.75" customHeight="1">
      <c r="B648" s="61"/>
    </row>
    <row r="649" ht="15.75" customHeight="1">
      <c r="B649" s="61"/>
    </row>
    <row r="650" ht="15.75" customHeight="1">
      <c r="B650" s="61"/>
    </row>
    <row r="651" ht="15.75" customHeight="1">
      <c r="B651" s="61"/>
    </row>
    <row r="652" ht="15.75" customHeight="1">
      <c r="B652" s="61"/>
    </row>
    <row r="653" ht="15.75" customHeight="1">
      <c r="B653" s="61"/>
    </row>
    <row r="654" ht="15.75" customHeight="1">
      <c r="B654" s="61"/>
    </row>
    <row r="655" ht="15.75" customHeight="1">
      <c r="B655" s="61"/>
    </row>
    <row r="656" ht="15.75" customHeight="1">
      <c r="B656" s="61"/>
    </row>
    <row r="657" ht="15.75" customHeight="1">
      <c r="B657" s="61"/>
    </row>
    <row r="658" ht="15.75" customHeight="1">
      <c r="B658" s="61"/>
    </row>
    <row r="659" ht="15.75" customHeight="1">
      <c r="B659" s="61"/>
    </row>
    <row r="660" ht="15.75" customHeight="1">
      <c r="B660" s="61"/>
    </row>
    <row r="661" ht="15.75" customHeight="1">
      <c r="B661" s="61"/>
    </row>
    <row r="662" ht="15.75" customHeight="1">
      <c r="B662" s="61"/>
    </row>
    <row r="663" ht="15.75" customHeight="1">
      <c r="B663" s="61"/>
    </row>
    <row r="664" ht="15.75" customHeight="1">
      <c r="B664" s="61"/>
    </row>
    <row r="665" ht="15.75" customHeight="1">
      <c r="B665" s="61"/>
    </row>
    <row r="666" ht="15.75" customHeight="1">
      <c r="B666" s="61"/>
    </row>
    <row r="667" ht="15.75" customHeight="1">
      <c r="B667" s="61"/>
    </row>
    <row r="668" ht="15.75" customHeight="1">
      <c r="B668" s="61"/>
    </row>
    <row r="669" ht="15.75" customHeight="1">
      <c r="B669" s="61"/>
    </row>
    <row r="670" ht="15.75" customHeight="1">
      <c r="B670" s="61"/>
    </row>
    <row r="671" ht="15.75" customHeight="1">
      <c r="B671" s="61"/>
    </row>
    <row r="672" ht="15.75" customHeight="1">
      <c r="B672" s="61"/>
    </row>
    <row r="673" ht="15.75" customHeight="1">
      <c r="B673" s="61"/>
    </row>
    <row r="674" ht="15.75" customHeight="1">
      <c r="B674" s="61"/>
    </row>
    <row r="675" ht="15.75" customHeight="1">
      <c r="B675" s="61"/>
    </row>
    <row r="676" ht="15.75" customHeight="1">
      <c r="B676" s="61"/>
    </row>
    <row r="677" ht="15.75" customHeight="1">
      <c r="B677" s="61"/>
    </row>
    <row r="678" ht="15.75" customHeight="1">
      <c r="B678" s="61"/>
    </row>
    <row r="679" ht="15.75" customHeight="1">
      <c r="B679" s="61"/>
    </row>
    <row r="680" ht="15.75" customHeight="1">
      <c r="B680" s="61"/>
    </row>
    <row r="681" ht="15.75" customHeight="1">
      <c r="B681" s="61"/>
    </row>
    <row r="682" ht="15.75" customHeight="1">
      <c r="B682" s="61"/>
    </row>
    <row r="683" ht="15.75" customHeight="1">
      <c r="B683" s="61"/>
    </row>
    <row r="684" ht="15.75" customHeight="1">
      <c r="B684" s="61"/>
    </row>
    <row r="685" ht="15.75" customHeight="1">
      <c r="B685" s="61"/>
    </row>
    <row r="686" ht="15.75" customHeight="1">
      <c r="B686" s="61"/>
    </row>
    <row r="687" ht="15.75" customHeight="1">
      <c r="B687" s="61"/>
    </row>
    <row r="688" ht="15.75" customHeight="1">
      <c r="B688" s="61"/>
    </row>
    <row r="689" ht="15.75" customHeight="1">
      <c r="B689" s="61"/>
    </row>
    <row r="690" ht="15.75" customHeight="1">
      <c r="B690" s="61"/>
    </row>
    <row r="691" ht="15.75" customHeight="1">
      <c r="B691" s="61"/>
    </row>
    <row r="692" ht="15.75" customHeight="1">
      <c r="B692" s="61"/>
    </row>
    <row r="693" ht="15.75" customHeight="1">
      <c r="B693" s="61"/>
    </row>
    <row r="694" ht="15.75" customHeight="1">
      <c r="B694" s="61"/>
    </row>
    <row r="695" ht="15.75" customHeight="1">
      <c r="B695" s="61"/>
    </row>
    <row r="696" ht="15.75" customHeight="1">
      <c r="B696" s="61"/>
    </row>
    <row r="697" ht="15.75" customHeight="1">
      <c r="B697" s="61"/>
    </row>
    <row r="698" ht="15.75" customHeight="1">
      <c r="B698" s="61"/>
    </row>
    <row r="699" ht="15.75" customHeight="1">
      <c r="B699" s="61"/>
    </row>
    <row r="700" ht="15.75" customHeight="1">
      <c r="B700" s="61"/>
    </row>
    <row r="701" ht="15.75" customHeight="1">
      <c r="B701" s="61"/>
    </row>
    <row r="702" ht="15.75" customHeight="1">
      <c r="B702" s="61"/>
    </row>
    <row r="703" ht="15.75" customHeight="1">
      <c r="B703" s="61"/>
    </row>
    <row r="704" ht="15.75" customHeight="1">
      <c r="B704" s="61"/>
    </row>
    <row r="705" ht="15.75" customHeight="1">
      <c r="B705" s="61"/>
    </row>
    <row r="706" ht="15.75" customHeight="1">
      <c r="B706" s="61"/>
    </row>
    <row r="707" ht="15.75" customHeight="1">
      <c r="B707" s="61"/>
    </row>
    <row r="708" ht="15.75" customHeight="1">
      <c r="B708" s="61"/>
    </row>
    <row r="709" ht="15.75" customHeight="1">
      <c r="B709" s="61"/>
    </row>
    <row r="710" ht="15.75" customHeight="1">
      <c r="B710" s="61"/>
    </row>
    <row r="711" ht="15.75" customHeight="1">
      <c r="B711" s="61"/>
    </row>
    <row r="712" ht="15.75" customHeight="1">
      <c r="B712" s="61"/>
    </row>
    <row r="713" ht="15.75" customHeight="1">
      <c r="B713" s="61"/>
    </row>
    <row r="714" ht="15.75" customHeight="1">
      <c r="B714" s="61"/>
    </row>
    <row r="715" ht="15.75" customHeight="1">
      <c r="B715" s="61"/>
    </row>
    <row r="716" ht="15.75" customHeight="1">
      <c r="B716" s="61"/>
    </row>
    <row r="717" ht="15.75" customHeight="1">
      <c r="B717" s="61"/>
    </row>
    <row r="718" ht="15.75" customHeight="1">
      <c r="B718" s="61"/>
    </row>
    <row r="719" ht="15.75" customHeight="1">
      <c r="B719" s="61"/>
    </row>
    <row r="720" ht="15.75" customHeight="1">
      <c r="B720" s="61"/>
    </row>
    <row r="721" ht="15.75" customHeight="1">
      <c r="B721" s="61"/>
    </row>
    <row r="722" ht="15.75" customHeight="1">
      <c r="B722" s="61"/>
    </row>
    <row r="723" ht="15.75" customHeight="1">
      <c r="B723" s="61"/>
    </row>
    <row r="724" ht="15.75" customHeight="1">
      <c r="B724" s="61"/>
    </row>
    <row r="725" ht="15.75" customHeight="1">
      <c r="B725" s="61"/>
    </row>
    <row r="726" ht="15.75" customHeight="1">
      <c r="B726" s="61"/>
    </row>
    <row r="727" ht="15.75" customHeight="1">
      <c r="B727" s="61"/>
    </row>
    <row r="728" ht="15.75" customHeight="1">
      <c r="B728" s="61"/>
    </row>
    <row r="729" ht="15.75" customHeight="1">
      <c r="B729" s="61"/>
    </row>
    <row r="730" ht="15.75" customHeight="1">
      <c r="B730" s="61"/>
    </row>
    <row r="731" ht="15.75" customHeight="1">
      <c r="B731" s="61"/>
    </row>
    <row r="732" ht="15.75" customHeight="1">
      <c r="B732" s="61"/>
    </row>
    <row r="733" ht="15.75" customHeight="1">
      <c r="B733" s="61"/>
    </row>
    <row r="734" ht="15.75" customHeight="1">
      <c r="B734" s="61"/>
    </row>
    <row r="735" ht="15.75" customHeight="1">
      <c r="B735" s="61"/>
    </row>
    <row r="736" ht="15.75" customHeight="1">
      <c r="B736" s="61"/>
    </row>
    <row r="737" ht="15.75" customHeight="1">
      <c r="B737" s="61"/>
    </row>
    <row r="738" ht="15.75" customHeight="1">
      <c r="B738" s="61"/>
    </row>
    <row r="739" ht="15.75" customHeight="1">
      <c r="B739" s="61"/>
    </row>
    <row r="740" ht="15.75" customHeight="1">
      <c r="B740" s="61"/>
    </row>
    <row r="741" ht="15.75" customHeight="1">
      <c r="B741" s="61"/>
    </row>
    <row r="742" ht="15.75" customHeight="1">
      <c r="B742" s="61"/>
    </row>
    <row r="743" ht="15.75" customHeight="1">
      <c r="B743" s="61"/>
    </row>
    <row r="744" ht="15.75" customHeight="1">
      <c r="B744" s="61"/>
    </row>
    <row r="745" ht="15.75" customHeight="1">
      <c r="B745" s="61"/>
    </row>
    <row r="746" ht="15.75" customHeight="1">
      <c r="B746" s="61"/>
    </row>
    <row r="747" ht="15.75" customHeight="1">
      <c r="B747" s="61"/>
    </row>
    <row r="748" ht="15.75" customHeight="1">
      <c r="B748" s="61"/>
    </row>
    <row r="749" ht="15.75" customHeight="1">
      <c r="B749" s="61"/>
    </row>
    <row r="750" ht="15.75" customHeight="1">
      <c r="B750" s="61"/>
    </row>
    <row r="751" ht="15.75" customHeight="1">
      <c r="B751" s="61"/>
    </row>
    <row r="752" ht="15.75" customHeight="1">
      <c r="B752" s="61"/>
    </row>
    <row r="753" ht="15.75" customHeight="1">
      <c r="B753" s="61"/>
    </row>
    <row r="754" ht="15.75" customHeight="1">
      <c r="B754" s="61"/>
    </row>
    <row r="755" ht="15.75" customHeight="1">
      <c r="B755" s="61"/>
    </row>
    <row r="756" ht="15.75" customHeight="1">
      <c r="B756" s="61"/>
    </row>
    <row r="757" ht="15.75" customHeight="1">
      <c r="B757" s="61"/>
    </row>
    <row r="758" ht="15.75" customHeight="1">
      <c r="B758" s="61"/>
    </row>
    <row r="759" ht="15.75" customHeight="1">
      <c r="B759" s="61"/>
    </row>
    <row r="760" ht="15.75" customHeight="1">
      <c r="B760" s="61"/>
    </row>
    <row r="761" ht="15.75" customHeight="1">
      <c r="B761" s="61"/>
    </row>
    <row r="762" ht="15.75" customHeight="1">
      <c r="B762" s="61"/>
    </row>
    <row r="763" ht="15.75" customHeight="1">
      <c r="B763" s="61"/>
    </row>
    <row r="764" ht="15.75" customHeight="1">
      <c r="B764" s="61"/>
    </row>
    <row r="765" ht="15.75" customHeight="1">
      <c r="B765" s="61"/>
    </row>
    <row r="766" ht="15.75" customHeight="1">
      <c r="B766" s="61"/>
    </row>
    <row r="767" ht="15.75" customHeight="1">
      <c r="B767" s="61"/>
    </row>
    <row r="768" ht="15.75" customHeight="1">
      <c r="B768" s="61"/>
    </row>
    <row r="769" ht="15.75" customHeight="1">
      <c r="B769" s="61"/>
    </row>
    <row r="770" ht="15.75" customHeight="1">
      <c r="B770" s="61"/>
    </row>
    <row r="771" ht="15.75" customHeight="1">
      <c r="B771" s="61"/>
    </row>
    <row r="772" ht="15.75" customHeight="1">
      <c r="B772" s="61"/>
    </row>
    <row r="773" ht="15.75" customHeight="1">
      <c r="B773" s="61"/>
    </row>
    <row r="774" ht="15.75" customHeight="1">
      <c r="B774" s="61"/>
    </row>
    <row r="775" ht="15.75" customHeight="1">
      <c r="B775" s="61"/>
    </row>
    <row r="776" ht="15.75" customHeight="1">
      <c r="B776" s="61"/>
    </row>
    <row r="777" ht="15.75" customHeight="1">
      <c r="B777" s="61"/>
    </row>
    <row r="778" ht="15.75" customHeight="1">
      <c r="B778" s="61"/>
    </row>
    <row r="779" ht="15.75" customHeight="1">
      <c r="B779" s="61"/>
    </row>
    <row r="780" ht="15.75" customHeight="1">
      <c r="B780" s="61"/>
    </row>
    <row r="781" ht="15.75" customHeight="1">
      <c r="B781" s="61"/>
    </row>
    <row r="782" ht="15.75" customHeight="1">
      <c r="B782" s="61"/>
    </row>
    <row r="783" ht="15.75" customHeight="1">
      <c r="B783" s="61"/>
    </row>
    <row r="784" ht="15.75" customHeight="1">
      <c r="B784" s="61"/>
    </row>
    <row r="785" ht="15.75" customHeight="1">
      <c r="B785" s="61"/>
    </row>
    <row r="786" ht="15.75" customHeight="1">
      <c r="B786" s="61"/>
    </row>
    <row r="787" ht="15.75" customHeight="1">
      <c r="B787" s="61"/>
    </row>
    <row r="788" ht="15.75" customHeight="1">
      <c r="B788" s="61"/>
    </row>
    <row r="789" ht="15.75" customHeight="1">
      <c r="B789" s="61"/>
    </row>
    <row r="790" ht="15.75" customHeight="1">
      <c r="B790" s="61"/>
    </row>
    <row r="791" ht="15.75" customHeight="1">
      <c r="B791" s="61"/>
    </row>
    <row r="792" ht="15.75" customHeight="1">
      <c r="B792" s="61"/>
    </row>
    <row r="793" ht="15.75" customHeight="1">
      <c r="B793" s="61"/>
    </row>
    <row r="794" ht="15.75" customHeight="1">
      <c r="B794" s="61"/>
    </row>
    <row r="795" ht="15.75" customHeight="1">
      <c r="B795" s="61"/>
    </row>
    <row r="796" ht="15.75" customHeight="1">
      <c r="B796" s="61"/>
    </row>
    <row r="797" ht="15.75" customHeight="1">
      <c r="B797" s="61"/>
    </row>
    <row r="798" ht="15.75" customHeight="1">
      <c r="B798" s="61"/>
    </row>
    <row r="799" ht="15.75" customHeight="1">
      <c r="B799" s="61"/>
    </row>
    <row r="800" ht="15.75" customHeight="1">
      <c r="B800" s="61"/>
    </row>
    <row r="801" ht="15.75" customHeight="1">
      <c r="B801" s="61"/>
    </row>
    <row r="802" ht="15.75" customHeight="1">
      <c r="B802" s="61"/>
    </row>
    <row r="803" ht="15.75" customHeight="1">
      <c r="B803" s="61"/>
    </row>
    <row r="804" ht="15.75" customHeight="1">
      <c r="B804" s="61"/>
    </row>
    <row r="805" ht="15.75" customHeight="1">
      <c r="B805" s="61"/>
    </row>
    <row r="806" ht="15.75" customHeight="1">
      <c r="B806" s="61"/>
    </row>
    <row r="807" ht="15.75" customHeight="1">
      <c r="B807" s="61"/>
    </row>
    <row r="808" ht="15.75" customHeight="1">
      <c r="B808" s="61"/>
    </row>
    <row r="809" ht="15.75" customHeight="1">
      <c r="B809" s="61"/>
    </row>
    <row r="810" ht="15.75" customHeight="1">
      <c r="B810" s="61"/>
    </row>
    <row r="811" ht="15.75" customHeight="1">
      <c r="B811" s="61"/>
    </row>
    <row r="812" ht="15.75" customHeight="1">
      <c r="B812" s="61"/>
    </row>
    <row r="813" ht="15.75" customHeight="1">
      <c r="B813" s="61"/>
    </row>
    <row r="814" ht="15.75" customHeight="1">
      <c r="B814" s="61"/>
    </row>
    <row r="815" ht="15.75" customHeight="1">
      <c r="B815" s="61"/>
    </row>
    <row r="816" ht="15.75" customHeight="1">
      <c r="B816" s="61"/>
    </row>
    <row r="817" ht="15.75" customHeight="1">
      <c r="B817" s="61"/>
    </row>
    <row r="818" ht="15.75" customHeight="1">
      <c r="B818" s="61"/>
    </row>
    <row r="819" ht="15.75" customHeight="1">
      <c r="B819" s="61"/>
    </row>
    <row r="820" ht="15.75" customHeight="1">
      <c r="B820" s="61"/>
    </row>
    <row r="821" ht="15.75" customHeight="1">
      <c r="B821" s="61"/>
    </row>
    <row r="822" ht="15.75" customHeight="1">
      <c r="B822" s="61"/>
    </row>
    <row r="823" ht="15.75" customHeight="1">
      <c r="B823" s="61"/>
    </row>
    <row r="824" ht="15.75" customHeight="1">
      <c r="B824" s="61"/>
    </row>
    <row r="825" ht="15.75" customHeight="1">
      <c r="B825" s="61"/>
    </row>
    <row r="826" ht="15.75" customHeight="1">
      <c r="B826" s="61"/>
    </row>
    <row r="827" ht="15.75" customHeight="1">
      <c r="B827" s="61"/>
    </row>
    <row r="828" ht="15.75" customHeight="1">
      <c r="B828" s="61"/>
    </row>
    <row r="829" ht="15.75" customHeight="1">
      <c r="B829" s="61"/>
    </row>
    <row r="830" ht="15.75" customHeight="1">
      <c r="B830" s="61"/>
    </row>
    <row r="831" ht="15.75" customHeight="1">
      <c r="B831" s="61"/>
    </row>
    <row r="832" ht="15.75" customHeight="1">
      <c r="B832" s="61"/>
    </row>
    <row r="833" ht="15.75" customHeight="1">
      <c r="B833" s="61"/>
    </row>
    <row r="834" ht="15.75" customHeight="1">
      <c r="B834" s="61"/>
    </row>
    <row r="835" ht="15.75" customHeight="1">
      <c r="B835" s="61"/>
    </row>
    <row r="836" ht="15.75" customHeight="1">
      <c r="B836" s="61"/>
    </row>
    <row r="837" ht="15.75" customHeight="1">
      <c r="B837" s="61"/>
    </row>
    <row r="838" ht="15.75" customHeight="1">
      <c r="B838" s="61"/>
    </row>
    <row r="839" ht="15.75" customHeight="1">
      <c r="B839" s="61"/>
    </row>
    <row r="840" ht="15.75" customHeight="1">
      <c r="B840" s="61"/>
    </row>
    <row r="841" ht="15.75" customHeight="1">
      <c r="B841" s="61"/>
    </row>
    <row r="842" ht="15.75" customHeight="1">
      <c r="B842" s="61"/>
    </row>
    <row r="843" ht="15.75" customHeight="1">
      <c r="B843" s="61"/>
    </row>
    <row r="844" ht="15.75" customHeight="1">
      <c r="B844" s="61"/>
    </row>
    <row r="845" ht="15.75" customHeight="1">
      <c r="B845" s="61"/>
    </row>
    <row r="846" ht="15.75" customHeight="1">
      <c r="B846" s="61"/>
    </row>
    <row r="847" ht="15.75" customHeight="1">
      <c r="B847" s="61"/>
    </row>
    <row r="848" ht="15.75" customHeight="1">
      <c r="B848" s="61"/>
    </row>
    <row r="849" ht="15.75" customHeight="1">
      <c r="B849" s="61"/>
    </row>
    <row r="850" ht="15.75" customHeight="1">
      <c r="B850" s="61"/>
    </row>
    <row r="851" ht="15.75" customHeight="1">
      <c r="B851" s="61"/>
    </row>
    <row r="852" ht="15.75" customHeight="1">
      <c r="B852" s="61"/>
    </row>
    <row r="853" ht="15.75" customHeight="1">
      <c r="B853" s="61"/>
    </row>
    <row r="854" ht="15.75" customHeight="1">
      <c r="B854" s="61"/>
    </row>
    <row r="855" ht="15.75" customHeight="1">
      <c r="B855" s="61"/>
    </row>
    <row r="856" ht="15.75" customHeight="1">
      <c r="B856" s="61"/>
    </row>
    <row r="857" ht="15.75" customHeight="1">
      <c r="B857" s="61"/>
    </row>
    <row r="858" ht="15.75" customHeight="1">
      <c r="B858" s="61"/>
    </row>
    <row r="859" ht="15.75" customHeight="1">
      <c r="B859" s="61"/>
    </row>
    <row r="860" ht="15.75" customHeight="1">
      <c r="B860" s="61"/>
    </row>
    <row r="861" ht="15.75" customHeight="1">
      <c r="B861" s="61"/>
    </row>
    <row r="862" ht="15.75" customHeight="1">
      <c r="B862" s="61"/>
    </row>
    <row r="863" ht="15.75" customHeight="1">
      <c r="B863" s="61"/>
    </row>
    <row r="864" ht="15.75" customHeight="1">
      <c r="B864" s="61"/>
    </row>
    <row r="865" ht="15.75" customHeight="1">
      <c r="B865" s="61"/>
    </row>
    <row r="866" ht="15.75" customHeight="1">
      <c r="B866" s="61"/>
    </row>
    <row r="867" ht="15.75" customHeight="1">
      <c r="B867" s="61"/>
    </row>
    <row r="868" ht="15.75" customHeight="1">
      <c r="B868" s="61"/>
    </row>
    <row r="869" ht="15.75" customHeight="1">
      <c r="B869" s="61"/>
    </row>
    <row r="870" ht="15.75" customHeight="1">
      <c r="B870" s="61"/>
    </row>
    <row r="871" ht="15.75" customHeight="1">
      <c r="B871" s="61"/>
    </row>
    <row r="872" ht="15.75" customHeight="1">
      <c r="B872" s="61"/>
    </row>
    <row r="873" ht="15.75" customHeight="1">
      <c r="B873" s="61"/>
    </row>
    <row r="874" ht="15.75" customHeight="1">
      <c r="B874" s="61"/>
    </row>
    <row r="875" ht="15.75" customHeight="1">
      <c r="B875" s="61"/>
    </row>
    <row r="876" ht="15.75" customHeight="1">
      <c r="B876" s="61"/>
    </row>
    <row r="877" ht="15.75" customHeight="1">
      <c r="B877" s="61"/>
    </row>
    <row r="878" ht="15.75" customHeight="1">
      <c r="B878" s="61"/>
    </row>
    <row r="879" ht="15.75" customHeight="1">
      <c r="B879" s="61"/>
    </row>
    <row r="880" ht="15.75" customHeight="1">
      <c r="B880" s="61"/>
    </row>
    <row r="881" ht="15.75" customHeight="1">
      <c r="B881" s="61"/>
    </row>
    <row r="882" ht="15.75" customHeight="1">
      <c r="B882" s="61"/>
    </row>
    <row r="883" ht="15.75" customHeight="1">
      <c r="B883" s="61"/>
    </row>
    <row r="884" ht="15.75" customHeight="1">
      <c r="B884" s="61"/>
    </row>
    <row r="885" ht="15.75" customHeight="1">
      <c r="B885" s="61"/>
    </row>
    <row r="886" ht="15.75" customHeight="1">
      <c r="B886" s="61"/>
    </row>
    <row r="887" ht="15.75" customHeight="1">
      <c r="B887" s="61"/>
    </row>
    <row r="888" ht="15.75" customHeight="1">
      <c r="B888" s="61"/>
    </row>
    <row r="889" ht="15.75" customHeight="1">
      <c r="B889" s="61"/>
    </row>
    <row r="890" ht="15.75" customHeight="1">
      <c r="B890" s="61"/>
    </row>
    <row r="891" ht="15.75" customHeight="1">
      <c r="B891" s="61"/>
    </row>
    <row r="892" ht="15.75" customHeight="1">
      <c r="B892" s="61"/>
    </row>
    <row r="893" ht="15.75" customHeight="1">
      <c r="B893" s="61"/>
    </row>
    <row r="894" ht="15.75" customHeight="1">
      <c r="B894" s="61"/>
    </row>
    <row r="895" ht="15.75" customHeight="1">
      <c r="B895" s="61"/>
    </row>
    <row r="896" ht="15.75" customHeight="1">
      <c r="B896" s="61"/>
    </row>
    <row r="897" ht="15.75" customHeight="1">
      <c r="B897" s="61"/>
    </row>
    <row r="898" ht="15.75" customHeight="1">
      <c r="B898" s="61"/>
    </row>
    <row r="899" ht="15.75" customHeight="1">
      <c r="B899" s="61"/>
    </row>
    <row r="900" ht="15.75" customHeight="1">
      <c r="B900" s="61"/>
    </row>
    <row r="901" ht="15.75" customHeight="1">
      <c r="B901" s="61"/>
    </row>
    <row r="902" ht="15.75" customHeight="1">
      <c r="B902" s="61"/>
    </row>
    <row r="903" ht="15.75" customHeight="1">
      <c r="B903" s="61"/>
    </row>
    <row r="904" ht="15.75" customHeight="1">
      <c r="B904" s="61"/>
    </row>
    <row r="905" ht="15.75" customHeight="1">
      <c r="B905" s="61"/>
    </row>
    <row r="906" ht="15.75" customHeight="1">
      <c r="B906" s="61"/>
    </row>
    <row r="907" ht="15.75" customHeight="1">
      <c r="B907" s="61"/>
    </row>
    <row r="908" ht="15.75" customHeight="1">
      <c r="B908" s="61"/>
    </row>
    <row r="909" ht="15.75" customHeight="1">
      <c r="B909" s="61"/>
    </row>
    <row r="910" ht="15.75" customHeight="1">
      <c r="B910" s="61"/>
    </row>
    <row r="911" ht="15.75" customHeight="1">
      <c r="B911" s="61"/>
    </row>
    <row r="912" ht="15.75" customHeight="1">
      <c r="B912" s="61"/>
    </row>
    <row r="913" ht="15.75" customHeight="1">
      <c r="B913" s="61"/>
    </row>
    <row r="914" ht="15.75" customHeight="1">
      <c r="B914" s="61"/>
    </row>
    <row r="915" ht="15.75" customHeight="1">
      <c r="B915" s="61"/>
    </row>
    <row r="916" ht="15.75" customHeight="1">
      <c r="B916" s="61"/>
    </row>
    <row r="917" ht="15.75" customHeight="1">
      <c r="B917" s="61"/>
    </row>
    <row r="918" ht="15.75" customHeight="1">
      <c r="B918" s="61"/>
    </row>
    <row r="919" ht="15.75" customHeight="1">
      <c r="B919" s="61"/>
    </row>
    <row r="920" ht="15.75" customHeight="1">
      <c r="B920" s="61"/>
    </row>
    <row r="921" ht="15.75" customHeight="1">
      <c r="B921" s="61"/>
    </row>
    <row r="922" ht="15.75" customHeight="1">
      <c r="B922" s="61"/>
    </row>
    <row r="923" ht="15.75" customHeight="1">
      <c r="B923" s="61"/>
    </row>
    <row r="924" ht="15.75" customHeight="1">
      <c r="B924" s="61"/>
    </row>
    <row r="925" ht="15.75" customHeight="1">
      <c r="B925" s="61"/>
    </row>
    <row r="926" ht="15.75" customHeight="1">
      <c r="B926" s="61"/>
    </row>
    <row r="927" ht="15.75" customHeight="1">
      <c r="B927" s="61"/>
    </row>
    <row r="928" ht="15.75" customHeight="1">
      <c r="B928" s="61"/>
    </row>
    <row r="929" ht="15.75" customHeight="1">
      <c r="B929" s="61"/>
    </row>
    <row r="930" ht="15.75" customHeight="1">
      <c r="B930" s="61"/>
    </row>
    <row r="931" ht="15.75" customHeight="1">
      <c r="B931" s="61"/>
    </row>
    <row r="932" ht="15.75" customHeight="1">
      <c r="B932" s="61"/>
    </row>
    <row r="933" ht="15.75" customHeight="1">
      <c r="B933" s="61"/>
    </row>
    <row r="934" ht="15.75" customHeight="1">
      <c r="B934" s="61"/>
    </row>
    <row r="935" ht="15.75" customHeight="1">
      <c r="B935" s="61"/>
    </row>
    <row r="936" ht="15.75" customHeight="1">
      <c r="B936" s="61"/>
    </row>
    <row r="937" ht="15.75" customHeight="1">
      <c r="B937" s="61"/>
    </row>
    <row r="938" ht="15.75" customHeight="1">
      <c r="B938" s="61"/>
    </row>
    <row r="939" ht="15.75" customHeight="1">
      <c r="B939" s="61"/>
    </row>
    <row r="940" ht="15.75" customHeight="1">
      <c r="B940" s="61"/>
    </row>
    <row r="941" ht="15.75" customHeight="1">
      <c r="B941" s="61"/>
    </row>
    <row r="942" ht="15.75" customHeight="1">
      <c r="B942" s="61"/>
    </row>
    <row r="943" ht="15.75" customHeight="1">
      <c r="B943" s="61"/>
    </row>
    <row r="944" ht="15.75" customHeight="1">
      <c r="B944" s="61"/>
    </row>
    <row r="945" ht="15.75" customHeight="1">
      <c r="B945" s="61"/>
    </row>
    <row r="946" ht="15.75" customHeight="1">
      <c r="B946" s="61"/>
    </row>
    <row r="947" ht="15.75" customHeight="1">
      <c r="B947" s="61"/>
    </row>
    <row r="948" ht="15.75" customHeight="1">
      <c r="B948" s="61"/>
    </row>
    <row r="949" ht="15.75" customHeight="1">
      <c r="B949" s="61"/>
    </row>
    <row r="950" ht="15.75" customHeight="1">
      <c r="B950" s="61"/>
    </row>
    <row r="951" ht="15.75" customHeight="1">
      <c r="B951" s="61"/>
    </row>
    <row r="952" ht="15.75" customHeight="1">
      <c r="B952" s="61"/>
    </row>
    <row r="953" ht="15.75" customHeight="1">
      <c r="B953" s="61"/>
    </row>
    <row r="954" ht="15.75" customHeight="1">
      <c r="B954" s="61"/>
    </row>
    <row r="955" ht="15.75" customHeight="1">
      <c r="B955" s="61"/>
    </row>
    <row r="956" ht="15.75" customHeight="1">
      <c r="B956" s="61"/>
    </row>
    <row r="957" ht="15.75" customHeight="1">
      <c r="B957" s="61"/>
    </row>
    <row r="958" ht="15.75" customHeight="1">
      <c r="B958" s="61"/>
    </row>
    <row r="959" ht="15.75" customHeight="1">
      <c r="B959" s="61"/>
    </row>
    <row r="960" ht="15.75" customHeight="1">
      <c r="B960" s="61"/>
    </row>
    <row r="961" ht="15.75" customHeight="1">
      <c r="B961" s="61"/>
    </row>
    <row r="962" ht="15.75" customHeight="1">
      <c r="B962" s="61"/>
    </row>
    <row r="963" ht="15.75" customHeight="1">
      <c r="B963" s="61"/>
    </row>
    <row r="964" ht="15.75" customHeight="1">
      <c r="B964" s="61"/>
    </row>
    <row r="965" ht="15.75" customHeight="1">
      <c r="B965" s="61"/>
    </row>
    <row r="966" ht="15.75" customHeight="1">
      <c r="B966" s="61"/>
    </row>
    <row r="967" ht="15.75" customHeight="1">
      <c r="B967" s="61"/>
    </row>
    <row r="968" ht="15.75" customHeight="1">
      <c r="B968" s="61"/>
    </row>
    <row r="969" ht="15.75" customHeight="1">
      <c r="B969" s="61"/>
    </row>
    <row r="970" ht="15.75" customHeight="1">
      <c r="B970" s="61"/>
    </row>
    <row r="971" ht="15.75" customHeight="1">
      <c r="B971" s="61"/>
    </row>
    <row r="972" ht="15.75" customHeight="1">
      <c r="B972" s="61"/>
    </row>
    <row r="973" ht="15.75" customHeight="1">
      <c r="B973" s="61"/>
    </row>
    <row r="974" ht="15.75" customHeight="1">
      <c r="B974" s="61"/>
    </row>
    <row r="975" ht="15.75" customHeight="1">
      <c r="B975" s="61"/>
    </row>
    <row r="976" ht="15.75" customHeight="1">
      <c r="B976" s="61"/>
    </row>
    <row r="977" ht="15.75" customHeight="1">
      <c r="B977" s="61"/>
    </row>
    <row r="978" ht="15.75" customHeight="1">
      <c r="B978" s="61"/>
    </row>
    <row r="979" ht="15.75" customHeight="1">
      <c r="B979" s="61"/>
    </row>
    <row r="980" ht="15.75" customHeight="1">
      <c r="B980" s="61"/>
    </row>
    <row r="981" ht="15.75" customHeight="1">
      <c r="B981" s="61"/>
    </row>
    <row r="982" ht="15.75" customHeight="1">
      <c r="B982" s="61"/>
    </row>
    <row r="983" ht="15.75" customHeight="1">
      <c r="B983" s="61"/>
    </row>
    <row r="984" ht="15.75" customHeight="1">
      <c r="B984" s="61"/>
    </row>
    <row r="985" ht="15.75" customHeight="1">
      <c r="B985" s="61"/>
    </row>
    <row r="986" ht="15.75" customHeight="1">
      <c r="B986" s="61"/>
    </row>
    <row r="987" ht="15.75" customHeight="1">
      <c r="B987" s="61"/>
    </row>
    <row r="988" ht="15.75" customHeight="1">
      <c r="B988" s="61"/>
    </row>
    <row r="989" ht="15.75" customHeight="1">
      <c r="B989" s="61"/>
    </row>
    <row r="990" ht="15.75" customHeight="1">
      <c r="B990" s="61"/>
    </row>
    <row r="991" ht="15.75" customHeight="1">
      <c r="B991" s="61"/>
    </row>
    <row r="992" ht="15.75" customHeight="1">
      <c r="B992" s="61"/>
    </row>
    <row r="993" ht="15.75" customHeight="1">
      <c r="B993" s="61"/>
    </row>
    <row r="994" ht="15.75" customHeight="1">
      <c r="B994" s="61"/>
    </row>
    <row r="995" ht="15.75" customHeight="1">
      <c r="B995" s="61"/>
    </row>
    <row r="996" ht="15.75" customHeight="1">
      <c r="B996" s="61"/>
    </row>
    <row r="997" ht="15.75" customHeight="1">
      <c r="B997" s="61"/>
    </row>
    <row r="998" ht="15.75" customHeight="1">
      <c r="B998" s="61"/>
    </row>
    <row r="999" ht="15.75" customHeight="1">
      <c r="B999" s="61"/>
    </row>
    <row r="1000" ht="15.75" customHeight="1">
      <c r="B1000" s="61"/>
    </row>
  </sheetData>
  <mergeCells count="10">
    <mergeCell ref="Z5:AA5"/>
    <mergeCell ref="Z16:AA16"/>
    <mergeCell ref="AC16:AD16"/>
    <mergeCell ref="C4:G6"/>
    <mergeCell ref="I4:M6"/>
    <mergeCell ref="Q5:R5"/>
    <mergeCell ref="T5:U5"/>
    <mergeCell ref="AC5:AD5"/>
    <mergeCell ref="C7:G7"/>
    <mergeCell ref="I7:M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13.0"/>
    <col customWidth="1" min="3" max="3" width="11.11"/>
    <col customWidth="1" min="4" max="4" width="19.33"/>
    <col customWidth="1" min="5" max="5" width="19.0"/>
    <col customWidth="1" min="6" max="6" width="23.33"/>
    <col customWidth="1" min="7" max="7" width="12.78"/>
    <col customWidth="1" min="8" max="8" width="13.33"/>
    <col customWidth="1" min="9" max="9" width="15.44"/>
    <col customWidth="1" min="10" max="10" width="20.0"/>
    <col customWidth="1" min="11" max="11" width="17.67"/>
    <col customWidth="1" min="12" max="12" width="21.44"/>
    <col customWidth="1" min="13" max="13" width="12.78"/>
    <col customWidth="1" min="14" max="14" width="13.33"/>
    <col customWidth="1" min="15" max="15" width="13.0"/>
    <col customWidth="1" min="16" max="16" width="10.56"/>
    <col customWidth="1" min="17" max="17" width="13.67"/>
    <col customWidth="1" min="18" max="18" width="15.78"/>
    <col customWidth="1" min="19" max="19" width="15.44"/>
    <col customWidth="1" min="20" max="20" width="16.0"/>
    <col customWidth="1" min="21" max="21" width="15.44"/>
    <col customWidth="1" min="22" max="22" width="11.11"/>
    <col customWidth="1" min="23" max="23" width="10.56"/>
    <col customWidth="1" min="24" max="25" width="13.0"/>
    <col customWidth="1" min="26" max="26" width="13.78"/>
    <col customWidth="1" min="27" max="28" width="13.0"/>
    <col customWidth="1" min="29" max="29" width="14.11"/>
    <col customWidth="1" min="30" max="30" width="13.44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Q5" s="46" t="s">
        <v>207</v>
      </c>
      <c r="R5" s="6"/>
      <c r="T5" s="46" t="s">
        <v>208</v>
      </c>
      <c r="U5" s="6"/>
      <c r="Y5" s="46" t="s">
        <v>207</v>
      </c>
      <c r="Z5" s="6"/>
      <c r="AB5" s="46" t="s">
        <v>208</v>
      </c>
      <c r="AC5" s="6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Q6" s="261">
        <v>45536.0</v>
      </c>
      <c r="R6" s="261">
        <v>45566.0</v>
      </c>
      <c r="T6" s="261">
        <v>45536.0</v>
      </c>
      <c r="U6" s="261">
        <v>45566.0</v>
      </c>
      <c r="Y6" s="261">
        <v>45536.0</v>
      </c>
      <c r="Z6" s="261">
        <v>45566.0</v>
      </c>
      <c r="AB6" s="261">
        <v>45536.0</v>
      </c>
      <c r="AC6" s="261">
        <v>45566.0</v>
      </c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P7" s="2" t="s">
        <v>45</v>
      </c>
      <c r="Q7" s="229">
        <v>4521.622</v>
      </c>
      <c r="R7" s="229">
        <v>4364.8724999999995</v>
      </c>
      <c r="S7" s="2" t="s">
        <v>45</v>
      </c>
      <c r="T7" s="229">
        <v>3329.0519999999997</v>
      </c>
      <c r="U7" s="229">
        <v>3679.5</v>
      </c>
      <c r="X7" s="2" t="s">
        <v>45</v>
      </c>
      <c r="Y7" s="229">
        <v>4521.622</v>
      </c>
      <c r="Z7" s="229">
        <v>4364.8724999999995</v>
      </c>
      <c r="AA7" s="2" t="s">
        <v>45</v>
      </c>
      <c r="AB7" s="229">
        <v>3329.0519999999997</v>
      </c>
      <c r="AC7" s="229">
        <v>3679.5</v>
      </c>
    </row>
    <row r="8" ht="15.75" customHeight="1">
      <c r="A8" s="175">
        <v>45870.0</v>
      </c>
      <c r="B8" s="61" t="s">
        <v>209</v>
      </c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P8" s="8" t="s">
        <v>46</v>
      </c>
      <c r="Q8" s="229">
        <v>5676.575</v>
      </c>
      <c r="R8" s="229">
        <v>4966.606</v>
      </c>
      <c r="S8" s="8" t="s">
        <v>46</v>
      </c>
      <c r="T8" s="229">
        <v>3416.5700000000006</v>
      </c>
      <c r="U8" s="229">
        <v>3819.04</v>
      </c>
      <c r="X8" s="8" t="s">
        <v>46</v>
      </c>
      <c r="Y8" s="229">
        <v>5676.575</v>
      </c>
      <c r="Z8" s="229">
        <v>4966.606</v>
      </c>
      <c r="AA8" s="8" t="s">
        <v>46</v>
      </c>
      <c r="AB8" s="229">
        <v>3416.5700000000006</v>
      </c>
      <c r="AC8" s="229">
        <v>3819.04</v>
      </c>
    </row>
    <row r="9" ht="15.75" customHeight="1">
      <c r="A9" s="61">
        <v>5323.65</v>
      </c>
      <c r="B9" s="61">
        <f t="shared" ref="B9:B11" si="3">AVERAGE(F9,F16,F23,F30,F37)</f>
        <v>7090.778</v>
      </c>
      <c r="C9" s="47">
        <v>1.0</v>
      </c>
      <c r="D9" s="47" t="s">
        <v>40</v>
      </c>
      <c r="E9" s="229">
        <f t="shared" ref="E9:F9" si="1">8072.1</f>
        <v>8072.1</v>
      </c>
      <c r="F9" s="229">
        <f t="shared" si="1"/>
        <v>8072.1</v>
      </c>
      <c r="G9" s="51">
        <f t="shared" ref="G9:G39" si="5">F9-E9</f>
        <v>0</v>
      </c>
      <c r="H9" s="61">
        <f t="shared" ref="H9:H11" si="6">AVERAGE(L9,L16,L23,L30,L37)</f>
        <v>4927.014</v>
      </c>
      <c r="I9" s="47">
        <v>1.0</v>
      </c>
      <c r="J9" s="47" t="s">
        <v>40</v>
      </c>
      <c r="K9" s="229">
        <f t="shared" ref="K9:L9" si="2">2759.24+2855.48-142.98</f>
        <v>5471.74</v>
      </c>
      <c r="L9" s="229">
        <f t="shared" si="2"/>
        <v>5471.74</v>
      </c>
      <c r="M9" s="51">
        <f t="shared" ref="M9:M39" si="8">L9-K9</f>
        <v>0</v>
      </c>
      <c r="P9" s="2" t="s">
        <v>40</v>
      </c>
      <c r="Q9" s="229">
        <v>6934.362499999999</v>
      </c>
      <c r="R9" s="229">
        <v>5873.394</v>
      </c>
      <c r="S9" s="2" t="s">
        <v>40</v>
      </c>
      <c r="T9" s="229">
        <v>5175.125</v>
      </c>
      <c r="U9" s="229">
        <v>4718.598</v>
      </c>
      <c r="X9" s="2" t="s">
        <v>40</v>
      </c>
      <c r="Y9" s="229">
        <v>6934.362499999999</v>
      </c>
      <c r="Z9" s="229">
        <v>5873.394</v>
      </c>
      <c r="AA9" s="2" t="s">
        <v>40</v>
      </c>
      <c r="AB9" s="229">
        <v>5175.125</v>
      </c>
      <c r="AC9" s="229">
        <v>4718.598</v>
      </c>
    </row>
    <row r="10" ht="15.75" customHeight="1">
      <c r="A10" s="61">
        <v>8150.3325</v>
      </c>
      <c r="B10" s="61">
        <f t="shared" si="3"/>
        <v>6405.09</v>
      </c>
      <c r="C10" s="47">
        <v>2.0</v>
      </c>
      <c r="D10" s="47" t="s">
        <v>47</v>
      </c>
      <c r="E10" s="265">
        <f t="shared" ref="E10:F10" si="4">4374.85</f>
        <v>4374.85</v>
      </c>
      <c r="F10" s="229">
        <f t="shared" si="4"/>
        <v>4374.85</v>
      </c>
      <c r="G10" s="51">
        <f t="shared" si="5"/>
        <v>0</v>
      </c>
      <c r="H10" s="61">
        <f t="shared" si="6"/>
        <v>5770.624</v>
      </c>
      <c r="I10" s="47">
        <v>2.0</v>
      </c>
      <c r="J10" s="47" t="s">
        <v>47</v>
      </c>
      <c r="K10" s="229">
        <f t="shared" ref="K10:L10" si="7">4370.27+2970.2-356.98</f>
        <v>6983.49</v>
      </c>
      <c r="L10" s="229">
        <f t="shared" si="7"/>
        <v>6983.49</v>
      </c>
      <c r="M10" s="51">
        <f t="shared" si="8"/>
        <v>0</v>
      </c>
      <c r="P10" s="2" t="s">
        <v>47</v>
      </c>
      <c r="Q10" s="229">
        <v>7458.387500000001</v>
      </c>
      <c r="R10" s="229">
        <v>7715.460000000001</v>
      </c>
      <c r="S10" s="2" t="s">
        <v>47</v>
      </c>
      <c r="T10" s="229">
        <v>7111.18</v>
      </c>
      <c r="U10" s="229">
        <v>6288.026</v>
      </c>
      <c r="X10" s="2" t="s">
        <v>47</v>
      </c>
      <c r="Y10" s="229">
        <v>7458.387500000001</v>
      </c>
      <c r="Z10" s="229">
        <v>7715.460000000001</v>
      </c>
      <c r="AA10" s="2" t="s">
        <v>47</v>
      </c>
      <c r="AB10" s="229">
        <v>7111.18</v>
      </c>
      <c r="AC10" s="229">
        <v>6288.026</v>
      </c>
    </row>
    <row r="11" ht="15.75" customHeight="1">
      <c r="A11" s="61">
        <v>6078.475</v>
      </c>
      <c r="B11" s="61">
        <f t="shared" si="3"/>
        <v>13295.328</v>
      </c>
      <c r="C11" s="47">
        <v>3.0</v>
      </c>
      <c r="D11" s="47" t="s">
        <v>205</v>
      </c>
      <c r="E11" s="265">
        <f t="shared" ref="E11:F11" si="9">13238.95-280</f>
        <v>12958.95</v>
      </c>
      <c r="F11" s="229">
        <f t="shared" si="9"/>
        <v>12958.95</v>
      </c>
      <c r="G11" s="51">
        <f t="shared" si="5"/>
        <v>0</v>
      </c>
      <c r="H11" s="61">
        <f t="shared" si="6"/>
        <v>11159.374</v>
      </c>
      <c r="I11" s="47">
        <v>3.0</v>
      </c>
      <c r="J11" s="47" t="s">
        <v>205</v>
      </c>
      <c r="K11" s="229">
        <f>5366.42+3646.26-146.01-415.98</f>
        <v>8450.69</v>
      </c>
      <c r="L11" s="229">
        <f>5366.42+3646.26-415.98</f>
        <v>8596.7</v>
      </c>
      <c r="M11" s="51">
        <f t="shared" si="8"/>
        <v>146.01</v>
      </c>
      <c r="P11" s="2" t="s">
        <v>48</v>
      </c>
      <c r="Q11" s="229">
        <v>11258.9</v>
      </c>
      <c r="R11" s="229">
        <v>11172.994999999999</v>
      </c>
      <c r="S11" s="2" t="s">
        <v>48</v>
      </c>
      <c r="T11" s="229">
        <v>9871.1025</v>
      </c>
      <c r="U11" s="229">
        <v>9252.77</v>
      </c>
      <c r="X11" s="2" t="s">
        <v>48</v>
      </c>
      <c r="Y11" s="229">
        <v>11258.9</v>
      </c>
      <c r="Z11" s="229">
        <v>11172.994999999999</v>
      </c>
      <c r="AA11" s="2" t="s">
        <v>48</v>
      </c>
      <c r="AB11" s="229">
        <v>9871.1025</v>
      </c>
      <c r="AC11" s="229">
        <v>9252.77</v>
      </c>
    </row>
    <row r="12" ht="15.75" customHeight="1">
      <c r="A12" s="61">
        <v>7703.532499999999</v>
      </c>
      <c r="B12" s="61">
        <f t="shared" ref="B12:B15" si="12">AVERAGE(F12,F19,F26,F33)</f>
        <v>20084.865</v>
      </c>
      <c r="C12" s="47">
        <v>4.0</v>
      </c>
      <c r="D12" s="47" t="s">
        <v>41</v>
      </c>
      <c r="E12" s="265">
        <f t="shared" ref="E12:F12" si="10">22060.11</f>
        <v>22060.11</v>
      </c>
      <c r="F12" s="229">
        <f t="shared" si="10"/>
        <v>22060.11</v>
      </c>
      <c r="G12" s="51">
        <f t="shared" si="5"/>
        <v>0</v>
      </c>
      <c r="H12" s="61">
        <f t="shared" ref="H12:H15" si="14">AVERAGE(L12,L19,L26,L33)</f>
        <v>14423.9825</v>
      </c>
      <c r="I12" s="47">
        <v>4.0</v>
      </c>
      <c r="J12" s="47" t="s">
        <v>41</v>
      </c>
      <c r="K12" s="229">
        <f t="shared" ref="K12:L12" si="11">6188.51+7823.62-418.92</f>
        <v>13593.21</v>
      </c>
      <c r="L12" s="229">
        <f t="shared" si="11"/>
        <v>13593.21</v>
      </c>
      <c r="M12" s="51">
        <f t="shared" si="8"/>
        <v>0</v>
      </c>
      <c r="P12" s="2" t="s">
        <v>171</v>
      </c>
      <c r="Q12" s="229">
        <v>18225.075</v>
      </c>
      <c r="R12" s="229">
        <v>21537.1875</v>
      </c>
      <c r="S12" s="2" t="s">
        <v>171</v>
      </c>
      <c r="T12" s="229">
        <v>12109.160000000002</v>
      </c>
      <c r="U12" s="229">
        <v>15056.412499999999</v>
      </c>
      <c r="X12" s="2" t="s">
        <v>171</v>
      </c>
      <c r="Y12" s="229">
        <v>18225.075</v>
      </c>
      <c r="Z12" s="229">
        <v>21537.1875</v>
      </c>
      <c r="AA12" s="2" t="s">
        <v>171</v>
      </c>
      <c r="AB12" s="229">
        <v>12109.160000000002</v>
      </c>
      <c r="AC12" s="229">
        <v>15056.412499999999</v>
      </c>
    </row>
    <row r="13" ht="15.75" customHeight="1">
      <c r="A13" s="61">
        <v>13200.011999999999</v>
      </c>
      <c r="B13" s="61">
        <f t="shared" si="12"/>
        <v>20000.3875</v>
      </c>
      <c r="C13" s="47">
        <v>5.0</v>
      </c>
      <c r="D13" s="47" t="s">
        <v>44</v>
      </c>
      <c r="E13" s="265">
        <f t="shared" ref="E13:F13" si="13">17130.75</f>
        <v>17130.75</v>
      </c>
      <c r="F13" s="229">
        <f t="shared" si="13"/>
        <v>17130.75</v>
      </c>
      <c r="G13" s="51">
        <f t="shared" si="5"/>
        <v>0</v>
      </c>
      <c r="H13" s="61">
        <f t="shared" si="14"/>
        <v>20029.2825</v>
      </c>
      <c r="I13" s="47">
        <v>5.0</v>
      </c>
      <c r="J13" s="47" t="s">
        <v>44</v>
      </c>
      <c r="K13" s="229">
        <f t="shared" ref="K13:L13" si="15">12950.85+7541.44+594.02-1333.88</f>
        <v>19752.43</v>
      </c>
      <c r="L13" s="229">
        <f t="shared" si="15"/>
        <v>19752.43</v>
      </c>
      <c r="M13" s="51">
        <f t="shared" si="8"/>
        <v>0</v>
      </c>
      <c r="P13" s="2" t="s">
        <v>44</v>
      </c>
      <c r="Q13" s="229">
        <v>17940.21</v>
      </c>
      <c r="R13" s="229">
        <v>19904.07</v>
      </c>
      <c r="S13" s="2" t="s">
        <v>44</v>
      </c>
      <c r="T13" s="229">
        <v>20740.381999999998</v>
      </c>
      <c r="U13" s="229">
        <v>21643.985</v>
      </c>
      <c r="X13" s="2" t="s">
        <v>44</v>
      </c>
      <c r="Y13" s="229">
        <v>17940.21</v>
      </c>
      <c r="Z13" s="229">
        <v>19904.07</v>
      </c>
      <c r="AA13" s="2" t="s">
        <v>44</v>
      </c>
      <c r="AB13" s="229">
        <v>20740.381999999998</v>
      </c>
      <c r="AC13" s="229">
        <v>21643.985</v>
      </c>
    </row>
    <row r="14" ht="15.75" customHeight="1">
      <c r="A14" s="61">
        <v>18032.356</v>
      </c>
      <c r="B14" s="61">
        <f t="shared" si="12"/>
        <v>5942.64</v>
      </c>
      <c r="C14" s="47">
        <v>6.0</v>
      </c>
      <c r="D14" s="47" t="s">
        <v>45</v>
      </c>
      <c r="E14" s="265">
        <v>3800.0</v>
      </c>
      <c r="F14" s="265">
        <f>3441</f>
        <v>3441</v>
      </c>
      <c r="G14" s="51">
        <f t="shared" si="5"/>
        <v>-359</v>
      </c>
      <c r="H14" s="61">
        <f t="shared" si="14"/>
        <v>3432.18</v>
      </c>
      <c r="I14" s="47">
        <v>6.0</v>
      </c>
      <c r="J14" s="47" t="s">
        <v>45</v>
      </c>
      <c r="K14" s="229">
        <v>4659.83</v>
      </c>
      <c r="L14" s="229">
        <f>147+593.36+642.5+1533.09-85</f>
        <v>2830.95</v>
      </c>
      <c r="M14" s="51">
        <f t="shared" si="8"/>
        <v>-1828.88</v>
      </c>
      <c r="Q14" s="167">
        <v>72015.13200000001</v>
      </c>
      <c r="R14" s="167">
        <f>SUM(R7:R13)</f>
        <v>75534.585</v>
      </c>
      <c r="S14" s="66">
        <f>R14/Q14-1</f>
        <v>0.04887102061</v>
      </c>
      <c r="T14" s="167">
        <v>61752.5715</v>
      </c>
      <c r="U14" s="167">
        <f>SUM(U7:U13)</f>
        <v>64458.3315</v>
      </c>
      <c r="V14" s="66">
        <f>U14/T14-1</f>
        <v>0.04381615104</v>
      </c>
      <c r="Y14" s="167">
        <v>72015.13200000001</v>
      </c>
      <c r="Z14" s="167">
        <f>SUM(Z7:Z13)</f>
        <v>75534.585</v>
      </c>
      <c r="AA14" s="66">
        <f>Z14/Y14-1</f>
        <v>0.04887102061</v>
      </c>
      <c r="AB14" s="167">
        <v>61752.5715</v>
      </c>
      <c r="AC14" s="167">
        <f>SUM(AC7:AC13)</f>
        <v>64458.3315</v>
      </c>
      <c r="AD14" s="66">
        <f>AC14/AB14-1</f>
        <v>0.04381615104</v>
      </c>
    </row>
    <row r="15" ht="15.75" customHeight="1">
      <c r="A15" s="61">
        <v>22191.438000000002</v>
      </c>
      <c r="B15" s="61">
        <f t="shared" si="12"/>
        <v>5109.4375</v>
      </c>
      <c r="C15" s="47">
        <v>7.0</v>
      </c>
      <c r="D15" s="47" t="s">
        <v>46</v>
      </c>
      <c r="E15" s="265">
        <v>5500.0</v>
      </c>
      <c r="F15" s="265">
        <f>6101.75</f>
        <v>6101.75</v>
      </c>
      <c r="G15" s="51">
        <f t="shared" si="5"/>
        <v>601.75</v>
      </c>
      <c r="H15" s="61">
        <f t="shared" si="14"/>
        <v>3911.6925</v>
      </c>
      <c r="I15" s="47">
        <v>7.0</v>
      </c>
      <c r="J15" s="47" t="s">
        <v>46</v>
      </c>
      <c r="K15" s="229">
        <v>5320.36</v>
      </c>
      <c r="L15" s="229">
        <f>2016.09+1409.13-231.98</f>
        <v>3193.24</v>
      </c>
      <c r="M15" s="51">
        <f t="shared" si="8"/>
        <v>-2127.12</v>
      </c>
    </row>
    <row r="16" ht="15.75" customHeight="1">
      <c r="A16" s="167">
        <f>SUM(A9:A15)</f>
        <v>80679.796</v>
      </c>
      <c r="B16" s="61"/>
      <c r="C16" s="47">
        <v>8.0</v>
      </c>
      <c r="D16" s="47" t="s">
        <v>40</v>
      </c>
      <c r="E16" s="265">
        <v>8500.0</v>
      </c>
      <c r="F16" s="229">
        <v>5641.0</v>
      </c>
      <c r="G16" s="51">
        <f t="shared" si="5"/>
        <v>-2859</v>
      </c>
      <c r="I16" s="47">
        <v>8.0</v>
      </c>
      <c r="J16" s="47" t="s">
        <v>40</v>
      </c>
      <c r="K16" s="229">
        <f>2759.24+2855.48-142.98</f>
        <v>5471.74</v>
      </c>
      <c r="L16" s="229">
        <f>2740.34+2695.21-226</f>
        <v>5209.55</v>
      </c>
      <c r="M16" s="51">
        <f t="shared" si="8"/>
        <v>-262.19</v>
      </c>
      <c r="Y16" s="46" t="s">
        <v>211</v>
      </c>
      <c r="Z16" s="6"/>
      <c r="AB16" s="46" t="s">
        <v>212</v>
      </c>
      <c r="AC16" s="6"/>
    </row>
    <row r="17" ht="15.75" customHeight="1">
      <c r="B17" s="61"/>
      <c r="C17" s="47">
        <v>9.0</v>
      </c>
      <c r="D17" s="47" t="s">
        <v>47</v>
      </c>
      <c r="E17" s="265">
        <v>7600.0</v>
      </c>
      <c r="F17" s="229">
        <f>6152.9</f>
        <v>6152.9</v>
      </c>
      <c r="G17" s="51">
        <f t="shared" si="5"/>
        <v>-1447.1</v>
      </c>
      <c r="I17" s="47">
        <v>9.0</v>
      </c>
      <c r="J17" s="47" t="s">
        <v>47</v>
      </c>
      <c r="K17" s="229">
        <f>4370.27+2970.2-356.98</f>
        <v>6983.49</v>
      </c>
      <c r="L17" s="229">
        <f>2103.15+2033.76-93.99</f>
        <v>4042.92</v>
      </c>
      <c r="M17" s="51">
        <f t="shared" si="8"/>
        <v>-2940.57</v>
      </c>
      <c r="R17" s="70"/>
      <c r="S17" s="71" t="s">
        <v>52</v>
      </c>
      <c r="T17" s="72"/>
      <c r="U17" s="73" t="s">
        <v>53</v>
      </c>
      <c r="Y17" s="261">
        <v>45901.0</v>
      </c>
      <c r="Z17" s="261">
        <v>45931.0</v>
      </c>
      <c r="AB17" s="261">
        <v>45901.0</v>
      </c>
      <c r="AC17" s="261">
        <v>45931.0</v>
      </c>
    </row>
    <row r="18" ht="15.75" customHeight="1">
      <c r="A18" s="175">
        <v>45870.0</v>
      </c>
      <c r="B18" s="61"/>
      <c r="C18" s="47">
        <v>10.0</v>
      </c>
      <c r="D18" s="47" t="s">
        <v>48</v>
      </c>
      <c r="E18" s="265">
        <v>15600.0</v>
      </c>
      <c r="F18" s="229">
        <f>738+10967-553</f>
        <v>11152</v>
      </c>
      <c r="G18" s="51">
        <f t="shared" si="5"/>
        <v>-4448</v>
      </c>
      <c r="I18" s="47">
        <v>10.0</v>
      </c>
      <c r="J18" s="47" t="s">
        <v>48</v>
      </c>
      <c r="K18" s="229">
        <v>13000.0</v>
      </c>
      <c r="L18" s="229">
        <f>5318.37+7656.55-396.97</f>
        <v>12577.95</v>
      </c>
      <c r="M18" s="51">
        <f t="shared" si="8"/>
        <v>-422.05</v>
      </c>
      <c r="R18" s="74" t="s">
        <v>29</v>
      </c>
      <c r="S18" s="75">
        <v>355000.0</v>
      </c>
      <c r="T18" s="2" t="s">
        <v>29</v>
      </c>
      <c r="U18" s="76">
        <v>310000.0</v>
      </c>
      <c r="X18" s="2" t="s">
        <v>45</v>
      </c>
      <c r="Y18" s="229">
        <v>3791.5699999999997</v>
      </c>
      <c r="Z18" s="229">
        <v>5942.639999999999</v>
      </c>
      <c r="AA18" s="2" t="s">
        <v>45</v>
      </c>
      <c r="AB18" s="229">
        <v>4659.8279999999995</v>
      </c>
      <c r="AC18" s="229">
        <v>4927.014</v>
      </c>
    </row>
    <row r="19" ht="15.75" customHeight="1">
      <c r="A19" s="61">
        <v>3843.7325</v>
      </c>
      <c r="B19" s="61"/>
      <c r="C19" s="44">
        <v>11.0</v>
      </c>
      <c r="D19" s="44" t="s">
        <v>41</v>
      </c>
      <c r="E19" s="265">
        <v>29500.0</v>
      </c>
      <c r="F19" s="229">
        <f>21428.9</f>
        <v>21428.9</v>
      </c>
      <c r="G19" s="51">
        <f t="shared" si="5"/>
        <v>-8071.1</v>
      </c>
      <c r="I19" s="47">
        <v>11.0</v>
      </c>
      <c r="J19" s="47" t="s">
        <v>41</v>
      </c>
      <c r="K19" s="229">
        <v>16000.0</v>
      </c>
      <c r="L19" s="229">
        <f>8978.62+5577.37-718.95</f>
        <v>13837.04</v>
      </c>
      <c r="M19" s="51">
        <f t="shared" si="8"/>
        <v>-2162.96</v>
      </c>
      <c r="R19" s="74"/>
      <c r="S19" s="2"/>
      <c r="T19" s="2"/>
      <c r="U19" s="77"/>
      <c r="X19" s="8" t="s">
        <v>46</v>
      </c>
      <c r="Y19" s="229">
        <v>5346.46</v>
      </c>
      <c r="Z19" s="229">
        <v>5109.4375</v>
      </c>
      <c r="AA19" s="8" t="s">
        <v>46</v>
      </c>
      <c r="AB19" s="229">
        <v>5320.356</v>
      </c>
      <c r="AC19" s="229">
        <v>5770.624000000001</v>
      </c>
    </row>
    <row r="20" ht="15.75" customHeight="1">
      <c r="A20" s="61">
        <v>4637.2225</v>
      </c>
      <c r="B20" s="61"/>
      <c r="C20" s="44">
        <v>12.0</v>
      </c>
      <c r="D20" s="44" t="s">
        <v>44</v>
      </c>
      <c r="E20" s="265">
        <v>24500.0</v>
      </c>
      <c r="F20" s="229">
        <f>25391.4</f>
        <v>25391.4</v>
      </c>
      <c r="G20" s="51">
        <f t="shared" si="5"/>
        <v>891.4</v>
      </c>
      <c r="H20" s="61"/>
      <c r="I20" s="47">
        <v>12.0</v>
      </c>
      <c r="J20" s="47" t="s">
        <v>44</v>
      </c>
      <c r="K20" s="229">
        <v>23000.0</v>
      </c>
      <c r="L20" s="229">
        <f>10521.92+12770.51-1370.92</f>
        <v>21921.51</v>
      </c>
      <c r="M20" s="51">
        <f t="shared" si="8"/>
        <v>-1078.49</v>
      </c>
      <c r="N20" s="61"/>
      <c r="R20" s="74" t="s">
        <v>58</v>
      </c>
      <c r="S20" s="75">
        <f>SUM(F9:F15)</f>
        <v>74139.51</v>
      </c>
      <c r="T20" s="58" t="s">
        <v>58</v>
      </c>
      <c r="U20" s="76">
        <f>SUM(L9:L15)</f>
        <v>60421.76</v>
      </c>
      <c r="X20" s="2" t="s">
        <v>40</v>
      </c>
      <c r="Y20" s="229">
        <v>9829.02</v>
      </c>
      <c r="Z20" s="229">
        <v>7090.778</v>
      </c>
      <c r="AA20" s="2" t="s">
        <v>40</v>
      </c>
      <c r="AB20" s="229">
        <v>5201.9825</v>
      </c>
      <c r="AC20" s="229">
        <v>11159.374</v>
      </c>
    </row>
    <row r="21" ht="15.75" customHeight="1">
      <c r="A21" s="61">
        <v>5855.96</v>
      </c>
      <c r="B21" s="61"/>
      <c r="C21" s="47">
        <v>13.0</v>
      </c>
      <c r="D21" s="47" t="s">
        <v>45</v>
      </c>
      <c r="E21" s="265">
        <v>3800.0</v>
      </c>
      <c r="F21" s="229">
        <f>4909.7</f>
        <v>4909.7</v>
      </c>
      <c r="G21" s="51">
        <f t="shared" si="5"/>
        <v>1109.7</v>
      </c>
      <c r="I21" s="47">
        <v>13.0</v>
      </c>
      <c r="J21" s="47" t="s">
        <v>45</v>
      </c>
      <c r="K21" s="229">
        <v>5000.0</v>
      </c>
      <c r="L21" s="229">
        <f>2153.19+1348.94-131.97</f>
        <v>3370.16</v>
      </c>
      <c r="M21" s="51">
        <f t="shared" si="8"/>
        <v>-1629.84</v>
      </c>
      <c r="R21" s="74"/>
      <c r="S21" s="79">
        <f>S20/S18</f>
        <v>0.2088436901</v>
      </c>
      <c r="U21" s="80">
        <f>U20/U18</f>
        <v>0.1949089032</v>
      </c>
      <c r="V21" s="66"/>
      <c r="X21" s="2" t="s">
        <v>47</v>
      </c>
      <c r="Y21" s="229">
        <v>7625.2075</v>
      </c>
      <c r="Z21" s="229">
        <v>6405.09</v>
      </c>
      <c r="AA21" s="2" t="s">
        <v>47</v>
      </c>
      <c r="AB21" s="229">
        <v>7241.069999999999</v>
      </c>
      <c r="AC21" s="229">
        <v>14423.9825</v>
      </c>
    </row>
    <row r="22" ht="15.75" customHeight="1">
      <c r="A22" s="61">
        <v>5742.765000000001</v>
      </c>
      <c r="B22" s="61"/>
      <c r="C22" s="47">
        <v>14.0</v>
      </c>
      <c r="D22" s="47" t="s">
        <v>46</v>
      </c>
      <c r="E22" s="265">
        <v>5500.0</v>
      </c>
      <c r="F22" s="229">
        <f>5802</f>
        <v>5802</v>
      </c>
      <c r="G22" s="51">
        <f t="shared" si="5"/>
        <v>302</v>
      </c>
      <c r="I22" s="47">
        <v>14.0</v>
      </c>
      <c r="J22" s="47" t="s">
        <v>46</v>
      </c>
      <c r="K22" s="229">
        <v>5500.0</v>
      </c>
      <c r="L22" s="229">
        <f>2585.24+628.5-68.99</f>
        <v>3144.75</v>
      </c>
      <c r="M22" s="51">
        <f t="shared" si="8"/>
        <v>-2355.25</v>
      </c>
      <c r="N22" s="58">
        <f>82106.17+146.01</f>
        <v>82252.18</v>
      </c>
      <c r="R22" s="74"/>
      <c r="S22" s="81"/>
      <c r="U22" s="77"/>
      <c r="X22" s="2" t="s">
        <v>48</v>
      </c>
      <c r="Y22" s="229">
        <v>13075.052499999998</v>
      </c>
      <c r="Z22" s="229">
        <v>13295.328</v>
      </c>
      <c r="AA22" s="2" t="s">
        <v>48</v>
      </c>
      <c r="AB22" s="229">
        <v>11697.55</v>
      </c>
      <c r="AC22" s="229">
        <v>20029.2825</v>
      </c>
    </row>
    <row r="23" ht="15.75" customHeight="1">
      <c r="A23" s="61">
        <v>13629.676000000001</v>
      </c>
      <c r="B23" s="61"/>
      <c r="C23" s="47">
        <v>15.0</v>
      </c>
      <c r="D23" s="47" t="s">
        <v>40</v>
      </c>
      <c r="E23" s="265">
        <v>8500.0</v>
      </c>
      <c r="F23" s="229">
        <f>244.59+7694.3</f>
        <v>7938.89</v>
      </c>
      <c r="G23" s="51">
        <f t="shared" si="5"/>
        <v>-561.11</v>
      </c>
      <c r="I23" s="47">
        <v>15.0</v>
      </c>
      <c r="J23" s="47" t="s">
        <v>40</v>
      </c>
      <c r="K23" s="229">
        <v>5500.0</v>
      </c>
      <c r="L23" s="229">
        <f>2152.18+2638.47-246</f>
        <v>4544.65</v>
      </c>
      <c r="M23" s="51">
        <f t="shared" si="8"/>
        <v>-955.35</v>
      </c>
      <c r="R23" s="74" t="s">
        <v>62</v>
      </c>
      <c r="S23" s="75">
        <f>SUM(F16:F22)</f>
        <v>80477.9</v>
      </c>
      <c r="T23" s="58" t="s">
        <v>62</v>
      </c>
      <c r="U23" s="76">
        <f>SUM(L16:L22)</f>
        <v>64103.88</v>
      </c>
      <c r="X23" s="2" t="s">
        <v>171</v>
      </c>
      <c r="Y23" s="229">
        <v>19634.519999999997</v>
      </c>
      <c r="Z23" s="229">
        <v>20084.865</v>
      </c>
      <c r="AA23" s="2" t="s">
        <v>171</v>
      </c>
      <c r="AB23" s="229">
        <v>14468.5475</v>
      </c>
      <c r="AC23" s="229">
        <v>3432.1800000000003</v>
      </c>
    </row>
    <row r="24" ht="15.75" customHeight="1">
      <c r="A24" s="61">
        <v>15838.128000000002</v>
      </c>
      <c r="B24" s="61"/>
      <c r="C24" s="47">
        <v>16.0</v>
      </c>
      <c r="D24" s="47" t="s">
        <v>47</v>
      </c>
      <c r="E24" s="265">
        <v>7600.0</v>
      </c>
      <c r="F24" s="229">
        <f>5090</f>
        <v>5090</v>
      </c>
      <c r="G24" s="51">
        <f t="shared" si="5"/>
        <v>-2510</v>
      </c>
      <c r="I24" s="47">
        <v>16.0</v>
      </c>
      <c r="J24" s="47" t="s">
        <v>47</v>
      </c>
      <c r="K24" s="229">
        <v>7000.0</v>
      </c>
      <c r="L24" s="229">
        <f>1899.16+2122.46-197.99</f>
        <v>3823.63</v>
      </c>
      <c r="M24" s="51">
        <f t="shared" si="8"/>
        <v>-3176.37</v>
      </c>
      <c r="R24" s="74"/>
      <c r="S24" s="79">
        <f>S23/S18</f>
        <v>0.2266983099</v>
      </c>
      <c r="U24" s="80">
        <f>U23/U18</f>
        <v>0.2067867097</v>
      </c>
      <c r="X24" s="2" t="s">
        <v>44</v>
      </c>
      <c r="Y24" s="229">
        <v>17751.7625</v>
      </c>
      <c r="Z24" s="229">
        <v>20000.3875</v>
      </c>
      <c r="AA24" s="2" t="s">
        <v>44</v>
      </c>
      <c r="AB24" s="229">
        <v>21070.352499999997</v>
      </c>
      <c r="AC24" s="229">
        <v>3911.6924999999997</v>
      </c>
    </row>
    <row r="25" ht="15.75" customHeight="1">
      <c r="A25" s="61">
        <v>23008.03</v>
      </c>
      <c r="B25" s="61"/>
      <c r="C25" s="47">
        <v>17.0</v>
      </c>
      <c r="D25" s="47" t="s">
        <v>205</v>
      </c>
      <c r="E25" s="265">
        <f>13238.95-280</f>
        <v>12958.95</v>
      </c>
      <c r="F25" s="229">
        <f>12626-245</f>
        <v>12381</v>
      </c>
      <c r="G25" s="51">
        <f t="shared" si="5"/>
        <v>-577.95</v>
      </c>
      <c r="I25" s="47">
        <v>17.0</v>
      </c>
      <c r="J25" s="47" t="s">
        <v>205</v>
      </c>
      <c r="K25" s="229">
        <v>12500.0</v>
      </c>
      <c r="L25" s="229">
        <f>10493.11</f>
        <v>10493.11</v>
      </c>
      <c r="M25" s="51">
        <f t="shared" si="8"/>
        <v>-2006.89</v>
      </c>
      <c r="R25" s="74"/>
      <c r="S25" s="81"/>
      <c r="U25" s="77"/>
      <c r="Y25" s="167">
        <f t="shared" ref="Y25:Z25" si="16">SUM(Y18:Y24)</f>
        <v>77053.5925</v>
      </c>
      <c r="Z25" s="167">
        <f t="shared" si="16"/>
        <v>77928.526</v>
      </c>
      <c r="AA25" s="66">
        <f>Z25/Y25-1</f>
        <v>0.01135486966</v>
      </c>
      <c r="AB25" s="167">
        <f t="shared" ref="AB25:AC25" si="17">SUM(AB18:AB24)</f>
        <v>69659.6865</v>
      </c>
      <c r="AC25" s="167">
        <f t="shared" si="17"/>
        <v>63654.1495</v>
      </c>
      <c r="AD25" s="66">
        <f>AC25/AB25-1</f>
        <v>-0.08621251834</v>
      </c>
    </row>
    <row r="26" ht="19.5" customHeight="1">
      <c r="A26" s="167">
        <f>SUM(A19:A25)</f>
        <v>72555.514</v>
      </c>
      <c r="B26" s="61"/>
      <c r="C26" s="47">
        <v>18.0</v>
      </c>
      <c r="D26" s="47" t="s">
        <v>171</v>
      </c>
      <c r="E26" s="265">
        <v>22400.0</v>
      </c>
      <c r="F26" s="229">
        <f>20964.7</f>
        <v>20964.7</v>
      </c>
      <c r="G26" s="51">
        <f t="shared" si="5"/>
        <v>-1435.3</v>
      </c>
      <c r="I26" s="47">
        <v>18.0</v>
      </c>
      <c r="J26" s="47" t="s">
        <v>171</v>
      </c>
      <c r="K26" s="229">
        <v>15000.0</v>
      </c>
      <c r="L26" s="229">
        <v>15204.08</v>
      </c>
      <c r="M26" s="51">
        <f t="shared" si="8"/>
        <v>204.08</v>
      </c>
      <c r="R26" s="74" t="s">
        <v>63</v>
      </c>
      <c r="S26" s="75">
        <f>SUM(F23:F29)</f>
        <v>67571.95</v>
      </c>
      <c r="T26" s="58" t="s">
        <v>63</v>
      </c>
      <c r="U26" s="76">
        <f>SUM(L23:L29)</f>
        <v>58985.82</v>
      </c>
    </row>
    <row r="27" ht="15.75" customHeight="1">
      <c r="C27" s="47">
        <v>19.0</v>
      </c>
      <c r="D27" s="47" t="s">
        <v>44</v>
      </c>
      <c r="E27" s="265">
        <v>17750.0</v>
      </c>
      <c r="F27" s="229">
        <f>13620.9</f>
        <v>13620.9</v>
      </c>
      <c r="G27" s="51">
        <f t="shared" si="5"/>
        <v>-4129.1</v>
      </c>
      <c r="I27" s="47">
        <v>19.0</v>
      </c>
      <c r="J27" s="47" t="s">
        <v>44</v>
      </c>
      <c r="K27" s="229">
        <v>22500.0</v>
      </c>
      <c r="L27" s="229">
        <v>18325.48</v>
      </c>
      <c r="M27" s="51">
        <f t="shared" si="8"/>
        <v>-4174.52</v>
      </c>
      <c r="R27" s="74"/>
      <c r="S27" s="79">
        <f>S26/S18</f>
        <v>0.1903435211</v>
      </c>
      <c r="U27" s="80">
        <f>U26/U18</f>
        <v>0.1902768387</v>
      </c>
    </row>
    <row r="28" ht="15.75" customHeight="1">
      <c r="C28" s="47">
        <v>20.0</v>
      </c>
      <c r="D28" s="47" t="s">
        <v>45</v>
      </c>
      <c r="E28" s="265">
        <v>3800.0</v>
      </c>
      <c r="F28" s="229">
        <f>4570.46</f>
        <v>4570.46</v>
      </c>
      <c r="G28" s="51">
        <f t="shared" si="5"/>
        <v>770.46</v>
      </c>
      <c r="I28" s="47">
        <v>20.0</v>
      </c>
      <c r="J28" s="47" t="s">
        <v>45</v>
      </c>
      <c r="K28" s="265">
        <v>5000.0</v>
      </c>
      <c r="L28" s="229">
        <v>2959.4</v>
      </c>
      <c r="M28" s="51">
        <f t="shared" si="8"/>
        <v>-2040.6</v>
      </c>
      <c r="R28" s="74"/>
      <c r="U28" s="82"/>
    </row>
    <row r="29" ht="15.75" customHeight="1">
      <c r="C29" s="47">
        <v>21.0</v>
      </c>
      <c r="D29" s="47" t="s">
        <v>46</v>
      </c>
      <c r="E29" s="265">
        <v>5500.0</v>
      </c>
      <c r="F29" s="230">
        <v>3006.0</v>
      </c>
      <c r="G29" s="51">
        <f t="shared" si="5"/>
        <v>-2494</v>
      </c>
      <c r="I29" s="47">
        <v>21.0</v>
      </c>
      <c r="J29" s="47" t="s">
        <v>46</v>
      </c>
      <c r="K29" s="265">
        <v>5500.0</v>
      </c>
      <c r="L29" s="229">
        <v>3635.47</v>
      </c>
      <c r="M29" s="51">
        <f t="shared" si="8"/>
        <v>-1864.53</v>
      </c>
      <c r="R29" s="74" t="s">
        <v>64</v>
      </c>
      <c r="S29" s="61">
        <f>SUM(F30:F36)</f>
        <v>91490.15</v>
      </c>
      <c r="T29" s="58" t="s">
        <v>64</v>
      </c>
      <c r="U29" s="83">
        <f>SUM(L30:L36)</f>
        <v>72648.16</v>
      </c>
    </row>
    <row r="30" ht="19.5" customHeight="1">
      <c r="C30" s="47">
        <v>22.0</v>
      </c>
      <c r="D30" s="47" t="s">
        <v>40</v>
      </c>
      <c r="E30" s="265">
        <v>8500.0</v>
      </c>
      <c r="F30" s="230">
        <v>9968.4</v>
      </c>
      <c r="G30" s="51">
        <f t="shared" si="5"/>
        <v>1468.4</v>
      </c>
      <c r="I30" s="47">
        <v>22.0</v>
      </c>
      <c r="J30" s="47" t="s">
        <v>40</v>
      </c>
      <c r="K30" s="229">
        <v>5500.0</v>
      </c>
      <c r="L30" s="229">
        <v>5380.87</v>
      </c>
      <c r="M30" s="51">
        <f t="shared" si="8"/>
        <v>-119.13</v>
      </c>
      <c r="R30" s="74"/>
      <c r="S30" s="79">
        <f>S29/S18</f>
        <v>0.2577187324</v>
      </c>
      <c r="U30" s="80">
        <f>U29/U18</f>
        <v>0.2343489032</v>
      </c>
    </row>
    <row r="31" ht="18.0" customHeight="1">
      <c r="C31" s="47">
        <v>23.0</v>
      </c>
      <c r="D31" s="47" t="s">
        <v>47</v>
      </c>
      <c r="E31" s="265">
        <v>7600.0</v>
      </c>
      <c r="F31" s="230">
        <v>11713.2</v>
      </c>
      <c r="G31" s="51">
        <f t="shared" si="5"/>
        <v>4113.2</v>
      </c>
      <c r="I31" s="47">
        <v>23.0</v>
      </c>
      <c r="J31" s="47" t="s">
        <v>47</v>
      </c>
      <c r="K31" s="229">
        <v>7000.0</v>
      </c>
      <c r="L31" s="229">
        <v>8653.609999999999</v>
      </c>
      <c r="M31" s="51">
        <f t="shared" si="8"/>
        <v>1653.61</v>
      </c>
      <c r="R31" s="74" t="s">
        <v>65</v>
      </c>
      <c r="S31" s="61">
        <f>SUM(F37:F39)</f>
        <v>24825.79</v>
      </c>
      <c r="T31" s="58" t="s">
        <v>65</v>
      </c>
      <c r="U31" s="83">
        <f>SUM(L37:L39)</f>
        <v>20313.99</v>
      </c>
    </row>
    <row r="32" ht="15.75" customHeight="1">
      <c r="C32" s="47">
        <v>24.0</v>
      </c>
      <c r="D32" s="47" t="s">
        <v>205</v>
      </c>
      <c r="E32" s="265">
        <v>13000.0</v>
      </c>
      <c r="F32" s="230">
        <f>14236.9-550</f>
        <v>13686.9</v>
      </c>
      <c r="G32" s="51">
        <f t="shared" si="5"/>
        <v>686.9</v>
      </c>
      <c r="I32" s="47">
        <v>24.0</v>
      </c>
      <c r="J32" s="47" t="s">
        <v>205</v>
      </c>
      <c r="K32" s="229">
        <v>12500.0</v>
      </c>
      <c r="L32" s="229">
        <v>13192.85</v>
      </c>
      <c r="M32" s="51">
        <f t="shared" si="8"/>
        <v>692.85</v>
      </c>
      <c r="R32" s="84" t="s">
        <v>206</v>
      </c>
      <c r="S32" s="85">
        <f>S31/S18</f>
        <v>0.06993180282</v>
      </c>
      <c r="T32" s="84" t="s">
        <v>206</v>
      </c>
      <c r="U32" s="87">
        <f>U31/U18</f>
        <v>0.065529</v>
      </c>
    </row>
    <row r="33" ht="15.75" customHeight="1">
      <c r="A33" s="57" t="s">
        <v>213</v>
      </c>
      <c r="B33" s="229">
        <v>12544.0</v>
      </c>
      <c r="C33" s="277">
        <v>25.0</v>
      </c>
      <c r="D33" s="47" t="s">
        <v>171</v>
      </c>
      <c r="E33" s="265">
        <v>22400.0</v>
      </c>
      <c r="F33" s="230">
        <v>15885.75</v>
      </c>
      <c r="G33" s="51">
        <f t="shared" si="5"/>
        <v>-6514.25</v>
      </c>
      <c r="I33" s="47">
        <v>25.0</v>
      </c>
      <c r="J33" s="47" t="s">
        <v>171</v>
      </c>
      <c r="K33" s="229">
        <v>15000.0</v>
      </c>
      <c r="L33" s="229">
        <v>15061.6</v>
      </c>
      <c r="M33" s="51">
        <f t="shared" si="8"/>
        <v>61.6</v>
      </c>
    </row>
    <row r="34" ht="15.75" customHeight="1">
      <c r="A34" s="57" t="s">
        <v>214</v>
      </c>
      <c r="B34" s="229">
        <f>16297-200</f>
        <v>16097</v>
      </c>
      <c r="C34" s="277">
        <v>26.0</v>
      </c>
      <c r="D34" s="47" t="s">
        <v>44</v>
      </c>
      <c r="E34" s="265">
        <v>17750.0</v>
      </c>
      <c r="F34" s="230">
        <v>23858.5</v>
      </c>
      <c r="G34" s="51">
        <f t="shared" si="5"/>
        <v>6108.5</v>
      </c>
      <c r="I34" s="47">
        <v>26.0</v>
      </c>
      <c r="J34" s="47" t="s">
        <v>44</v>
      </c>
      <c r="K34" s="229">
        <v>22500.0</v>
      </c>
      <c r="L34" s="229">
        <v>20117.71</v>
      </c>
      <c r="M34" s="51">
        <f t="shared" si="8"/>
        <v>-2382.29</v>
      </c>
      <c r="Q34" s="278" t="s">
        <v>72</v>
      </c>
      <c r="R34" s="93" t="s">
        <v>73</v>
      </c>
      <c r="S34" s="94">
        <f>F40</f>
        <v>338505.3</v>
      </c>
      <c r="T34" s="164" t="s">
        <v>74</v>
      </c>
      <c r="U34" s="96">
        <f>L40</f>
        <v>276336.57</v>
      </c>
      <c r="V34" s="278" t="s">
        <v>72</v>
      </c>
    </row>
    <row r="35" ht="19.5" customHeight="1">
      <c r="A35" s="279" t="s">
        <v>215</v>
      </c>
      <c r="B35" s="280">
        <f>B34/B33-1</f>
        <v>0.2832429847</v>
      </c>
      <c r="C35" s="47">
        <v>27.0</v>
      </c>
      <c r="D35" s="47" t="s">
        <v>45</v>
      </c>
      <c r="E35" s="265">
        <v>3800.0</v>
      </c>
      <c r="F35" s="229">
        <f>10849.4</f>
        <v>10849.4</v>
      </c>
      <c r="G35" s="51">
        <f t="shared" si="5"/>
        <v>7049.4</v>
      </c>
      <c r="I35" s="47">
        <v>27.0</v>
      </c>
      <c r="J35" s="47" t="s">
        <v>45</v>
      </c>
      <c r="K35" s="265">
        <v>5000.0</v>
      </c>
      <c r="L35" s="229">
        <f>2366.19+2336.99-134.97</f>
        <v>4568.21</v>
      </c>
      <c r="M35" s="51">
        <f t="shared" si="8"/>
        <v>-431.79</v>
      </c>
      <c r="Q35" s="281">
        <f>S35-T35</f>
        <v>-0.04646394366</v>
      </c>
      <c r="R35" s="98"/>
      <c r="S35" s="99">
        <f>S34/S18</f>
        <v>0.9535360563</v>
      </c>
      <c r="T35" s="165">
        <f>31/31</f>
        <v>1</v>
      </c>
      <c r="U35" s="100">
        <f>U34/U18</f>
        <v>0.8914082903</v>
      </c>
      <c r="V35" s="281">
        <f>U35-T35</f>
        <v>-0.1085917097</v>
      </c>
    </row>
    <row r="36" ht="15.75" customHeight="1">
      <c r="C36" s="47">
        <v>28.0</v>
      </c>
      <c r="D36" s="47" t="s">
        <v>46</v>
      </c>
      <c r="E36" s="265">
        <v>5500.0</v>
      </c>
      <c r="F36" s="230">
        <v>5528.0</v>
      </c>
      <c r="G36" s="51">
        <f t="shared" si="5"/>
        <v>28</v>
      </c>
      <c r="I36" s="47">
        <v>28.0</v>
      </c>
      <c r="J36" s="47" t="s">
        <v>46</v>
      </c>
      <c r="K36" s="265">
        <v>5500.0</v>
      </c>
      <c r="L36" s="229">
        <v>5673.3099999999995</v>
      </c>
      <c r="M36" s="51">
        <f t="shared" si="8"/>
        <v>173.31</v>
      </c>
      <c r="R36" s="98" t="s">
        <v>76</v>
      </c>
      <c r="S36" s="104">
        <f>S18-S34</f>
        <v>16494.7</v>
      </c>
      <c r="T36" s="99"/>
      <c r="U36" s="106">
        <f>U18-U34</f>
        <v>33663.43</v>
      </c>
    </row>
    <row r="37" ht="15.75" customHeight="1">
      <c r="C37" s="47">
        <v>29.0</v>
      </c>
      <c r="D37" s="47" t="s">
        <v>40</v>
      </c>
      <c r="E37" s="265">
        <v>8500.0</v>
      </c>
      <c r="F37" s="230">
        <v>3833.5</v>
      </c>
      <c r="G37" s="51">
        <f t="shared" si="5"/>
        <v>-4666.5</v>
      </c>
      <c r="I37" s="47">
        <v>29.0</v>
      </c>
      <c r="J37" s="47" t="s">
        <v>40</v>
      </c>
      <c r="K37" s="229">
        <v>5500.0</v>
      </c>
      <c r="L37" s="229">
        <v>4028.2599999999998</v>
      </c>
      <c r="M37" s="51">
        <f t="shared" si="8"/>
        <v>-1471.74</v>
      </c>
      <c r="R37" s="110"/>
      <c r="S37" s="112">
        <f>S36/S18</f>
        <v>0.04646394366</v>
      </c>
      <c r="T37" s="112"/>
      <c r="U37" s="113">
        <f>U36/U18</f>
        <v>0.1085917097</v>
      </c>
    </row>
    <row r="38" ht="15.75" customHeight="1">
      <c r="C38" s="47">
        <v>30.0</v>
      </c>
      <c r="D38" s="47" t="s">
        <v>47</v>
      </c>
      <c r="E38" s="265">
        <v>7600.0</v>
      </c>
      <c r="F38" s="230">
        <v>4694.5</v>
      </c>
      <c r="G38" s="51">
        <f t="shared" si="5"/>
        <v>-2905.5</v>
      </c>
      <c r="I38" s="47">
        <v>30.0</v>
      </c>
      <c r="J38" s="47" t="s">
        <v>47</v>
      </c>
      <c r="K38" s="229">
        <v>7000.0</v>
      </c>
      <c r="L38" s="229">
        <v>5349.469999999999</v>
      </c>
      <c r="M38" s="51">
        <f t="shared" si="8"/>
        <v>-1650.53</v>
      </c>
    </row>
    <row r="39" ht="15.75" customHeight="1">
      <c r="C39" s="47">
        <v>31.0</v>
      </c>
      <c r="D39" s="47" t="s">
        <v>205</v>
      </c>
      <c r="E39" s="229">
        <v>13000.0</v>
      </c>
      <c r="F39" s="230">
        <f>16777.79-480</f>
        <v>16297.79</v>
      </c>
      <c r="G39" s="51">
        <f t="shared" si="5"/>
        <v>3297.79</v>
      </c>
      <c r="I39" s="47">
        <v>31.0</v>
      </c>
      <c r="J39" s="47" t="s">
        <v>205</v>
      </c>
      <c r="K39" s="229">
        <v>12500.0</v>
      </c>
      <c r="L39" s="229">
        <v>10936.259999999998</v>
      </c>
      <c r="M39" s="51">
        <f t="shared" si="8"/>
        <v>-1563.74</v>
      </c>
    </row>
    <row r="40" ht="15.75" customHeight="1">
      <c r="C40" s="8"/>
      <c r="D40" s="8"/>
      <c r="E40" s="107">
        <f t="shared" ref="E40:G40" si="18">SUM(E9:E39)</f>
        <v>355055.71</v>
      </c>
      <c r="F40" s="271">
        <f t="shared" si="18"/>
        <v>338505.3</v>
      </c>
      <c r="G40" s="105">
        <f t="shared" si="18"/>
        <v>-16550.41</v>
      </c>
      <c r="I40" s="8"/>
      <c r="J40" s="8"/>
      <c r="K40" s="107">
        <f>SUM(K9:K39)</f>
        <v>310186.98</v>
      </c>
      <c r="L40" s="272">
        <f>SUM(L9:L39)-146.01-89.03-333.03+431.03</f>
        <v>276336.57</v>
      </c>
      <c r="M40" s="105">
        <f>SUM(M9:M39)</f>
        <v>-33713.37</v>
      </c>
      <c r="P40" s="61"/>
      <c r="U40" s="61"/>
    </row>
    <row r="41" ht="15.75" customHeight="1">
      <c r="D41" s="61"/>
      <c r="E41" s="58">
        <v>355000.0</v>
      </c>
      <c r="F41" s="225"/>
      <c r="G41" s="114"/>
      <c r="J41" s="61"/>
      <c r="K41" s="61">
        <v>310000.0</v>
      </c>
      <c r="L41" s="275"/>
      <c r="M41" s="114"/>
    </row>
    <row r="42" ht="15.75" customHeight="1">
      <c r="C42" s="2"/>
      <c r="D42" s="75"/>
      <c r="E42" s="2"/>
      <c r="F42" s="2"/>
      <c r="I42" s="2"/>
      <c r="J42" s="75"/>
      <c r="K42" s="2"/>
      <c r="L42" s="2"/>
    </row>
    <row r="43" ht="15.75" customHeight="1">
      <c r="C43" s="2"/>
      <c r="D43" s="2"/>
      <c r="E43" s="115" t="s">
        <v>77</v>
      </c>
      <c r="F43" s="118">
        <f>E40+G40</f>
        <v>338505.3</v>
      </c>
      <c r="K43" s="115" t="s">
        <v>77</v>
      </c>
      <c r="L43" s="118">
        <f>K40+M40</f>
        <v>276473.61</v>
      </c>
    </row>
    <row r="44" ht="15.75" customHeight="1">
      <c r="C44" s="122" t="s">
        <v>29</v>
      </c>
      <c r="D44" s="124">
        <v>355000.0</v>
      </c>
      <c r="E44" s="2"/>
      <c r="F44" s="2"/>
      <c r="I44" s="126" t="s">
        <v>29</v>
      </c>
      <c r="J44" s="124">
        <v>310000.0</v>
      </c>
      <c r="K44" s="2"/>
      <c r="L44" s="2"/>
    </row>
    <row r="45" ht="15.75" customHeight="1"/>
    <row r="46" ht="15.75" customHeight="1"/>
  </sheetData>
  <mergeCells count="10">
    <mergeCell ref="Y5:Z5"/>
    <mergeCell ref="Y16:Z16"/>
    <mergeCell ref="AB16:AC16"/>
    <mergeCell ref="C4:G6"/>
    <mergeCell ref="I4:M6"/>
    <mergeCell ref="Q5:R5"/>
    <mergeCell ref="T5:U5"/>
    <mergeCell ref="AB5:AC5"/>
    <mergeCell ref="C7:G7"/>
    <mergeCell ref="I7:M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.0"/>
    <col customWidth="1" min="3" max="3" width="11.11"/>
    <col customWidth="1" min="4" max="4" width="19.33"/>
    <col customWidth="1" min="5" max="5" width="19.0"/>
    <col customWidth="1" min="6" max="6" width="23.33"/>
    <col customWidth="1" min="7" max="7" width="12.78"/>
    <col customWidth="1" min="8" max="8" width="13.33"/>
    <col customWidth="1" min="9" max="9" width="15.44"/>
    <col customWidth="1" min="10" max="10" width="19.11"/>
    <col customWidth="1" min="11" max="11" width="17.67"/>
    <col customWidth="1" min="12" max="12" width="21.44"/>
    <col customWidth="1" min="13" max="13" width="12.78"/>
    <col customWidth="1" min="14" max="14" width="13.33"/>
    <col customWidth="1" min="15" max="15" width="13.0"/>
    <col customWidth="1" min="16" max="16" width="10.56"/>
    <col customWidth="1" min="17" max="17" width="13.67"/>
    <col customWidth="1" min="18" max="18" width="15.78"/>
    <col customWidth="1" min="19" max="19" width="15.44"/>
    <col customWidth="1" min="20" max="20" width="16.0"/>
    <col customWidth="1" min="21" max="21" width="15.44"/>
    <col customWidth="1" min="22" max="22" width="14.78"/>
    <col customWidth="1" min="23" max="23" width="10.56"/>
    <col customWidth="1" min="24" max="25" width="13.67"/>
    <col customWidth="1" min="26" max="26" width="13.78"/>
    <col customWidth="1" min="27" max="28" width="13.67"/>
  </cols>
  <sheetData>
    <row r="1" ht="15.75" customHeight="1"/>
    <row r="2" ht="15.75" customHeight="1"/>
    <row r="3" ht="15.75" customHeight="1">
      <c r="E3" s="2"/>
      <c r="F3" s="2"/>
      <c r="I3" s="2"/>
      <c r="J3" s="2"/>
      <c r="K3" s="2"/>
      <c r="L3" s="2"/>
    </row>
    <row r="4" ht="15.75" customHeight="1">
      <c r="C4" s="17" t="s">
        <v>13</v>
      </c>
      <c r="D4" s="18"/>
      <c r="E4" s="18"/>
      <c r="F4" s="18"/>
      <c r="G4" s="19"/>
      <c r="I4" s="27" t="s">
        <v>22</v>
      </c>
      <c r="J4" s="18"/>
      <c r="K4" s="18"/>
      <c r="L4" s="18"/>
      <c r="M4" s="19"/>
    </row>
    <row r="5" ht="15.75" customHeight="1">
      <c r="C5" s="31"/>
      <c r="G5" s="32"/>
      <c r="I5" s="31"/>
      <c r="M5" s="32"/>
      <c r="Q5" s="46" t="s">
        <v>207</v>
      </c>
      <c r="R5" s="6"/>
      <c r="T5" s="46" t="s">
        <v>208</v>
      </c>
      <c r="U5" s="6"/>
      <c r="X5" s="46" t="s">
        <v>207</v>
      </c>
      <c r="Y5" s="6"/>
      <c r="AA5" s="46" t="s">
        <v>208</v>
      </c>
      <c r="AB5" s="6"/>
    </row>
    <row r="6" ht="15.75" customHeight="1">
      <c r="C6" s="34"/>
      <c r="D6" s="35"/>
      <c r="E6" s="35"/>
      <c r="F6" s="35"/>
      <c r="G6" s="36"/>
      <c r="I6" s="34"/>
      <c r="J6" s="35"/>
      <c r="K6" s="35"/>
      <c r="L6" s="35"/>
      <c r="M6" s="36"/>
      <c r="Q6" s="261">
        <v>45566.0</v>
      </c>
      <c r="R6" s="261">
        <v>45597.0</v>
      </c>
      <c r="T6" s="261">
        <v>45566.0</v>
      </c>
      <c r="U6" s="261">
        <v>45597.0</v>
      </c>
      <c r="X6" s="261">
        <v>45566.0</v>
      </c>
      <c r="Y6" s="261">
        <v>45597.0</v>
      </c>
      <c r="AA6" s="261">
        <v>45566.0</v>
      </c>
      <c r="AB6" s="261">
        <v>45597.0</v>
      </c>
    </row>
    <row r="7" ht="15.75" customHeight="1">
      <c r="C7" s="40" t="s">
        <v>28</v>
      </c>
      <c r="D7" s="41"/>
      <c r="E7" s="41"/>
      <c r="F7" s="41"/>
      <c r="G7" s="6"/>
      <c r="I7" s="40" t="s">
        <v>28</v>
      </c>
      <c r="J7" s="41"/>
      <c r="K7" s="41"/>
      <c r="L7" s="41"/>
      <c r="M7" s="6"/>
      <c r="P7" s="2" t="s">
        <v>45</v>
      </c>
      <c r="Q7" s="229">
        <v>4364.8724999999995</v>
      </c>
      <c r="R7" s="229">
        <v>6956.9574999999995</v>
      </c>
      <c r="S7" s="75"/>
      <c r="T7" s="229">
        <v>3679.5</v>
      </c>
      <c r="U7" s="229">
        <v>4259.725</v>
      </c>
      <c r="V7" s="75"/>
      <c r="W7" s="2" t="s">
        <v>45</v>
      </c>
      <c r="X7" s="229">
        <v>4364.8724999999995</v>
      </c>
      <c r="Y7" s="229">
        <v>6956.9574999999995</v>
      </c>
      <c r="Z7" s="75"/>
      <c r="AA7" s="229">
        <v>3679.5</v>
      </c>
      <c r="AB7" s="229">
        <v>4259.725</v>
      </c>
    </row>
    <row r="8" ht="15.75" customHeight="1">
      <c r="C8" s="44" t="s">
        <v>32</v>
      </c>
      <c r="D8" s="44" t="s">
        <v>33</v>
      </c>
      <c r="E8" s="44" t="s">
        <v>36</v>
      </c>
      <c r="F8" s="44" t="s">
        <v>37</v>
      </c>
      <c r="G8" s="44" t="s">
        <v>38</v>
      </c>
      <c r="H8" s="267" t="s">
        <v>210</v>
      </c>
      <c r="I8" s="44" t="s">
        <v>32</v>
      </c>
      <c r="J8" s="44" t="s">
        <v>33</v>
      </c>
      <c r="K8" s="44" t="s">
        <v>36</v>
      </c>
      <c r="L8" s="44" t="s">
        <v>37</v>
      </c>
      <c r="M8" s="44" t="s">
        <v>38</v>
      </c>
      <c r="N8" s="268" t="s">
        <v>161</v>
      </c>
      <c r="P8" s="8" t="s">
        <v>46</v>
      </c>
      <c r="Q8" s="229">
        <v>4966.606</v>
      </c>
      <c r="R8" s="229">
        <v>7071.375</v>
      </c>
      <c r="S8" s="75"/>
      <c r="T8" s="229">
        <v>3819.04</v>
      </c>
      <c r="U8" s="229">
        <v>6624.1875</v>
      </c>
      <c r="V8" s="75"/>
      <c r="W8" s="8" t="s">
        <v>46</v>
      </c>
      <c r="X8" s="229">
        <v>4966.606</v>
      </c>
      <c r="Y8" s="229">
        <v>7071.375</v>
      </c>
      <c r="Z8" s="75"/>
      <c r="AA8" s="229">
        <v>3819.04</v>
      </c>
      <c r="AB8" s="229">
        <v>6624.1875</v>
      </c>
    </row>
    <row r="9" ht="15.75" customHeight="1">
      <c r="C9" s="47">
        <v>1.0</v>
      </c>
      <c r="D9" s="47" t="s">
        <v>41</v>
      </c>
      <c r="E9" s="229">
        <v>22000.0</v>
      </c>
      <c r="F9" s="61">
        <f>18176</f>
        <v>18176</v>
      </c>
      <c r="G9" s="51">
        <f t="shared" ref="G9:G38" si="1">F9-E9</f>
        <v>-3824</v>
      </c>
      <c r="H9" s="155">
        <v>204.0</v>
      </c>
      <c r="I9" s="47">
        <v>1.0</v>
      </c>
      <c r="J9" s="47" t="s">
        <v>41</v>
      </c>
      <c r="K9" s="61">
        <v>15000.0</v>
      </c>
      <c r="L9" s="61">
        <f>102.6+6124.46+6268.59-684.93</f>
        <v>11810.72</v>
      </c>
      <c r="M9" s="51">
        <f t="shared" ref="M9:M38" si="2">L9-K9</f>
        <v>-3189.28</v>
      </c>
      <c r="N9" s="269">
        <v>74.0</v>
      </c>
      <c r="P9" s="2" t="s">
        <v>40</v>
      </c>
      <c r="Q9" s="229">
        <v>5873.394</v>
      </c>
      <c r="R9" s="229">
        <v>7822.735000000001</v>
      </c>
      <c r="S9" s="75"/>
      <c r="T9" s="229">
        <v>4718.598</v>
      </c>
      <c r="U9" s="229">
        <v>6950.98</v>
      </c>
      <c r="V9" s="75"/>
      <c r="W9" s="2" t="s">
        <v>40</v>
      </c>
      <c r="X9" s="229">
        <v>5873.394</v>
      </c>
      <c r="Y9" s="229">
        <v>7822.735000000001</v>
      </c>
      <c r="Z9" s="75"/>
      <c r="AA9" s="229">
        <v>4718.598</v>
      </c>
      <c r="AB9" s="229">
        <v>6950.98</v>
      </c>
    </row>
    <row r="10" ht="15.75" customHeight="1">
      <c r="C10" s="47">
        <v>2.0</v>
      </c>
      <c r="D10" s="47" t="s">
        <v>44</v>
      </c>
      <c r="E10" s="229">
        <v>21500.0</v>
      </c>
      <c r="F10" s="61">
        <f>19863.5</f>
        <v>19863.5</v>
      </c>
      <c r="G10" s="51">
        <f t="shared" si="1"/>
        <v>-1636.5</v>
      </c>
      <c r="H10" s="155">
        <v>273.0</v>
      </c>
      <c r="I10" s="47">
        <v>2.0</v>
      </c>
      <c r="J10" s="47" t="s">
        <v>44</v>
      </c>
      <c r="K10" s="61">
        <v>19000.0</v>
      </c>
      <c r="L10" s="61">
        <f>14989.14+9813.67-1419.95</f>
        <v>23382.86</v>
      </c>
      <c r="M10" s="51">
        <f t="shared" si="2"/>
        <v>4382.86</v>
      </c>
      <c r="N10" s="269">
        <v>132.0</v>
      </c>
      <c r="P10" s="2" t="s">
        <v>47</v>
      </c>
      <c r="Q10" s="229">
        <v>7715.460000000001</v>
      </c>
      <c r="R10" s="229">
        <v>9199.76</v>
      </c>
      <c r="S10" s="75"/>
      <c r="T10" s="229">
        <v>6288.026</v>
      </c>
      <c r="U10" s="229">
        <v>6111.594999999999</v>
      </c>
      <c r="V10" s="75"/>
      <c r="W10" s="2" t="s">
        <v>47</v>
      </c>
      <c r="X10" s="229">
        <v>7715.460000000001</v>
      </c>
      <c r="Y10" s="229">
        <v>9199.76</v>
      </c>
      <c r="Z10" s="75"/>
      <c r="AA10" s="229">
        <v>6288.026</v>
      </c>
      <c r="AB10" s="229">
        <v>6111.594999999999</v>
      </c>
    </row>
    <row r="11" ht="15.75" customHeight="1">
      <c r="C11" s="47">
        <v>3.0</v>
      </c>
      <c r="D11" s="47" t="s">
        <v>45</v>
      </c>
      <c r="E11" s="229">
        <v>6000.0</v>
      </c>
      <c r="F11" s="61">
        <f>4481.6</f>
        <v>4481.6</v>
      </c>
      <c r="G11" s="51">
        <f t="shared" si="1"/>
        <v>-1518.4</v>
      </c>
      <c r="H11" s="155">
        <v>62.0</v>
      </c>
      <c r="I11" s="47">
        <v>3.0</v>
      </c>
      <c r="J11" s="47" t="s">
        <v>45</v>
      </c>
      <c r="K11" s="61">
        <v>4000.0</v>
      </c>
      <c r="L11" s="61">
        <f>3221.26+3009.64-287.97</f>
        <v>5942.93</v>
      </c>
      <c r="M11" s="51">
        <f t="shared" si="2"/>
        <v>1942.93</v>
      </c>
      <c r="N11" s="269">
        <v>38.0</v>
      </c>
      <c r="P11" s="2" t="s">
        <v>48</v>
      </c>
      <c r="Q11" s="229">
        <v>11172.994999999999</v>
      </c>
      <c r="R11" s="229">
        <v>16865.704</v>
      </c>
      <c r="S11" s="75"/>
      <c r="T11" s="229">
        <v>9252.77</v>
      </c>
      <c r="U11" s="229">
        <v>10936.856000000002</v>
      </c>
      <c r="V11" s="75"/>
      <c r="W11" s="2" t="s">
        <v>48</v>
      </c>
      <c r="X11" s="229">
        <v>11172.994999999999</v>
      </c>
      <c r="Y11" s="229">
        <v>16865.704</v>
      </c>
      <c r="Z11" s="75"/>
      <c r="AA11" s="229">
        <v>9252.77</v>
      </c>
      <c r="AB11" s="229">
        <v>10936.856000000002</v>
      </c>
    </row>
    <row r="12" ht="15.75" customHeight="1">
      <c r="C12" s="47">
        <v>4.0</v>
      </c>
      <c r="D12" s="47" t="s">
        <v>46</v>
      </c>
      <c r="E12" s="229">
        <v>7000.0</v>
      </c>
      <c r="F12" s="61">
        <f>3241</f>
        <v>3241</v>
      </c>
      <c r="G12" s="51">
        <f t="shared" si="1"/>
        <v>-3759</v>
      </c>
      <c r="H12" s="155">
        <v>45.0</v>
      </c>
      <c r="I12" s="47">
        <v>4.0</v>
      </c>
      <c r="J12" s="47" t="s">
        <v>46</v>
      </c>
      <c r="K12" s="61">
        <v>6500.0</v>
      </c>
      <c r="L12" s="61">
        <f>3140.23+168+1970.5-182.98</f>
        <v>5095.75</v>
      </c>
      <c r="M12" s="51">
        <f t="shared" si="2"/>
        <v>-1404.25</v>
      </c>
      <c r="N12" s="269">
        <v>33.0</v>
      </c>
      <c r="P12" s="2" t="s">
        <v>171</v>
      </c>
      <c r="Q12" s="229">
        <v>21537.1875</v>
      </c>
      <c r="R12" s="229">
        <v>20724.992</v>
      </c>
      <c r="S12" s="75"/>
      <c r="T12" s="229">
        <v>15056.412499999999</v>
      </c>
      <c r="U12" s="229">
        <v>14289.11</v>
      </c>
      <c r="V12" s="75"/>
      <c r="W12" s="2" t="s">
        <v>171</v>
      </c>
      <c r="X12" s="229">
        <v>21537.1875</v>
      </c>
      <c r="Y12" s="229">
        <v>20724.992</v>
      </c>
      <c r="Z12" s="75"/>
      <c r="AA12" s="229">
        <v>15056.412499999999</v>
      </c>
      <c r="AB12" s="229">
        <v>14289.11</v>
      </c>
    </row>
    <row r="13" ht="15.75" customHeight="1">
      <c r="C13" s="47">
        <v>5.0</v>
      </c>
      <c r="D13" s="47" t="s">
        <v>40</v>
      </c>
      <c r="E13" s="229">
        <v>8000.0</v>
      </c>
      <c r="F13" s="61">
        <f>3921.3</f>
        <v>3921.3</v>
      </c>
      <c r="G13" s="51">
        <f t="shared" si="1"/>
        <v>-4078.7</v>
      </c>
      <c r="H13" s="155">
        <v>44.0</v>
      </c>
      <c r="I13" s="47">
        <v>5.0</v>
      </c>
      <c r="J13" s="47" t="s">
        <v>40</v>
      </c>
      <c r="K13" s="61">
        <v>7000.0</v>
      </c>
      <c r="L13" s="61">
        <f>1477.43+2704.25-111.98</f>
        <v>4069.7</v>
      </c>
      <c r="M13" s="51">
        <f t="shared" si="2"/>
        <v>-2930.3</v>
      </c>
      <c r="N13" s="269">
        <v>29.0</v>
      </c>
      <c r="P13" s="2" t="s">
        <v>44</v>
      </c>
      <c r="Q13" s="229">
        <v>19904.07</v>
      </c>
      <c r="R13" s="229">
        <v>19405.65</v>
      </c>
      <c r="S13" s="75"/>
      <c r="T13" s="229">
        <v>21643.985</v>
      </c>
      <c r="U13" s="229">
        <v>19964.7775</v>
      </c>
      <c r="V13" s="75"/>
      <c r="W13" s="2" t="s">
        <v>44</v>
      </c>
      <c r="X13" s="229">
        <v>19904.07</v>
      </c>
      <c r="Y13" s="229">
        <v>19405.65</v>
      </c>
      <c r="Z13" s="75"/>
      <c r="AA13" s="229">
        <v>21643.985</v>
      </c>
      <c r="AB13" s="229">
        <v>19964.7775</v>
      </c>
    </row>
    <row r="14" ht="15.75" customHeight="1">
      <c r="C14" s="47">
        <v>6.0</v>
      </c>
      <c r="D14" s="47" t="s">
        <v>47</v>
      </c>
      <c r="E14" s="229">
        <v>9000.0</v>
      </c>
      <c r="F14" s="270">
        <f>6040.1</f>
        <v>6040.1</v>
      </c>
      <c r="G14" s="51">
        <f t="shared" si="1"/>
        <v>-2959.9</v>
      </c>
      <c r="H14" s="155">
        <v>72.0</v>
      </c>
      <c r="I14" s="47">
        <v>6.0</v>
      </c>
      <c r="J14" s="47" t="s">
        <v>47</v>
      </c>
      <c r="K14" s="61">
        <v>6500.0</v>
      </c>
      <c r="L14" s="61">
        <f>3182.31+1333.5-188</f>
        <v>4327.81</v>
      </c>
      <c r="M14" s="51">
        <f t="shared" si="2"/>
        <v>-2172.19</v>
      </c>
      <c r="N14" s="269">
        <v>30.0</v>
      </c>
      <c r="Q14" s="167">
        <v>75534.58499999999</v>
      </c>
      <c r="R14" s="167">
        <f>SUM(R7:R13)</f>
        <v>88047.1735</v>
      </c>
      <c r="S14" s="61"/>
      <c r="T14" s="167">
        <v>64458.3315</v>
      </c>
      <c r="U14" s="167">
        <f>SUM(U7:U13)</f>
        <v>69137.231</v>
      </c>
      <c r="V14" s="61"/>
      <c r="X14" s="167">
        <v>75534.58499999999</v>
      </c>
      <c r="Y14" s="167">
        <f>SUM(Y7:Y13)</f>
        <v>88047.1735</v>
      </c>
      <c r="Z14" s="61"/>
      <c r="AA14" s="167">
        <v>64458.3315</v>
      </c>
      <c r="AB14" s="167">
        <f>SUM(AB7:AB13)</f>
        <v>69137.231</v>
      </c>
    </row>
    <row r="15" ht="15.75" customHeight="1">
      <c r="C15" s="47">
        <v>7.0</v>
      </c>
      <c r="D15" s="47" t="s">
        <v>48</v>
      </c>
      <c r="E15" s="229">
        <v>15500.0</v>
      </c>
      <c r="F15" s="270">
        <f>202+12372.4-161</f>
        <v>12413.4</v>
      </c>
      <c r="G15" s="51">
        <f t="shared" si="1"/>
        <v>-3086.6</v>
      </c>
      <c r="H15" s="155">
        <v>146.0</v>
      </c>
      <c r="I15" s="47">
        <v>7.0</v>
      </c>
      <c r="J15" s="47" t="s">
        <v>48</v>
      </c>
      <c r="K15" s="61">
        <v>11000.0</v>
      </c>
      <c r="L15" s="61">
        <f>6997.18+6483.22-784.61</f>
        <v>12695.79</v>
      </c>
      <c r="M15" s="51">
        <f t="shared" si="2"/>
        <v>1695.79</v>
      </c>
      <c r="N15" s="269">
        <v>77.0</v>
      </c>
      <c r="R15" s="66">
        <f>R14/Q14-1</f>
        <v>0.1656537664</v>
      </c>
      <c r="U15" s="66">
        <f>U14/T14-1</f>
        <v>0.07258797104</v>
      </c>
      <c r="Y15" s="66">
        <f>Y14/X14-1</f>
        <v>0.1656537664</v>
      </c>
      <c r="AB15" s="66">
        <f>AB14/AA14-1</f>
        <v>0.07258797104</v>
      </c>
    </row>
    <row r="16" ht="15.75" customHeight="1">
      <c r="C16" s="47">
        <v>8.0</v>
      </c>
      <c r="D16" s="44" t="s">
        <v>41</v>
      </c>
      <c r="E16" s="229">
        <v>22000.0</v>
      </c>
      <c r="F16" s="61">
        <f>1304+25602</f>
        <v>26906</v>
      </c>
      <c r="G16" s="51">
        <f t="shared" si="1"/>
        <v>4906</v>
      </c>
      <c r="H16" s="155">
        <v>330.0</v>
      </c>
      <c r="I16" s="47">
        <v>8.0</v>
      </c>
      <c r="J16" s="44" t="s">
        <v>41</v>
      </c>
      <c r="K16" s="61">
        <v>15000.0</v>
      </c>
      <c r="L16" s="61">
        <f>6166.27+17+5489.55-887.97</f>
        <v>10784.85</v>
      </c>
      <c r="M16" s="51">
        <f t="shared" si="2"/>
        <v>-4215.15</v>
      </c>
      <c r="N16" s="269">
        <v>69.0</v>
      </c>
    </row>
    <row r="17" ht="15.75" customHeight="1">
      <c r="C17" s="47">
        <v>9.0</v>
      </c>
      <c r="D17" s="44" t="s">
        <v>44</v>
      </c>
      <c r="E17" s="229">
        <v>21500.0</v>
      </c>
      <c r="F17" s="61">
        <f>21371</f>
        <v>21371</v>
      </c>
      <c r="G17" s="51">
        <f t="shared" si="1"/>
        <v>-129</v>
      </c>
      <c r="H17" s="155">
        <v>285.0</v>
      </c>
      <c r="I17" s="47">
        <v>9.0</v>
      </c>
      <c r="J17" s="44" t="s">
        <v>44</v>
      </c>
      <c r="K17" s="61">
        <v>19000.0</v>
      </c>
      <c r="L17" s="61">
        <f>16355.59+3825.01+3819.59-1531.94</f>
        <v>22468.25</v>
      </c>
      <c r="M17" s="51">
        <f t="shared" si="2"/>
        <v>3468.25</v>
      </c>
      <c r="N17" s="269">
        <v>136.0</v>
      </c>
      <c r="R17" s="70"/>
      <c r="S17" s="71" t="s">
        <v>52</v>
      </c>
      <c r="T17" s="72"/>
      <c r="U17" s="73" t="s">
        <v>53</v>
      </c>
      <c r="X17" s="46" t="s">
        <v>211</v>
      </c>
      <c r="Y17" s="6"/>
      <c r="AA17" s="46" t="s">
        <v>212</v>
      </c>
      <c r="AB17" s="6"/>
    </row>
    <row r="18" ht="15.75" customHeight="1">
      <c r="C18" s="47">
        <v>10.0</v>
      </c>
      <c r="D18" s="47" t="s">
        <v>45</v>
      </c>
      <c r="E18" s="229">
        <v>6000.0</v>
      </c>
      <c r="F18" s="61">
        <f>1870+501.5</f>
        <v>2371.5</v>
      </c>
      <c r="G18" s="51">
        <f t="shared" si="1"/>
        <v>-3628.5</v>
      </c>
      <c r="H18" s="155">
        <v>33.0</v>
      </c>
      <c r="I18" s="47">
        <v>10.0</v>
      </c>
      <c r="J18" s="47" t="s">
        <v>45</v>
      </c>
      <c r="K18" s="61">
        <v>4000.0</v>
      </c>
      <c r="L18" s="61">
        <f>1981.16+2169.52-193.99</f>
        <v>3956.69</v>
      </c>
      <c r="M18" s="51">
        <f t="shared" si="2"/>
        <v>-43.31</v>
      </c>
      <c r="N18" s="269">
        <v>24.0</v>
      </c>
      <c r="R18" s="74" t="s">
        <v>29</v>
      </c>
      <c r="S18" s="75">
        <v>400000.0</v>
      </c>
      <c r="T18" s="2" t="s">
        <v>29</v>
      </c>
      <c r="U18" s="76">
        <v>310000.0</v>
      </c>
      <c r="X18" s="261">
        <v>45931.0</v>
      </c>
      <c r="Y18" s="261">
        <v>45962.0</v>
      </c>
      <c r="AA18" s="261">
        <v>45931.0</v>
      </c>
      <c r="AB18" s="261">
        <v>45962.0</v>
      </c>
    </row>
    <row r="19" ht="15.75" customHeight="1">
      <c r="C19" s="44">
        <v>11.0</v>
      </c>
      <c r="D19" s="47" t="s">
        <v>46</v>
      </c>
      <c r="E19" s="229">
        <v>7000.0</v>
      </c>
      <c r="F19" s="61">
        <f>3168.5</f>
        <v>3168.5</v>
      </c>
      <c r="G19" s="51">
        <f t="shared" si="1"/>
        <v>-3831.5</v>
      </c>
      <c r="H19" s="155">
        <v>37.0</v>
      </c>
      <c r="I19" s="44">
        <v>11.0</v>
      </c>
      <c r="J19" s="47" t="s">
        <v>46</v>
      </c>
      <c r="K19" s="61">
        <v>6500.0</v>
      </c>
      <c r="L19" s="61">
        <f>3181.02+1135.4-123.99</f>
        <v>4192.43</v>
      </c>
      <c r="M19" s="51">
        <f t="shared" si="2"/>
        <v>-2307.57</v>
      </c>
      <c r="N19" s="269">
        <v>24.0</v>
      </c>
      <c r="R19" s="74"/>
      <c r="S19" s="2"/>
      <c r="T19" s="2"/>
      <c r="U19" s="77"/>
      <c r="W19" s="2" t="s">
        <v>45</v>
      </c>
      <c r="X19" s="229">
        <v>5942.639999999999</v>
      </c>
      <c r="Y19" s="229">
        <v>5260.175000000001</v>
      </c>
      <c r="Z19" s="75"/>
      <c r="AA19" s="229">
        <v>4927.014</v>
      </c>
      <c r="AB19" s="229">
        <v>4761.0425</v>
      </c>
    </row>
    <row r="20" ht="15.75" customHeight="1">
      <c r="C20" s="44">
        <v>12.0</v>
      </c>
      <c r="D20" s="47" t="s">
        <v>40</v>
      </c>
      <c r="E20" s="229">
        <v>8000.0</v>
      </c>
      <c r="F20" s="61">
        <f>214+6751</f>
        <v>6965</v>
      </c>
      <c r="G20" s="51">
        <f t="shared" si="1"/>
        <v>-1035</v>
      </c>
      <c r="H20" s="155">
        <v>87.0</v>
      </c>
      <c r="I20" s="44">
        <v>12.0</v>
      </c>
      <c r="J20" s="47" t="s">
        <v>40</v>
      </c>
      <c r="K20" s="61">
        <v>7000.0</v>
      </c>
      <c r="L20" s="61">
        <f>2815.26+1128+379.13-106.96</f>
        <v>4215.43</v>
      </c>
      <c r="M20" s="51">
        <f t="shared" si="2"/>
        <v>-2784.57</v>
      </c>
      <c r="N20" s="269">
        <v>29.0</v>
      </c>
      <c r="R20" s="74" t="s">
        <v>58</v>
      </c>
      <c r="S20" s="75">
        <f>SUM(F9:F15)</f>
        <v>68136.9</v>
      </c>
      <c r="T20" s="58" t="s">
        <v>58</v>
      </c>
      <c r="U20" s="76">
        <f>SUM(L9:L15)</f>
        <v>67325.56</v>
      </c>
      <c r="W20" s="8" t="s">
        <v>46</v>
      </c>
      <c r="X20" s="229">
        <v>5109.4375</v>
      </c>
      <c r="Y20" s="229">
        <v>5726.200000000001</v>
      </c>
      <c r="Z20" s="75"/>
      <c r="AA20" s="229">
        <v>5770.624000000001</v>
      </c>
      <c r="AB20" s="229">
        <v>4973.817500000001</v>
      </c>
    </row>
    <row r="21" ht="15.75" customHeight="1">
      <c r="C21" s="47">
        <v>13.0</v>
      </c>
      <c r="D21" s="47" t="s">
        <v>47</v>
      </c>
      <c r="E21" s="229">
        <v>9000.0</v>
      </c>
      <c r="F21" s="61">
        <f>9257.1</f>
        <v>9257.1</v>
      </c>
      <c r="G21" s="51">
        <f t="shared" si="1"/>
        <v>257.1</v>
      </c>
      <c r="H21" s="155">
        <v>117.0</v>
      </c>
      <c r="I21" s="47">
        <v>13.0</v>
      </c>
      <c r="J21" s="47" t="s">
        <v>47</v>
      </c>
      <c r="K21" s="61">
        <v>6500.0</v>
      </c>
      <c r="L21" s="61">
        <f>2702.22+3264.03-296.97</f>
        <v>5669.28</v>
      </c>
      <c r="M21" s="51">
        <f t="shared" si="2"/>
        <v>-830.72</v>
      </c>
      <c r="N21" s="269">
        <v>34.0</v>
      </c>
      <c r="R21" s="74"/>
      <c r="S21" s="79">
        <f>S20/S18</f>
        <v>0.17034225</v>
      </c>
      <c r="U21" s="80">
        <f>U20/U18</f>
        <v>0.2171792258</v>
      </c>
      <c r="V21" s="66"/>
      <c r="W21" s="2" t="s">
        <v>40</v>
      </c>
      <c r="X21" s="229">
        <v>7090.778</v>
      </c>
      <c r="Y21" s="229">
        <v>6901.01</v>
      </c>
      <c r="Z21" s="75"/>
      <c r="AA21" s="229">
        <v>11159.374</v>
      </c>
      <c r="AB21" s="229">
        <v>4829.335000000001</v>
      </c>
    </row>
    <row r="22" ht="15.75" customHeight="1">
      <c r="C22" s="47">
        <v>14.0</v>
      </c>
      <c r="D22" s="47" t="s">
        <v>205</v>
      </c>
      <c r="E22" s="229">
        <v>15500.0</v>
      </c>
      <c r="F22" s="61">
        <f>13248-329</f>
        <v>12919</v>
      </c>
      <c r="G22" s="51">
        <f t="shared" si="1"/>
        <v>-2581</v>
      </c>
      <c r="H22" s="155">
        <v>182.0</v>
      </c>
      <c r="I22" s="47">
        <v>14.0</v>
      </c>
      <c r="J22" s="47" t="s">
        <v>205</v>
      </c>
      <c r="K22" s="61">
        <v>11000.0</v>
      </c>
      <c r="L22" s="61">
        <f>7621.51+4834.29-774.96</f>
        <v>11680.84</v>
      </c>
      <c r="M22" s="51">
        <f t="shared" si="2"/>
        <v>680.84</v>
      </c>
      <c r="N22" s="269">
        <v>68.0</v>
      </c>
      <c r="R22" s="74"/>
      <c r="S22" s="81"/>
      <c r="U22" s="77"/>
      <c r="W22" s="2" t="s">
        <v>47</v>
      </c>
      <c r="X22" s="229">
        <v>6405.09</v>
      </c>
      <c r="Y22" s="229">
        <v>7972.25</v>
      </c>
      <c r="Z22" s="75"/>
      <c r="AA22" s="229">
        <v>14423.9825</v>
      </c>
      <c r="AB22" s="229">
        <v>7339.642500000001</v>
      </c>
    </row>
    <row r="23" ht="15.75" customHeight="1">
      <c r="C23" s="47">
        <v>15.0</v>
      </c>
      <c r="D23" s="47" t="s">
        <v>171</v>
      </c>
      <c r="E23" s="229">
        <v>22000.0</v>
      </c>
      <c r="F23" s="61">
        <f>16+16796.2</f>
        <v>16812.2</v>
      </c>
      <c r="G23" s="51">
        <f t="shared" si="1"/>
        <v>-5187.8</v>
      </c>
      <c r="H23" s="155">
        <v>237.0</v>
      </c>
      <c r="I23" s="47">
        <v>15.0</v>
      </c>
      <c r="J23" s="47" t="s">
        <v>171</v>
      </c>
      <c r="K23" s="61">
        <v>15000.0</v>
      </c>
      <c r="L23" s="61">
        <f>6765.54+7587.53-835.02</f>
        <v>13518.05</v>
      </c>
      <c r="M23" s="51">
        <f t="shared" si="2"/>
        <v>-1481.95</v>
      </c>
      <c r="N23" s="269">
        <v>84.0</v>
      </c>
      <c r="R23" s="74" t="s">
        <v>62</v>
      </c>
      <c r="S23" s="75">
        <f>SUM(F16:F22)</f>
        <v>82958.1</v>
      </c>
      <c r="T23" s="58" t="s">
        <v>62</v>
      </c>
      <c r="U23" s="76">
        <f>SUM(L16:L22)</f>
        <v>62967.77</v>
      </c>
      <c r="W23" s="2" t="s">
        <v>48</v>
      </c>
      <c r="X23" s="229">
        <v>13295.328</v>
      </c>
      <c r="Y23" s="229">
        <v>14406.087500000001</v>
      </c>
      <c r="Z23" s="75"/>
      <c r="AA23" s="229">
        <v>20029.2825</v>
      </c>
      <c r="AB23" s="229">
        <v>11182.3925</v>
      </c>
    </row>
    <row r="24" ht="15.75" customHeight="1">
      <c r="C24" s="47">
        <v>16.0</v>
      </c>
      <c r="D24" s="47" t="s">
        <v>44</v>
      </c>
      <c r="E24" s="229">
        <v>21500.0</v>
      </c>
      <c r="F24" s="61">
        <f>22738.83</f>
        <v>22738.83</v>
      </c>
      <c r="G24" s="51">
        <f t="shared" si="1"/>
        <v>1238.83</v>
      </c>
      <c r="H24" s="155">
        <v>318.0</v>
      </c>
      <c r="I24" s="47">
        <v>16.0</v>
      </c>
      <c r="J24" s="47" t="s">
        <v>44</v>
      </c>
      <c r="K24" s="61">
        <v>19000.0</v>
      </c>
      <c r="L24" s="61">
        <f>9807.54+10037.19-1339.97</f>
        <v>18504.76</v>
      </c>
      <c r="M24" s="51">
        <f t="shared" si="2"/>
        <v>-495.24</v>
      </c>
      <c r="N24" s="269">
        <v>110.0</v>
      </c>
      <c r="R24" s="74"/>
      <c r="S24" s="79">
        <f>S23/S18</f>
        <v>0.20739525</v>
      </c>
      <c r="U24" s="80">
        <f>U23/U18</f>
        <v>0.2031218387</v>
      </c>
      <c r="W24" s="2" t="s">
        <v>171</v>
      </c>
      <c r="X24" s="229">
        <v>20084.865</v>
      </c>
      <c r="Y24" s="229">
        <v>19618.392</v>
      </c>
      <c r="Z24" s="75"/>
      <c r="AA24" s="229">
        <v>3432.1800000000003</v>
      </c>
      <c r="AB24" s="229">
        <v>13800.653999999999</v>
      </c>
    </row>
    <row r="25" ht="15.75" customHeight="1">
      <c r="C25" s="47">
        <v>17.0</v>
      </c>
      <c r="D25" s="47" t="s">
        <v>45</v>
      </c>
      <c r="E25" s="229">
        <v>6000.0</v>
      </c>
      <c r="F25" s="61">
        <f>9964.7</f>
        <v>9964.7</v>
      </c>
      <c r="G25" s="51">
        <f t="shared" si="1"/>
        <v>3964.7</v>
      </c>
      <c r="H25" s="155">
        <v>135.0</v>
      </c>
      <c r="I25" s="47">
        <v>17.0</v>
      </c>
      <c r="J25" s="47" t="s">
        <v>45</v>
      </c>
      <c r="K25" s="61">
        <v>4000.0</v>
      </c>
      <c r="L25" s="61">
        <f>3648.63+2068.34-239.97</f>
        <v>5477</v>
      </c>
      <c r="M25" s="51">
        <f t="shared" si="2"/>
        <v>1477</v>
      </c>
      <c r="N25" s="269">
        <v>29.0</v>
      </c>
      <c r="R25" s="74"/>
      <c r="S25" s="81"/>
      <c r="U25" s="77"/>
      <c r="W25" s="2" t="s">
        <v>44</v>
      </c>
      <c r="X25" s="229">
        <v>20000.3875</v>
      </c>
      <c r="Y25" s="229">
        <v>21435.246000000003</v>
      </c>
      <c r="Z25" s="75"/>
      <c r="AA25" s="229">
        <v>3911.6924999999997</v>
      </c>
      <c r="AB25" s="229">
        <v>21033.566</v>
      </c>
    </row>
    <row r="26" ht="19.5" customHeight="1">
      <c r="C26" s="47">
        <v>18.0</v>
      </c>
      <c r="D26" s="47" t="s">
        <v>46</v>
      </c>
      <c r="E26" s="229">
        <v>7000.0</v>
      </c>
      <c r="F26" s="61">
        <f>4329.7</f>
        <v>4329.7</v>
      </c>
      <c r="G26" s="51">
        <f t="shared" si="1"/>
        <v>-2670.3</v>
      </c>
      <c r="H26" s="155">
        <v>52.0</v>
      </c>
      <c r="I26" s="47">
        <v>18.0</v>
      </c>
      <c r="J26" s="47" t="s">
        <v>46</v>
      </c>
      <c r="K26" s="61">
        <v>6500.0</v>
      </c>
      <c r="L26" s="61">
        <f>2169.38+1517.11+580.05-121.98</f>
        <v>4144.56</v>
      </c>
      <c r="M26" s="51">
        <f t="shared" si="2"/>
        <v>-2355.44</v>
      </c>
      <c r="N26" s="269">
        <v>23.0</v>
      </c>
      <c r="R26" s="74" t="s">
        <v>63</v>
      </c>
      <c r="S26" s="75">
        <f>SUM(F23:F29)</f>
        <v>87752.07</v>
      </c>
      <c r="T26" s="58" t="s">
        <v>63</v>
      </c>
      <c r="U26" s="76">
        <f>SUM(L23:L29)</f>
        <v>69581.65</v>
      </c>
      <c r="X26" s="167">
        <f t="shared" ref="X26:Y26" si="3">SUM(X19:X25)</f>
        <v>77928.526</v>
      </c>
      <c r="Y26" s="167">
        <f t="shared" si="3"/>
        <v>81319.3605</v>
      </c>
      <c r="Z26" s="61"/>
      <c r="AA26" s="167">
        <f t="shared" ref="AA26:AB26" si="4">SUM(AA19:AA25)</f>
        <v>63654.1495</v>
      </c>
      <c r="AB26" s="167">
        <f t="shared" si="4"/>
        <v>67920.45</v>
      </c>
    </row>
    <row r="27" ht="15.75" customHeight="1">
      <c r="C27" s="47">
        <v>19.0</v>
      </c>
      <c r="D27" s="47" t="s">
        <v>40</v>
      </c>
      <c r="E27" s="229">
        <v>8000.0</v>
      </c>
      <c r="F27" s="61">
        <f>241+8002.74</f>
        <v>8243.74</v>
      </c>
      <c r="G27" s="51">
        <f t="shared" si="1"/>
        <v>243.74</v>
      </c>
      <c r="H27" s="155">
        <v>113.0</v>
      </c>
      <c r="I27" s="47">
        <v>19.0</v>
      </c>
      <c r="J27" s="47" t="s">
        <v>40</v>
      </c>
      <c r="K27" s="61">
        <v>7000.0</v>
      </c>
      <c r="L27" s="61">
        <f>4872.16+2819.53-240.95</f>
        <v>7450.74</v>
      </c>
      <c r="M27" s="51">
        <f t="shared" si="2"/>
        <v>450.74</v>
      </c>
      <c r="N27" s="269">
        <v>44.0</v>
      </c>
      <c r="R27" s="74"/>
      <c r="S27" s="79">
        <f>S26/S18</f>
        <v>0.219380175</v>
      </c>
      <c r="U27" s="80">
        <f>U26/U18</f>
        <v>0.2244569355</v>
      </c>
      <c r="Y27" s="66">
        <f>Y26/X26-1</f>
        <v>0.04351210878</v>
      </c>
      <c r="AB27" s="66">
        <f>AB26/AA26-1</f>
        <v>0.06702313256</v>
      </c>
    </row>
    <row r="28" ht="15.75" customHeight="1">
      <c r="C28" s="47">
        <v>20.0</v>
      </c>
      <c r="D28" s="47" t="s">
        <v>47</v>
      </c>
      <c r="E28" s="229">
        <v>9000.0</v>
      </c>
      <c r="F28" s="61">
        <f>10470.7</f>
        <v>10470.7</v>
      </c>
      <c r="G28" s="51">
        <f t="shared" si="1"/>
        <v>1470.7</v>
      </c>
      <c r="H28" s="155">
        <v>129.0</v>
      </c>
      <c r="I28" s="47">
        <v>20.0</v>
      </c>
      <c r="J28" s="47" t="s">
        <v>47</v>
      </c>
      <c r="K28" s="61">
        <v>6500.0</v>
      </c>
      <c r="L28" s="61">
        <f>6274.56+161+6945.88-944.98</f>
        <v>12436.46</v>
      </c>
      <c r="M28" s="51">
        <f t="shared" si="2"/>
        <v>5936.46</v>
      </c>
      <c r="N28" s="269">
        <v>73.0</v>
      </c>
      <c r="R28" s="74"/>
      <c r="U28" s="82"/>
    </row>
    <row r="29" ht="15.75" customHeight="1">
      <c r="C29" s="47">
        <v>21.0</v>
      </c>
      <c r="D29" s="47" t="s">
        <v>205</v>
      </c>
      <c r="E29" s="229">
        <v>15500.0</v>
      </c>
      <c r="F29" s="61">
        <f>15535.2-343</f>
        <v>15192.2</v>
      </c>
      <c r="G29" s="51">
        <f t="shared" si="1"/>
        <v>-307.8</v>
      </c>
      <c r="H29" s="155">
        <v>177.0</v>
      </c>
      <c r="I29" s="47">
        <v>21.0</v>
      </c>
      <c r="J29" s="47" t="s">
        <v>205</v>
      </c>
      <c r="K29" s="61">
        <v>11000.0</v>
      </c>
      <c r="L29" s="61">
        <f>3659.58+154.5+4534.95-298.95</f>
        <v>8050.08</v>
      </c>
      <c r="M29" s="51">
        <f t="shared" si="2"/>
        <v>-2949.92</v>
      </c>
      <c r="N29" s="269">
        <v>48.0</v>
      </c>
      <c r="R29" s="74" t="s">
        <v>64</v>
      </c>
      <c r="S29" s="61">
        <f>SUM(F30:F36)</f>
        <v>89456.25</v>
      </c>
      <c r="T29" s="58" t="s">
        <v>64</v>
      </c>
      <c r="U29" s="83">
        <f>SUM(L30:L36)</f>
        <v>66158.1</v>
      </c>
    </row>
    <row r="30" ht="19.5" customHeight="1">
      <c r="C30" s="47">
        <v>22.0</v>
      </c>
      <c r="D30" s="47" t="s">
        <v>171</v>
      </c>
      <c r="E30" s="229">
        <v>22000.0</v>
      </c>
      <c r="F30" s="61">
        <f>21979.5</f>
        <v>21979.5</v>
      </c>
      <c r="G30" s="51">
        <f t="shared" si="1"/>
        <v>-20.5</v>
      </c>
      <c r="H30" s="155">
        <v>293.0</v>
      </c>
      <c r="I30" s="47">
        <v>22.0</v>
      </c>
      <c r="J30" s="47" t="s">
        <v>171</v>
      </c>
      <c r="K30" s="61">
        <v>15000.0</v>
      </c>
      <c r="L30" s="61">
        <f>10211.73+84.9+3821.67-939.96</f>
        <v>13178.34</v>
      </c>
      <c r="M30" s="51">
        <f t="shared" si="2"/>
        <v>-1821.66</v>
      </c>
      <c r="N30" s="269">
        <v>81.0</v>
      </c>
      <c r="R30" s="74"/>
      <c r="S30" s="79">
        <f>S29/S18</f>
        <v>0.223640625</v>
      </c>
      <c r="U30" s="80">
        <f>U29/U18</f>
        <v>0.2134132258</v>
      </c>
    </row>
    <row r="31" ht="18.0" customHeight="1">
      <c r="C31" s="47">
        <v>23.0</v>
      </c>
      <c r="D31" s="47" t="s">
        <v>44</v>
      </c>
      <c r="E31" s="229">
        <v>21500.0</v>
      </c>
      <c r="F31" s="61">
        <f>359+19034.4</f>
        <v>19393.4</v>
      </c>
      <c r="G31" s="51">
        <f t="shared" si="1"/>
        <v>-2106.6</v>
      </c>
      <c r="H31" s="155">
        <v>243.0</v>
      </c>
      <c r="I31" s="47">
        <v>23.0</v>
      </c>
      <c r="J31" s="47" t="s">
        <v>44</v>
      </c>
      <c r="K31" s="61">
        <v>19000.0</v>
      </c>
      <c r="L31" s="61">
        <f>13106.96+8306.3-1372.93</f>
        <v>20040.33</v>
      </c>
      <c r="M31" s="51">
        <f t="shared" si="2"/>
        <v>1040.33</v>
      </c>
      <c r="N31" s="269">
        <v>132.0</v>
      </c>
      <c r="R31" s="74" t="s">
        <v>65</v>
      </c>
      <c r="S31" s="61">
        <f>SUM(F37:F39)</f>
        <v>38027.76</v>
      </c>
      <c r="T31" s="58" t="s">
        <v>65</v>
      </c>
      <c r="U31" s="83">
        <f>SUM(L37:L39)</f>
        <v>40482.94</v>
      </c>
    </row>
    <row r="32" ht="15.75" customHeight="1">
      <c r="C32" s="47">
        <v>24.0</v>
      </c>
      <c r="D32" s="47" t="s">
        <v>45</v>
      </c>
      <c r="E32" s="229">
        <v>6000.0</v>
      </c>
      <c r="F32" s="61">
        <f>4222.9</f>
        <v>4222.9</v>
      </c>
      <c r="G32" s="51">
        <f t="shared" si="1"/>
        <v>-1777.1</v>
      </c>
      <c r="H32" s="155">
        <v>59.0</v>
      </c>
      <c r="I32" s="47">
        <v>24.0</v>
      </c>
      <c r="J32" s="47" t="s">
        <v>45</v>
      </c>
      <c r="K32" s="61">
        <v>4000.0</v>
      </c>
      <c r="L32" s="61">
        <f>2436.89+1342.64-111.98</f>
        <v>3667.55</v>
      </c>
      <c r="M32" s="51">
        <f t="shared" si="2"/>
        <v>-332.45</v>
      </c>
      <c r="N32" s="269">
        <v>26.0</v>
      </c>
      <c r="R32" s="84" t="s">
        <v>206</v>
      </c>
      <c r="S32" s="85">
        <f>S31/S18</f>
        <v>0.0950694</v>
      </c>
      <c r="T32" s="84" t="s">
        <v>206</v>
      </c>
      <c r="U32" s="87">
        <f>U31/U18</f>
        <v>0.130590129</v>
      </c>
    </row>
    <row r="33" ht="15.75" customHeight="1">
      <c r="C33" s="47">
        <v>25.0</v>
      </c>
      <c r="D33" s="47" t="s">
        <v>46</v>
      </c>
      <c r="E33" s="229">
        <v>7000.0</v>
      </c>
      <c r="F33" s="61">
        <f>12165.6</f>
        <v>12165.6</v>
      </c>
      <c r="G33" s="51">
        <f t="shared" si="1"/>
        <v>5165.6</v>
      </c>
      <c r="H33" s="155">
        <v>161.0</v>
      </c>
      <c r="I33" s="47">
        <v>25.0</v>
      </c>
      <c r="J33" s="47" t="s">
        <v>46</v>
      </c>
      <c r="K33" s="61">
        <v>6500.0</v>
      </c>
      <c r="L33" s="61">
        <f>4278.51+2473.01-288.99</f>
        <v>6462.53</v>
      </c>
      <c r="M33" s="51">
        <f t="shared" si="2"/>
        <v>-37.47</v>
      </c>
      <c r="N33" s="269">
        <v>35.0</v>
      </c>
    </row>
    <row r="34" ht="15.75" customHeight="1">
      <c r="C34" s="47">
        <v>26.0</v>
      </c>
      <c r="D34" s="47" t="s">
        <v>40</v>
      </c>
      <c r="E34" s="229">
        <v>8000.0</v>
      </c>
      <c r="F34" s="61">
        <f>8474</f>
        <v>8474</v>
      </c>
      <c r="G34" s="51">
        <f t="shared" si="1"/>
        <v>474</v>
      </c>
      <c r="H34" s="155">
        <v>109.0</v>
      </c>
      <c r="I34" s="47">
        <v>26.0</v>
      </c>
      <c r="J34" s="47" t="s">
        <v>40</v>
      </c>
      <c r="K34" s="61">
        <v>7000.0</v>
      </c>
      <c r="L34" s="61">
        <f>1881.92+1895.54-195.99</f>
        <v>3581.47</v>
      </c>
      <c r="M34" s="51">
        <f t="shared" si="2"/>
        <v>-3418.53</v>
      </c>
      <c r="N34" s="269">
        <v>27.0</v>
      </c>
      <c r="Q34" s="259" t="s">
        <v>72</v>
      </c>
      <c r="R34" s="93" t="s">
        <v>73</v>
      </c>
      <c r="S34" s="94">
        <f>F40</f>
        <v>366331.08</v>
      </c>
      <c r="T34" s="164" t="s">
        <v>74</v>
      </c>
      <c r="U34" s="96">
        <f>L40</f>
        <v>306508.02</v>
      </c>
      <c r="V34" s="259" t="s">
        <v>72</v>
      </c>
    </row>
    <row r="35" ht="19.5" customHeight="1">
      <c r="C35" s="47">
        <v>27.0</v>
      </c>
      <c r="D35" s="47" t="s">
        <v>47</v>
      </c>
      <c r="E35" s="229">
        <v>9000.0</v>
      </c>
      <c r="F35" s="61">
        <f>6121.1</f>
        <v>6121.1</v>
      </c>
      <c r="G35" s="51">
        <f t="shared" si="1"/>
        <v>-2878.9</v>
      </c>
      <c r="H35" s="155">
        <v>96.0</v>
      </c>
      <c r="I35" s="47">
        <v>27.0</v>
      </c>
      <c r="J35" s="47" t="s">
        <v>47</v>
      </c>
      <c r="K35" s="61">
        <v>6500.0</v>
      </c>
      <c r="L35" s="61">
        <f>4700.1+2363.9-138.98</f>
        <v>6925.02</v>
      </c>
      <c r="M35" s="51">
        <f t="shared" si="2"/>
        <v>425.02</v>
      </c>
      <c r="N35" s="269">
        <v>45.0</v>
      </c>
      <c r="Q35" s="260">
        <f>S35-T35</f>
        <v>-0.0841723</v>
      </c>
      <c r="R35" s="98"/>
      <c r="S35" s="99">
        <f>S34/S18</f>
        <v>0.9158277</v>
      </c>
      <c r="T35" s="165">
        <f>30/30</f>
        <v>1</v>
      </c>
      <c r="U35" s="100">
        <f>U34/U18</f>
        <v>0.9887355484</v>
      </c>
      <c r="V35" s="260">
        <f>U35-T35</f>
        <v>-0.01126445161</v>
      </c>
    </row>
    <row r="36" ht="15.75" customHeight="1">
      <c r="C36" s="47">
        <v>28.0</v>
      </c>
      <c r="D36" s="47" t="s">
        <v>205</v>
      </c>
      <c r="E36" s="229">
        <v>16000.0</v>
      </c>
      <c r="F36" s="61">
        <f>17428.75-329</f>
        <v>17099.75</v>
      </c>
      <c r="G36" s="51">
        <f t="shared" si="1"/>
        <v>1099.75</v>
      </c>
      <c r="H36" s="155">
        <v>208.0</v>
      </c>
      <c r="I36" s="47">
        <v>28.0</v>
      </c>
      <c r="J36" s="47" t="s">
        <v>205</v>
      </c>
      <c r="K36" s="61">
        <v>11000.0</v>
      </c>
      <c r="L36" s="61">
        <f>6629.53+6506.31-832.98</f>
        <v>12302.86</v>
      </c>
      <c r="M36" s="51">
        <f t="shared" si="2"/>
        <v>1302.86</v>
      </c>
      <c r="N36" s="269">
        <v>101.0</v>
      </c>
      <c r="R36" s="98" t="s">
        <v>76</v>
      </c>
      <c r="S36" s="104">
        <f>S18-S34</f>
        <v>33668.92</v>
      </c>
      <c r="T36" s="99"/>
      <c r="U36" s="106">
        <f>U18-U34</f>
        <v>3491.98</v>
      </c>
    </row>
    <row r="37" ht="15.75" customHeight="1">
      <c r="C37" s="47">
        <v>29.0</v>
      </c>
      <c r="D37" s="47" t="s">
        <v>41</v>
      </c>
      <c r="E37" s="229">
        <v>22000.0</v>
      </c>
      <c r="F37" s="61">
        <f>4533.16+9985.1-300</f>
        <v>14218.26</v>
      </c>
      <c r="G37" s="51">
        <f t="shared" si="1"/>
        <v>-7781.74</v>
      </c>
      <c r="H37" s="155">
        <v>199.0</v>
      </c>
      <c r="I37" s="47">
        <v>29.0</v>
      </c>
      <c r="J37" s="47" t="s">
        <v>41</v>
      </c>
      <c r="K37" s="61">
        <v>15000.0</v>
      </c>
      <c r="L37" s="61">
        <f>9064.71+11766.53-1419.93+300</f>
        <v>19711.31</v>
      </c>
      <c r="M37" s="51">
        <f t="shared" si="2"/>
        <v>4711.31</v>
      </c>
      <c r="N37" s="269">
        <v>118.0</v>
      </c>
      <c r="R37" s="110"/>
      <c r="S37" s="112">
        <f>S36/S18</f>
        <v>0.0841723</v>
      </c>
      <c r="T37" s="112"/>
      <c r="U37" s="113">
        <f>U36/U18</f>
        <v>0.01126445161</v>
      </c>
    </row>
    <row r="38" ht="15.75" customHeight="1">
      <c r="C38" s="47">
        <v>30.0</v>
      </c>
      <c r="D38" s="47" t="s">
        <v>44</v>
      </c>
      <c r="E38" s="229">
        <v>21500.0</v>
      </c>
      <c r="F38" s="61">
        <f>23809.5</f>
        <v>23809.5</v>
      </c>
      <c r="G38" s="51">
        <f t="shared" si="1"/>
        <v>2309.5</v>
      </c>
      <c r="H38" s="155">
        <v>315.0</v>
      </c>
      <c r="I38" s="47">
        <v>30.0</v>
      </c>
      <c r="J38" s="47" t="s">
        <v>44</v>
      </c>
      <c r="K38" s="61">
        <v>19000.0</v>
      </c>
      <c r="L38" s="61">
        <f>22325.57-1553.94</f>
        <v>20771.63</v>
      </c>
      <c r="M38" s="51">
        <f t="shared" si="2"/>
        <v>1771.63</v>
      </c>
      <c r="N38" s="269">
        <v>128.0</v>
      </c>
    </row>
    <row r="39" ht="15.75" customHeight="1">
      <c r="C39" s="47"/>
      <c r="D39" s="47"/>
      <c r="E39" s="61"/>
      <c r="F39" s="61"/>
      <c r="G39" s="51"/>
      <c r="I39" s="47"/>
      <c r="J39" s="47"/>
      <c r="K39" s="61"/>
      <c r="L39" s="61"/>
      <c r="M39" s="51"/>
    </row>
    <row r="40" ht="15.75" customHeight="1">
      <c r="C40" s="8"/>
      <c r="D40" s="8"/>
      <c r="E40" s="107">
        <f t="shared" ref="E40:G40" si="5">SUM(E9:E39)</f>
        <v>400000</v>
      </c>
      <c r="F40" s="271">
        <f t="shared" si="5"/>
        <v>366331.08</v>
      </c>
      <c r="G40" s="105">
        <f t="shared" si="5"/>
        <v>-33668.92</v>
      </c>
      <c r="I40" s="8"/>
      <c r="J40" s="8"/>
      <c r="K40" s="107">
        <f>SUM(K9:K39)</f>
        <v>310000</v>
      </c>
      <c r="L40" s="272">
        <f>SUM(L9:L39)-8</f>
        <v>306508.02</v>
      </c>
      <c r="M40" s="105">
        <f>SUM(M9:M39)</f>
        <v>-3483.98</v>
      </c>
      <c r="P40" s="61"/>
      <c r="U40" s="61"/>
    </row>
    <row r="41" ht="15.75" customHeight="1">
      <c r="D41" s="61"/>
      <c r="F41" s="225"/>
      <c r="G41" s="114"/>
      <c r="J41" s="61"/>
      <c r="K41" s="61"/>
      <c r="L41" s="275"/>
      <c r="M41" s="114"/>
    </row>
    <row r="42" ht="15.75" customHeight="1">
      <c r="C42" s="2"/>
      <c r="D42" s="75"/>
      <c r="E42" s="2"/>
      <c r="F42" s="2"/>
      <c r="I42" s="2"/>
      <c r="J42" s="75"/>
      <c r="K42" s="2"/>
      <c r="L42" s="2"/>
    </row>
    <row r="43" ht="15.75" customHeight="1">
      <c r="C43" s="2"/>
      <c r="D43" s="2"/>
      <c r="E43" s="115" t="s">
        <v>77</v>
      </c>
      <c r="F43" s="118">
        <f>E40+G40</f>
        <v>366331.08</v>
      </c>
      <c r="K43" s="115" t="s">
        <v>77</v>
      </c>
      <c r="L43" s="118">
        <f>K40+M40</f>
        <v>306516.02</v>
      </c>
    </row>
    <row r="44" ht="15.75" customHeight="1">
      <c r="C44" s="122" t="s">
        <v>29</v>
      </c>
      <c r="D44" s="124">
        <v>400000.0</v>
      </c>
      <c r="E44" s="2"/>
      <c r="F44" s="2"/>
      <c r="I44" s="126" t="s">
        <v>29</v>
      </c>
      <c r="J44" s="124">
        <v>310000.0</v>
      </c>
      <c r="K44" s="2"/>
      <c r="L44" s="2"/>
    </row>
    <row r="45" ht="15.75" customHeight="1"/>
    <row r="46" ht="15.75" customHeight="1"/>
    <row r="47" ht="15.75" customHeight="1">
      <c r="I47" s="61"/>
    </row>
    <row r="48" ht="15.75" customHeight="1">
      <c r="I48" s="12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X5:Y5"/>
    <mergeCell ref="X17:Y17"/>
    <mergeCell ref="AA17:AB17"/>
    <mergeCell ref="C4:G6"/>
    <mergeCell ref="I4:M6"/>
    <mergeCell ref="Q5:R5"/>
    <mergeCell ref="T5:U5"/>
    <mergeCell ref="AA5:AB5"/>
    <mergeCell ref="C7:G7"/>
    <mergeCell ref="I7:M7"/>
  </mergeCells>
  <conditionalFormatting sqref="G9:G40">
    <cfRule type="cellIs" dxfId="0" priority="1" operator="greaterThanOrEqual">
      <formula>0</formula>
    </cfRule>
  </conditionalFormatting>
  <conditionalFormatting sqref="G9:G40">
    <cfRule type="cellIs" dxfId="1" priority="2" operator="lessThan">
      <formula>0</formula>
    </cfRule>
  </conditionalFormatting>
  <conditionalFormatting sqref="G9:G40">
    <cfRule type="cellIs" dxfId="2" priority="3" operator="lessThan">
      <formula>0</formula>
    </cfRule>
  </conditionalFormatting>
  <conditionalFormatting sqref="M9:M40">
    <cfRule type="cellIs" dxfId="0" priority="4" operator="greaterThanOrEqual">
      <formula>0</formula>
    </cfRule>
  </conditionalFormatting>
  <conditionalFormatting sqref="M9:M40">
    <cfRule type="cellIs" dxfId="1" priority="5" operator="lessThan">
      <formula>0</formula>
    </cfRule>
  </conditionalFormatting>
  <conditionalFormatting sqref="M9:M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13.0"/>
    <col customWidth="1" min="4" max="4" width="11.11"/>
    <col customWidth="1" min="5" max="5" width="19.33"/>
    <col customWidth="1" min="6" max="6" width="23.44"/>
    <col customWidth="1" min="7" max="7" width="23.33"/>
    <col customWidth="1" min="8" max="8" width="12.78"/>
    <col customWidth="1" min="9" max="9" width="15.78"/>
    <col customWidth="1" min="10" max="10" width="15.44"/>
    <col customWidth="1" min="11" max="11" width="19.11"/>
    <col customWidth="1" min="12" max="12" width="17.67"/>
    <col customWidth="1" min="13" max="13" width="21.44"/>
    <col customWidth="1" min="14" max="14" width="12.78"/>
    <col customWidth="1" min="15" max="15" width="15.44"/>
    <col customWidth="1" min="16" max="16" width="13.0"/>
    <col customWidth="1" min="17" max="17" width="14.0"/>
    <col customWidth="1" min="18" max="18" width="13.67"/>
    <col customWidth="1" min="19" max="19" width="15.78"/>
    <col customWidth="1" min="20" max="20" width="15.44"/>
    <col customWidth="1" min="21" max="21" width="16.0"/>
    <col customWidth="1" min="22" max="22" width="15.44"/>
    <col customWidth="1" min="23" max="23" width="14.78"/>
    <col customWidth="1" min="24" max="26" width="10.56"/>
  </cols>
  <sheetData>
    <row r="1" ht="15.75" customHeight="1">
      <c r="C1" s="61"/>
    </row>
    <row r="2" ht="15.75" customHeight="1">
      <c r="C2" s="61"/>
    </row>
    <row r="3" ht="15.75" customHeight="1">
      <c r="C3" s="61"/>
      <c r="F3" s="2"/>
      <c r="G3" s="2"/>
      <c r="J3" s="2"/>
      <c r="K3" s="2"/>
      <c r="L3" s="2"/>
      <c r="M3" s="2"/>
    </row>
    <row r="4" ht="15.75" customHeight="1">
      <c r="C4" s="61"/>
      <c r="D4" s="17" t="s">
        <v>13</v>
      </c>
      <c r="E4" s="18"/>
      <c r="F4" s="18"/>
      <c r="G4" s="18"/>
      <c r="H4" s="19"/>
      <c r="J4" s="27" t="s">
        <v>22</v>
      </c>
      <c r="K4" s="18"/>
      <c r="L4" s="18"/>
      <c r="M4" s="18"/>
      <c r="N4" s="19"/>
    </row>
    <row r="5" ht="15.75" customHeight="1">
      <c r="C5" s="61"/>
      <c r="D5" s="31"/>
      <c r="H5" s="32"/>
      <c r="J5" s="31"/>
      <c r="N5" s="32"/>
      <c r="R5" s="46" t="s">
        <v>207</v>
      </c>
      <c r="S5" s="6"/>
      <c r="U5" s="46" t="s">
        <v>208</v>
      </c>
      <c r="V5" s="6"/>
    </row>
    <row r="6" ht="15.75" customHeight="1">
      <c r="C6" s="61"/>
      <c r="D6" s="34"/>
      <c r="E6" s="35"/>
      <c r="F6" s="35"/>
      <c r="G6" s="35"/>
      <c r="H6" s="36"/>
      <c r="J6" s="34"/>
      <c r="K6" s="35"/>
      <c r="L6" s="35"/>
      <c r="M6" s="35"/>
      <c r="N6" s="36"/>
      <c r="R6" s="261">
        <v>45597.0</v>
      </c>
      <c r="S6" s="261">
        <v>45627.0</v>
      </c>
      <c r="U6" s="261">
        <v>45597.0</v>
      </c>
      <c r="V6" s="261">
        <v>45627.0</v>
      </c>
    </row>
    <row r="7" ht="15.75" customHeight="1">
      <c r="C7" s="61"/>
      <c r="D7" s="40" t="s">
        <v>28</v>
      </c>
      <c r="E7" s="41"/>
      <c r="F7" s="41"/>
      <c r="G7" s="41"/>
      <c r="H7" s="6"/>
      <c r="I7" s="273"/>
      <c r="J7" s="40" t="s">
        <v>28</v>
      </c>
      <c r="K7" s="41"/>
      <c r="L7" s="41"/>
      <c r="M7" s="41"/>
      <c r="N7" s="6"/>
      <c r="Q7" s="2" t="s">
        <v>45</v>
      </c>
      <c r="R7" s="229">
        <v>6956.9574999999995</v>
      </c>
      <c r="S7" s="274">
        <v>9102.2</v>
      </c>
      <c r="T7" s="75">
        <f t="shared" ref="T7:T11" si="1">S7*4</f>
        <v>36408.8</v>
      </c>
      <c r="U7" s="229">
        <v>4259.725</v>
      </c>
      <c r="V7" s="61">
        <v>6294.29</v>
      </c>
      <c r="W7" s="75">
        <f t="shared" ref="W7:W11" si="2">V7*4</f>
        <v>25177.16</v>
      </c>
    </row>
    <row r="8" ht="15.75" customHeight="1">
      <c r="C8" s="61"/>
      <c r="D8" s="44" t="s">
        <v>32</v>
      </c>
      <c r="E8" s="44" t="s">
        <v>33</v>
      </c>
      <c r="F8" s="44" t="s">
        <v>36</v>
      </c>
      <c r="G8" s="44" t="s">
        <v>37</v>
      </c>
      <c r="H8" s="44" t="s">
        <v>38</v>
      </c>
      <c r="I8" s="267" t="s">
        <v>210</v>
      </c>
      <c r="J8" s="44" t="s">
        <v>32</v>
      </c>
      <c r="K8" s="44" t="s">
        <v>33</v>
      </c>
      <c r="L8" s="44" t="s">
        <v>36</v>
      </c>
      <c r="M8" s="44" t="s">
        <v>37</v>
      </c>
      <c r="N8" s="44" t="s">
        <v>38</v>
      </c>
      <c r="O8" s="268" t="s">
        <v>161</v>
      </c>
      <c r="Q8" s="8" t="s">
        <v>46</v>
      </c>
      <c r="R8" s="229">
        <v>7071.375</v>
      </c>
      <c r="S8" s="276">
        <v>13509.28</v>
      </c>
      <c r="T8" s="75">
        <f t="shared" si="1"/>
        <v>54037.12</v>
      </c>
      <c r="U8" s="229">
        <v>6624.1875</v>
      </c>
      <c r="V8" s="61">
        <v>5833.489999999999</v>
      </c>
      <c r="W8" s="75">
        <f t="shared" si="2"/>
        <v>23333.96</v>
      </c>
    </row>
    <row r="9" ht="15.75" customHeight="1">
      <c r="C9" s="61"/>
      <c r="D9" s="47">
        <v>1.0</v>
      </c>
      <c r="E9" s="47" t="s">
        <v>45</v>
      </c>
      <c r="F9" s="61">
        <f t="shared" ref="F9:G9" si="3">6361.6</f>
        <v>6361.6</v>
      </c>
      <c r="G9" s="61">
        <f t="shared" si="3"/>
        <v>6361.6</v>
      </c>
      <c r="H9" s="51">
        <f t="shared" ref="H9:H31" si="6">G9-F9</f>
        <v>0</v>
      </c>
      <c r="I9" s="155">
        <v>100.0</v>
      </c>
      <c r="J9" s="47">
        <v>1.0</v>
      </c>
      <c r="K9" s="47" t="s">
        <v>45</v>
      </c>
      <c r="L9" s="61">
        <f t="shared" ref="L9:M9" si="4">4087.74+2367.02-126</f>
        <v>6328.76</v>
      </c>
      <c r="M9" s="61">
        <f t="shared" si="4"/>
        <v>6328.76</v>
      </c>
      <c r="N9" s="51">
        <f t="shared" ref="N9:N31" si="8">M9-L9</f>
        <v>0</v>
      </c>
      <c r="O9" s="269">
        <v>29.0</v>
      </c>
      <c r="Q9" s="2" t="s">
        <v>40</v>
      </c>
      <c r="R9" s="229">
        <v>7822.735000000001</v>
      </c>
      <c r="S9" s="276">
        <v>13809.99</v>
      </c>
      <c r="T9" s="75">
        <f t="shared" si="1"/>
        <v>55239.96</v>
      </c>
      <c r="U9" s="229">
        <v>6950.98</v>
      </c>
      <c r="V9" s="61">
        <v>9640.64</v>
      </c>
      <c r="W9" s="75">
        <f t="shared" si="2"/>
        <v>38562.56</v>
      </c>
    </row>
    <row r="10" ht="15.75" customHeight="1">
      <c r="C10" s="61"/>
      <c r="D10" s="47">
        <v>2.0</v>
      </c>
      <c r="E10" s="47" t="s">
        <v>46</v>
      </c>
      <c r="F10" s="61">
        <f t="shared" ref="F10:G10" si="5">12736</f>
        <v>12736</v>
      </c>
      <c r="G10" s="61">
        <f t="shared" si="5"/>
        <v>12736</v>
      </c>
      <c r="H10" s="51">
        <f t="shared" si="6"/>
        <v>0</v>
      </c>
      <c r="I10" s="155">
        <v>189.0</v>
      </c>
      <c r="J10" s="47">
        <v>2.0</v>
      </c>
      <c r="K10" s="47" t="s">
        <v>46</v>
      </c>
      <c r="L10" s="61">
        <f t="shared" ref="L10:M10" si="7">2705.88+2218.89-129</f>
        <v>4795.77</v>
      </c>
      <c r="M10" s="61">
        <f t="shared" si="7"/>
        <v>4795.77</v>
      </c>
      <c r="N10" s="51">
        <f t="shared" si="8"/>
        <v>0</v>
      </c>
      <c r="O10" s="269">
        <v>27.0</v>
      </c>
      <c r="Q10" s="2" t="s">
        <v>47</v>
      </c>
      <c r="R10" s="229">
        <v>9199.76</v>
      </c>
      <c r="S10" s="276">
        <v>12533.35</v>
      </c>
      <c r="T10" s="75">
        <f t="shared" si="1"/>
        <v>50133.4</v>
      </c>
      <c r="U10" s="229">
        <v>6111.594999999999</v>
      </c>
      <c r="V10" s="61">
        <v>7071.327499999999</v>
      </c>
      <c r="W10" s="75">
        <f t="shared" si="2"/>
        <v>28285.31</v>
      </c>
    </row>
    <row r="11" ht="15.75" customHeight="1">
      <c r="C11" s="61"/>
      <c r="D11" s="47">
        <v>3.0</v>
      </c>
      <c r="E11" s="47" t="s">
        <v>40</v>
      </c>
      <c r="F11" s="61">
        <f t="shared" ref="F11:G11" si="9">6616.75</f>
        <v>6616.75</v>
      </c>
      <c r="G11" s="61">
        <f t="shared" si="9"/>
        <v>6616.75</v>
      </c>
      <c r="H11" s="51">
        <f t="shared" si="6"/>
        <v>0</v>
      </c>
      <c r="I11" s="155">
        <v>75.0</v>
      </c>
      <c r="J11" s="47">
        <v>3.0</v>
      </c>
      <c r="K11" s="47" t="s">
        <v>40</v>
      </c>
      <c r="L11" s="61">
        <f t="shared" ref="L11:M11" si="10">3082.06+3661.33-358.97</f>
        <v>6384.42</v>
      </c>
      <c r="M11" s="61">
        <f t="shared" si="10"/>
        <v>6384.42</v>
      </c>
      <c r="N11" s="51">
        <f t="shared" si="8"/>
        <v>0</v>
      </c>
      <c r="O11" s="269">
        <v>46.0</v>
      </c>
      <c r="Q11" s="2" t="s">
        <v>48</v>
      </c>
      <c r="R11" s="229">
        <v>16865.704</v>
      </c>
      <c r="S11" s="276">
        <v>21328.76</v>
      </c>
      <c r="T11" s="75">
        <f t="shared" si="1"/>
        <v>85315.04</v>
      </c>
      <c r="U11" s="229">
        <v>10936.856000000002</v>
      </c>
      <c r="V11" s="61">
        <v>10996.429999999998</v>
      </c>
      <c r="W11" s="75">
        <f t="shared" si="2"/>
        <v>43985.72</v>
      </c>
    </row>
    <row r="12" ht="15.75" customHeight="1">
      <c r="C12" s="61"/>
      <c r="D12" s="47">
        <v>4.0</v>
      </c>
      <c r="E12" s="47" t="s">
        <v>47</v>
      </c>
      <c r="F12" s="61">
        <f t="shared" ref="F12:G12" si="11">101+9104.1</f>
        <v>9205.1</v>
      </c>
      <c r="G12" s="61">
        <f t="shared" si="11"/>
        <v>9205.1</v>
      </c>
      <c r="H12" s="51">
        <f t="shared" si="6"/>
        <v>0</v>
      </c>
      <c r="I12" s="155">
        <v>117.0</v>
      </c>
      <c r="J12" s="47">
        <v>4.0</v>
      </c>
      <c r="K12" s="47" t="s">
        <v>47</v>
      </c>
      <c r="L12" s="61">
        <f t="shared" ref="L12:M12" si="12">5718.07+1626.8-340.98</f>
        <v>7003.89</v>
      </c>
      <c r="M12" s="61">
        <f t="shared" si="12"/>
        <v>7003.89</v>
      </c>
      <c r="N12" s="51">
        <f t="shared" si="8"/>
        <v>0</v>
      </c>
      <c r="O12" s="269">
        <v>44.0</v>
      </c>
      <c r="Q12" s="2" t="s">
        <v>171</v>
      </c>
      <c r="R12" s="229">
        <v>20724.992</v>
      </c>
      <c r="S12" s="276">
        <v>22859.37</v>
      </c>
      <c r="T12" s="75">
        <f t="shared" ref="T12:T13" si="13">S12*5</f>
        <v>114296.85</v>
      </c>
      <c r="U12" s="229">
        <v>14289.11</v>
      </c>
      <c r="V12" s="61">
        <v>13450.1775</v>
      </c>
      <c r="W12" s="75">
        <f t="shared" ref="W12:W13" si="14">V12*5</f>
        <v>67250.8875</v>
      </c>
    </row>
    <row r="13" ht="15.75" customHeight="1">
      <c r="C13" s="61"/>
      <c r="D13" s="47">
        <v>5.0</v>
      </c>
      <c r="E13" s="47" t="s">
        <v>48</v>
      </c>
      <c r="F13" s="61">
        <v>19000.0</v>
      </c>
      <c r="G13" s="61">
        <f>17131.8-336</f>
        <v>16795.8</v>
      </c>
      <c r="H13" s="51">
        <f t="shared" si="6"/>
        <v>-2204.2</v>
      </c>
      <c r="I13" s="155">
        <v>212.0</v>
      </c>
      <c r="J13" s="47">
        <v>5.0</v>
      </c>
      <c r="K13" s="47" t="s">
        <v>48</v>
      </c>
      <c r="L13" s="61">
        <v>12000.0</v>
      </c>
      <c r="M13" s="61">
        <f>4644.68+159+4747.42-371.96</f>
        <v>9179.14</v>
      </c>
      <c r="N13" s="51">
        <f t="shared" si="8"/>
        <v>-2820.86</v>
      </c>
      <c r="O13" s="269">
        <v>61.0</v>
      </c>
      <c r="Q13" s="2" t="s">
        <v>44</v>
      </c>
      <c r="R13" s="229">
        <v>19405.65</v>
      </c>
      <c r="S13" s="276">
        <v>25699.66</v>
      </c>
      <c r="T13" s="75">
        <f t="shared" si="13"/>
        <v>128498.3</v>
      </c>
      <c r="U13" s="229">
        <v>19964.7775</v>
      </c>
      <c r="V13" s="61">
        <v>21939.785</v>
      </c>
      <c r="W13" s="75">
        <f t="shared" si="14"/>
        <v>109698.925</v>
      </c>
    </row>
    <row r="14" ht="15.75" customHeight="1">
      <c r="C14" s="61"/>
      <c r="D14" s="47">
        <v>6.0</v>
      </c>
      <c r="E14" s="44" t="s">
        <v>41</v>
      </c>
      <c r="F14" s="270">
        <v>25000.0</v>
      </c>
      <c r="G14" s="61">
        <f>19306.5</f>
        <v>19306.5</v>
      </c>
      <c r="H14" s="51">
        <f t="shared" si="6"/>
        <v>-5693.5</v>
      </c>
      <c r="I14" s="155">
        <v>267.0</v>
      </c>
      <c r="J14" s="47">
        <v>6.0</v>
      </c>
      <c r="K14" s="44" t="s">
        <v>41</v>
      </c>
      <c r="L14" s="61">
        <v>17000.0</v>
      </c>
      <c r="M14" s="61">
        <f>7297.16+7106.45-737.97+156.02</f>
        <v>13821.66</v>
      </c>
      <c r="N14" s="51">
        <f t="shared" si="8"/>
        <v>-3178.34</v>
      </c>
      <c r="O14" s="269">
        <v>96.0</v>
      </c>
      <c r="R14" s="167">
        <f t="shared" ref="R14:W14" si="15">SUM(R7:R13)</f>
        <v>88047.1735</v>
      </c>
      <c r="S14" s="167">
        <f t="shared" si="15"/>
        <v>118842.61</v>
      </c>
      <c r="T14" s="61">
        <f t="shared" si="15"/>
        <v>523929.47</v>
      </c>
      <c r="U14" s="167">
        <f t="shared" si="15"/>
        <v>69137.231</v>
      </c>
      <c r="V14" s="167">
        <f t="shared" si="15"/>
        <v>75226.14</v>
      </c>
      <c r="W14" s="61">
        <f t="shared" si="15"/>
        <v>336294.5225</v>
      </c>
    </row>
    <row r="15" ht="15.75" customHeight="1">
      <c r="C15" s="61"/>
      <c r="D15" s="47">
        <v>7.0</v>
      </c>
      <c r="E15" s="44" t="s">
        <v>44</v>
      </c>
      <c r="F15" s="270">
        <v>24500.0</v>
      </c>
      <c r="G15" s="61">
        <f>23957.95</f>
        <v>23957.95</v>
      </c>
      <c r="H15" s="51">
        <f t="shared" si="6"/>
        <v>-542.05</v>
      </c>
      <c r="I15" s="155">
        <v>300.0</v>
      </c>
      <c r="J15" s="47">
        <v>7.0</v>
      </c>
      <c r="K15" s="44" t="s">
        <v>44</v>
      </c>
      <c r="L15" s="61">
        <v>22000.0</v>
      </c>
      <c r="M15" s="61">
        <f>14007.37+8743.36-1474.91</f>
        <v>21275.82</v>
      </c>
      <c r="N15" s="51">
        <f t="shared" si="8"/>
        <v>-724.18</v>
      </c>
      <c r="O15" s="269">
        <v>129.0</v>
      </c>
      <c r="S15" s="66">
        <f>S14/R14-1</f>
        <v>0.3497606485</v>
      </c>
      <c r="V15" s="66">
        <f>V14/U14-1</f>
        <v>0.0880698997</v>
      </c>
    </row>
    <row r="16" ht="15.75" customHeight="1">
      <c r="C16" s="61"/>
      <c r="D16" s="47">
        <v>8.0</v>
      </c>
      <c r="E16" s="47" t="s">
        <v>45</v>
      </c>
      <c r="F16" s="61">
        <v>9000.0</v>
      </c>
      <c r="G16" s="61">
        <f>18985</f>
        <v>18985</v>
      </c>
      <c r="H16" s="51">
        <f t="shared" si="6"/>
        <v>9985</v>
      </c>
      <c r="I16" s="155">
        <v>245.0</v>
      </c>
      <c r="J16" s="47">
        <v>8.0</v>
      </c>
      <c r="K16" s="47" t="s">
        <v>45</v>
      </c>
      <c r="L16" s="61">
        <v>5000.0</v>
      </c>
      <c r="M16" s="61">
        <f>7849.43+3636.35-644.91</f>
        <v>10840.87</v>
      </c>
      <c r="N16" s="51">
        <f t="shared" si="8"/>
        <v>5840.87</v>
      </c>
      <c r="O16" s="269">
        <v>76.0</v>
      </c>
    </row>
    <row r="17" ht="15.75" customHeight="1">
      <c r="C17" s="61"/>
      <c r="D17" s="47">
        <v>9.0</v>
      </c>
      <c r="E17" s="47" t="s">
        <v>46</v>
      </c>
      <c r="F17" s="61">
        <v>10000.0</v>
      </c>
      <c r="G17" s="61">
        <f>6743.2</f>
        <v>6743.2</v>
      </c>
      <c r="H17" s="51">
        <f t="shared" si="6"/>
        <v>-3256.8</v>
      </c>
      <c r="I17" s="155">
        <v>95.0</v>
      </c>
      <c r="J17" s="47">
        <v>9.0</v>
      </c>
      <c r="K17" s="47" t="s">
        <v>46</v>
      </c>
      <c r="L17" s="61">
        <v>5500.0</v>
      </c>
      <c r="M17" s="61">
        <f>2442.33+1389.89-118</f>
        <v>3714.22</v>
      </c>
      <c r="N17" s="51">
        <f t="shared" si="8"/>
        <v>-1785.78</v>
      </c>
      <c r="O17" s="269">
        <v>26.0</v>
      </c>
      <c r="S17" s="70"/>
      <c r="T17" s="71" t="s">
        <v>52</v>
      </c>
      <c r="U17" s="72"/>
      <c r="V17" s="73" t="s">
        <v>53</v>
      </c>
    </row>
    <row r="18" ht="15.75" customHeight="1">
      <c r="C18" s="61"/>
      <c r="D18" s="47">
        <v>10.0</v>
      </c>
      <c r="E18" s="47" t="s">
        <v>40</v>
      </c>
      <c r="F18" s="61">
        <v>13000.0</v>
      </c>
      <c r="G18" s="61">
        <f>10590.6</f>
        <v>10590.6</v>
      </c>
      <c r="H18" s="51">
        <f t="shared" si="6"/>
        <v>-2409.4</v>
      </c>
      <c r="I18" s="155">
        <v>123.0</v>
      </c>
      <c r="J18" s="47">
        <v>10.0</v>
      </c>
      <c r="K18" s="47" t="s">
        <v>40</v>
      </c>
      <c r="L18" s="61">
        <v>6000.0</v>
      </c>
      <c r="M18" s="61">
        <f>3307.52+1897.55-226.97</f>
        <v>4978.1</v>
      </c>
      <c r="N18" s="51">
        <f t="shared" si="8"/>
        <v>-1021.9</v>
      </c>
      <c r="O18" s="269">
        <v>37.0</v>
      </c>
      <c r="S18" s="74" t="s">
        <v>29</v>
      </c>
      <c r="T18" s="75">
        <v>475000.0</v>
      </c>
      <c r="U18" s="2" t="s">
        <v>29</v>
      </c>
      <c r="V18" s="76">
        <v>315000.0</v>
      </c>
    </row>
    <row r="19" ht="15.75" customHeight="1">
      <c r="C19" s="61"/>
      <c r="D19" s="44">
        <v>11.0</v>
      </c>
      <c r="E19" s="47" t="s">
        <v>47</v>
      </c>
      <c r="F19" s="61">
        <v>13000.0</v>
      </c>
      <c r="G19" s="61">
        <f>12471.3</f>
        <v>12471.3</v>
      </c>
      <c r="H19" s="51">
        <f t="shared" si="6"/>
        <v>-528.7</v>
      </c>
      <c r="I19" s="155">
        <v>159.0</v>
      </c>
      <c r="J19" s="44">
        <v>11.0</v>
      </c>
      <c r="K19" s="47" t="s">
        <v>47</v>
      </c>
      <c r="L19" s="61">
        <v>7000.0</v>
      </c>
      <c r="M19" s="61">
        <f>5653.35+1921.76-327.97</f>
        <v>7247.14</v>
      </c>
      <c r="N19" s="51">
        <f t="shared" si="8"/>
        <v>247.14</v>
      </c>
      <c r="O19" s="269">
        <v>46.0</v>
      </c>
      <c r="S19" s="74"/>
      <c r="T19" s="2"/>
      <c r="U19" s="2"/>
      <c r="V19" s="77"/>
    </row>
    <row r="20" ht="15.75" customHeight="1">
      <c r="C20" s="61"/>
      <c r="D20" s="44">
        <v>12.0</v>
      </c>
      <c r="E20" s="47" t="s">
        <v>205</v>
      </c>
      <c r="F20" s="61">
        <v>19000.0</v>
      </c>
      <c r="G20" s="61">
        <f>20389.7-217</f>
        <v>20172.7</v>
      </c>
      <c r="H20" s="51">
        <f t="shared" si="6"/>
        <v>1172.7</v>
      </c>
      <c r="I20" s="155">
        <v>260.0</v>
      </c>
      <c r="J20" s="44">
        <v>12.0</v>
      </c>
      <c r="K20" s="47" t="s">
        <v>205</v>
      </c>
      <c r="L20" s="61">
        <v>12000.0</v>
      </c>
      <c r="M20" s="61">
        <f>7430+5901.09-418.93</f>
        <v>12912.16</v>
      </c>
      <c r="N20" s="51">
        <f t="shared" si="8"/>
        <v>912.16</v>
      </c>
      <c r="O20" s="269">
        <v>83.0</v>
      </c>
      <c r="S20" s="74" t="s">
        <v>58</v>
      </c>
      <c r="T20" s="75">
        <f>SUM(G9:G15)</f>
        <v>94979.7</v>
      </c>
      <c r="U20" s="58" t="s">
        <v>58</v>
      </c>
      <c r="V20" s="76">
        <f>SUM(M9:M15)</f>
        <v>68789.46</v>
      </c>
    </row>
    <row r="21" ht="15.75" customHeight="1">
      <c r="C21" s="61"/>
      <c r="D21" s="47">
        <v>13.0</v>
      </c>
      <c r="E21" s="47" t="s">
        <v>171</v>
      </c>
      <c r="F21" s="270">
        <v>25000.0</v>
      </c>
      <c r="G21" s="61">
        <f>26068.8+340.05</f>
        <v>26408.85</v>
      </c>
      <c r="H21" s="51">
        <f t="shared" si="6"/>
        <v>1408.85</v>
      </c>
      <c r="I21" s="155">
        <v>318.0</v>
      </c>
      <c r="J21" s="47">
        <v>13.0</v>
      </c>
      <c r="K21" s="47" t="s">
        <v>171</v>
      </c>
      <c r="L21" s="61">
        <v>17000.0</v>
      </c>
      <c r="M21" s="61">
        <f>6311.38+123+5173.8-739.93</f>
        <v>10868.25</v>
      </c>
      <c r="N21" s="51">
        <f t="shared" si="8"/>
        <v>-6131.75</v>
      </c>
      <c r="O21" s="269">
        <v>70.0</v>
      </c>
      <c r="S21" s="74"/>
      <c r="T21" s="79">
        <f>T20/T18</f>
        <v>0.1999572632</v>
      </c>
      <c r="V21" s="80">
        <f>V20/V18</f>
        <v>0.2183792381</v>
      </c>
      <c r="W21" s="66"/>
    </row>
    <row r="22" ht="15.75" customHeight="1">
      <c r="C22" s="61"/>
      <c r="D22" s="47">
        <v>14.0</v>
      </c>
      <c r="E22" s="47" t="s">
        <v>44</v>
      </c>
      <c r="F22" s="270">
        <v>24500.0</v>
      </c>
      <c r="G22" s="61">
        <f>27330</f>
        <v>27330</v>
      </c>
      <c r="H22" s="51">
        <f t="shared" si="6"/>
        <v>2830</v>
      </c>
      <c r="I22" s="155">
        <v>370.0</v>
      </c>
      <c r="J22" s="47">
        <v>14.0</v>
      </c>
      <c r="K22" s="47" t="s">
        <v>44</v>
      </c>
      <c r="L22" s="61">
        <v>22000.0</v>
      </c>
      <c r="M22" s="61">
        <f>16049.44+9023.78-1577.98</f>
        <v>23495.24</v>
      </c>
      <c r="N22" s="51">
        <f t="shared" si="8"/>
        <v>1495.24</v>
      </c>
      <c r="O22" s="269">
        <v>140.0</v>
      </c>
      <c r="S22" s="74"/>
      <c r="T22" s="81"/>
      <c r="V22" s="77"/>
    </row>
    <row r="23" ht="15.75" customHeight="1">
      <c r="C23" s="61"/>
      <c r="D23" s="47">
        <v>15.0</v>
      </c>
      <c r="E23" s="47" t="s">
        <v>45</v>
      </c>
      <c r="F23" s="61">
        <v>13000.0</v>
      </c>
      <c r="G23" s="61">
        <f>19741.9-7500</f>
        <v>12241.9</v>
      </c>
      <c r="H23" s="51">
        <f t="shared" si="6"/>
        <v>-758.1</v>
      </c>
      <c r="I23" s="155">
        <v>193.0</v>
      </c>
      <c r="J23" s="47">
        <v>15.0</v>
      </c>
      <c r="K23" s="47" t="s">
        <v>45</v>
      </c>
      <c r="L23" s="61">
        <v>5000.0</v>
      </c>
      <c r="M23" s="61">
        <f>3682.59+2305.48-230.96</f>
        <v>5757.11</v>
      </c>
      <c r="N23" s="51">
        <f t="shared" si="8"/>
        <v>757.11</v>
      </c>
      <c r="O23" s="269">
        <v>34.0</v>
      </c>
      <c r="S23" s="74" t="s">
        <v>62</v>
      </c>
      <c r="T23" s="75">
        <f>SUM(G16:G22)</f>
        <v>122701.65</v>
      </c>
      <c r="U23" s="58" t="s">
        <v>62</v>
      </c>
      <c r="V23" s="76">
        <f>SUM(M16:M22)</f>
        <v>74055.98</v>
      </c>
    </row>
    <row r="24" ht="15.75" customHeight="1">
      <c r="C24" s="61"/>
      <c r="D24" s="47">
        <v>16.0</v>
      </c>
      <c r="E24" s="47" t="s">
        <v>46</v>
      </c>
      <c r="F24" s="61">
        <v>14000.0</v>
      </c>
      <c r="G24" s="61">
        <f>6470.28</f>
        <v>6470.28</v>
      </c>
      <c r="H24" s="51">
        <f t="shared" si="6"/>
        <v>-7529.72</v>
      </c>
      <c r="I24" s="155">
        <v>76.0</v>
      </c>
      <c r="J24" s="47">
        <v>16.0</v>
      </c>
      <c r="K24" s="47" t="s">
        <v>46</v>
      </c>
      <c r="L24" s="61">
        <v>6000.0</v>
      </c>
      <c r="M24" s="61">
        <f>2969.37+2047.49-170.98</f>
        <v>4845.88</v>
      </c>
      <c r="N24" s="51">
        <f t="shared" si="8"/>
        <v>-1154.12</v>
      </c>
      <c r="O24" s="269">
        <v>33.0</v>
      </c>
      <c r="S24" s="74"/>
      <c r="T24" s="79">
        <f>T23/T18</f>
        <v>0.2583192632</v>
      </c>
      <c r="V24" s="80">
        <f>V23/V18</f>
        <v>0.2350983492</v>
      </c>
    </row>
    <row r="25" ht="15.75" customHeight="1">
      <c r="C25" s="61"/>
      <c r="D25" s="47">
        <v>17.0</v>
      </c>
      <c r="E25" s="47" t="s">
        <v>40</v>
      </c>
      <c r="F25" s="61">
        <v>14000.0</v>
      </c>
      <c r="G25" s="61">
        <f>16370.5</f>
        <v>16370.5</v>
      </c>
      <c r="H25" s="51">
        <f t="shared" si="6"/>
        <v>2370.5</v>
      </c>
      <c r="I25" s="155">
        <v>212.0</v>
      </c>
      <c r="J25" s="47">
        <v>17.0</v>
      </c>
      <c r="K25" s="47" t="s">
        <v>40</v>
      </c>
      <c r="L25" s="61">
        <v>6000.0</v>
      </c>
      <c r="M25" s="61">
        <f>3863.96+5068.88-382.97</f>
        <v>8549.87</v>
      </c>
      <c r="N25" s="51">
        <f t="shared" si="8"/>
        <v>2549.87</v>
      </c>
      <c r="O25" s="269">
        <v>44.0</v>
      </c>
      <c r="S25" s="74"/>
      <c r="T25" s="81"/>
      <c r="V25" s="77"/>
    </row>
    <row r="26" ht="19.5" customHeight="1">
      <c r="C26" s="61"/>
      <c r="D26" s="47">
        <v>18.0</v>
      </c>
      <c r="E26" s="47" t="s">
        <v>47</v>
      </c>
      <c r="F26" s="61">
        <v>13000.0</v>
      </c>
      <c r="G26" s="61">
        <f>16640.8</f>
        <v>16640.8</v>
      </c>
      <c r="H26" s="51">
        <f t="shared" si="6"/>
        <v>3640.8</v>
      </c>
      <c r="I26" s="155">
        <v>230.0</v>
      </c>
      <c r="J26" s="47">
        <v>18.0</v>
      </c>
      <c r="K26" s="47" t="s">
        <v>47</v>
      </c>
      <c r="L26" s="61">
        <v>8000.0</v>
      </c>
      <c r="M26" s="61">
        <f>3336.34+1999.81-165.98</f>
        <v>5170.17</v>
      </c>
      <c r="N26" s="51">
        <f t="shared" si="8"/>
        <v>-2829.83</v>
      </c>
      <c r="O26" s="269">
        <v>40.0</v>
      </c>
      <c r="S26" s="74" t="s">
        <v>63</v>
      </c>
      <c r="T26" s="75">
        <f>SUM(G23:G29)</f>
        <v>118545.92</v>
      </c>
      <c r="U26" s="58" t="s">
        <v>63</v>
      </c>
      <c r="V26" s="76">
        <f>SUM(M23:M29)</f>
        <v>69779.99</v>
      </c>
    </row>
    <row r="27" ht="15.75" customHeight="1">
      <c r="C27" s="61"/>
      <c r="D27" s="47">
        <v>19.0</v>
      </c>
      <c r="E27" s="47" t="s">
        <v>205</v>
      </c>
      <c r="F27" s="61">
        <v>19000.0</v>
      </c>
      <c r="G27" s="61">
        <f>20056</f>
        <v>20056</v>
      </c>
      <c r="H27" s="51">
        <f t="shared" si="6"/>
        <v>1056</v>
      </c>
      <c r="I27" s="155">
        <v>276.0</v>
      </c>
      <c r="J27" s="47">
        <v>19.0</v>
      </c>
      <c r="K27" s="47" t="s">
        <v>205</v>
      </c>
      <c r="L27" s="61">
        <v>14000.0</v>
      </c>
      <c r="M27" s="61">
        <f>10126.26</f>
        <v>10126.26</v>
      </c>
      <c r="N27" s="51">
        <f t="shared" si="8"/>
        <v>-3873.74</v>
      </c>
      <c r="O27" s="269">
        <v>59.0</v>
      </c>
      <c r="S27" s="74"/>
      <c r="T27" s="79">
        <f>T26/T18</f>
        <v>0.2495703579</v>
      </c>
      <c r="V27" s="80">
        <f>V26/V18</f>
        <v>0.2215237778</v>
      </c>
    </row>
    <row r="28" ht="15.75" customHeight="1">
      <c r="C28" s="61"/>
      <c r="D28" s="47">
        <v>20.0</v>
      </c>
      <c r="E28" s="47" t="s">
        <v>171</v>
      </c>
      <c r="F28" s="270">
        <v>25000.0</v>
      </c>
      <c r="G28" s="61">
        <f>18767.94</f>
        <v>18767.94</v>
      </c>
      <c r="H28" s="51">
        <f t="shared" si="6"/>
        <v>-6232.06</v>
      </c>
      <c r="I28" s="155">
        <v>242.0</v>
      </c>
      <c r="J28" s="47">
        <v>20.0</v>
      </c>
      <c r="K28" s="47" t="s">
        <v>171</v>
      </c>
      <c r="L28" s="61">
        <v>17000.0</v>
      </c>
      <c r="M28" s="61">
        <f>16238.82-1069.96</f>
        <v>15168.86</v>
      </c>
      <c r="N28" s="51">
        <f t="shared" si="8"/>
        <v>-1831.14</v>
      </c>
      <c r="O28" s="269">
        <v>93.0</v>
      </c>
      <c r="S28" s="74"/>
      <c r="V28" s="82"/>
    </row>
    <row r="29" ht="15.75" customHeight="1">
      <c r="C29" s="61"/>
      <c r="D29" s="47">
        <v>21.0</v>
      </c>
      <c r="E29" s="47" t="s">
        <v>44</v>
      </c>
      <c r="F29" s="270">
        <v>24600.0</v>
      </c>
      <c r="G29" s="61">
        <f>27998.5</f>
        <v>27998.5</v>
      </c>
      <c r="H29" s="51">
        <f t="shared" si="6"/>
        <v>3398.5</v>
      </c>
      <c r="I29" s="155">
        <v>357.0</v>
      </c>
      <c r="J29" s="47">
        <v>21.0</v>
      </c>
      <c r="K29" s="47" t="s">
        <v>44</v>
      </c>
      <c r="L29" s="61">
        <v>23000.0</v>
      </c>
      <c r="M29" s="61">
        <f>21562.77-1400.93</f>
        <v>20161.84</v>
      </c>
      <c r="N29" s="51">
        <f t="shared" si="8"/>
        <v>-2838.16</v>
      </c>
      <c r="O29" s="269">
        <v>115.0</v>
      </c>
      <c r="S29" s="74" t="s">
        <v>64</v>
      </c>
      <c r="T29" s="61">
        <f>SUM(G30:G36)</f>
        <v>103986.09</v>
      </c>
      <c r="U29" s="58" t="s">
        <v>64</v>
      </c>
      <c r="V29" s="83">
        <f>SUM(M30:M36)</f>
        <v>76947.16</v>
      </c>
    </row>
    <row r="30" ht="19.5" customHeight="1">
      <c r="C30" s="61"/>
      <c r="D30" s="47">
        <v>22.0</v>
      </c>
      <c r="E30" s="47" t="s">
        <v>45</v>
      </c>
      <c r="F30" s="61">
        <v>13000.0</v>
      </c>
      <c r="G30" s="61">
        <f>11845.8</f>
        <v>11845.8</v>
      </c>
      <c r="H30" s="51">
        <f t="shared" si="6"/>
        <v>-1154.2</v>
      </c>
      <c r="I30" s="155">
        <v>154.0</v>
      </c>
      <c r="J30" s="47">
        <v>22.0</v>
      </c>
      <c r="K30" s="47" t="s">
        <v>45</v>
      </c>
      <c r="L30" s="61">
        <v>6000.0</v>
      </c>
      <c r="M30" s="61">
        <f>3819.66+3356.84-164.99</f>
        <v>7011.51</v>
      </c>
      <c r="N30" s="51">
        <f t="shared" si="8"/>
        <v>1011.51</v>
      </c>
      <c r="O30" s="269">
        <v>39.0</v>
      </c>
      <c r="S30" s="74"/>
      <c r="T30" s="79">
        <f>T29/T18</f>
        <v>0.2189180842</v>
      </c>
      <c r="V30" s="80">
        <f>V29/V18</f>
        <v>0.2442766984</v>
      </c>
    </row>
    <row r="31" ht="18.0" customHeight="1">
      <c r="C31" s="61"/>
      <c r="D31" s="47">
        <v>23.0</v>
      </c>
      <c r="E31" s="47" t="s">
        <v>46</v>
      </c>
      <c r="F31" s="61">
        <v>14000.0</v>
      </c>
      <c r="G31" s="61">
        <f>14589.82</f>
        <v>14589.82</v>
      </c>
      <c r="H31" s="51">
        <f t="shared" si="6"/>
        <v>589.82</v>
      </c>
      <c r="I31" s="155">
        <v>199.0</v>
      </c>
      <c r="J31" s="47">
        <v>23.0</v>
      </c>
      <c r="K31" s="47" t="s">
        <v>46</v>
      </c>
      <c r="L31" s="61">
        <v>6000.0</v>
      </c>
      <c r="M31" s="61">
        <f>7980.95+3895.95-470.86</f>
        <v>11406.04</v>
      </c>
      <c r="N31" s="51">
        <f t="shared" si="8"/>
        <v>5406.04</v>
      </c>
      <c r="O31" s="269">
        <v>61.0</v>
      </c>
      <c r="S31" s="74" t="s">
        <v>65</v>
      </c>
      <c r="T31" s="61">
        <f>SUM(G37:G39)</f>
        <v>22379.59</v>
      </c>
      <c r="U31" s="58" t="s">
        <v>65</v>
      </c>
      <c r="V31" s="83">
        <f>SUM(M37:M39)</f>
        <v>19402.79</v>
      </c>
    </row>
    <row r="32" ht="15.75" customHeight="1">
      <c r="C32" s="61"/>
      <c r="D32" s="47">
        <v>24.0</v>
      </c>
      <c r="E32" s="47"/>
      <c r="F32" s="61"/>
      <c r="G32" s="61"/>
      <c r="H32" s="51"/>
      <c r="I32" s="155"/>
      <c r="J32" s="47">
        <v>24.0</v>
      </c>
      <c r="K32" s="47"/>
      <c r="L32" s="61"/>
      <c r="M32" s="61"/>
      <c r="N32" s="51"/>
      <c r="O32" s="269"/>
      <c r="S32" s="84" t="s">
        <v>206</v>
      </c>
      <c r="T32" s="85">
        <f>T31/T18</f>
        <v>0.04711492632</v>
      </c>
      <c r="U32" s="84" t="s">
        <v>206</v>
      </c>
      <c r="V32" s="87">
        <f>V31/V18</f>
        <v>0.06159615873</v>
      </c>
    </row>
    <row r="33" ht="15.75" customHeight="1">
      <c r="C33" s="61"/>
      <c r="D33" s="47">
        <v>25.0</v>
      </c>
      <c r="E33" s="47" t="s">
        <v>47</v>
      </c>
      <c r="F33" s="61">
        <v>13000.0</v>
      </c>
      <c r="G33" s="61">
        <f>22873.16</f>
        <v>22873.16</v>
      </c>
      <c r="H33" s="51">
        <f t="shared" ref="H33:H38" si="16">G33-F33</f>
        <v>9873.16</v>
      </c>
      <c r="I33" s="155">
        <v>342.0</v>
      </c>
      <c r="J33" s="47">
        <v>25.0</v>
      </c>
      <c r="K33" s="47" t="s">
        <v>47</v>
      </c>
      <c r="L33" s="61">
        <v>8000.0</v>
      </c>
      <c r="M33" s="61">
        <f>13652.2+6890.84-1334.94</f>
        <v>19208.1</v>
      </c>
      <c r="N33" s="51">
        <f t="shared" ref="N33:N38" si="17">M33-L33</f>
        <v>11208.1</v>
      </c>
      <c r="O33" s="269">
        <v>111.0</v>
      </c>
    </row>
    <row r="34" ht="15.75" customHeight="1">
      <c r="C34" s="61"/>
      <c r="D34" s="47">
        <v>26.0</v>
      </c>
      <c r="E34" s="47" t="s">
        <v>205</v>
      </c>
      <c r="F34" s="61">
        <v>19000.0</v>
      </c>
      <c r="G34" s="61">
        <f>10375.41-203</f>
        <v>10172.41</v>
      </c>
      <c r="H34" s="51">
        <f t="shared" si="16"/>
        <v>-8827.59</v>
      </c>
      <c r="I34" s="155">
        <v>128.0</v>
      </c>
      <c r="J34" s="47">
        <v>26.0</v>
      </c>
      <c r="K34" s="47" t="s">
        <v>205</v>
      </c>
      <c r="L34" s="61">
        <v>14000.0</v>
      </c>
      <c r="M34" s="61">
        <f>6032.74+702.5+3251.82-563.97</f>
        <v>9423.09</v>
      </c>
      <c r="N34" s="51">
        <f t="shared" si="17"/>
        <v>-4576.91</v>
      </c>
      <c r="O34" s="269">
        <v>51.0</v>
      </c>
      <c r="R34" s="259" t="s">
        <v>72</v>
      </c>
      <c r="S34" s="93" t="s">
        <v>73</v>
      </c>
      <c r="T34" s="94">
        <f>G40</f>
        <v>462592.95</v>
      </c>
      <c r="U34" s="164" t="s">
        <v>74</v>
      </c>
      <c r="V34" s="96">
        <f>M40</f>
        <v>308967.38</v>
      </c>
      <c r="W34" s="259" t="s">
        <v>72</v>
      </c>
    </row>
    <row r="35" ht="19.5" customHeight="1">
      <c r="C35" s="61"/>
      <c r="D35" s="47">
        <v>27.0</v>
      </c>
      <c r="E35" s="47" t="s">
        <v>41</v>
      </c>
      <c r="F35" s="270">
        <v>25000.0</v>
      </c>
      <c r="G35" s="61">
        <f>15769</f>
        <v>15769</v>
      </c>
      <c r="H35" s="51">
        <f t="shared" si="16"/>
        <v>-9231</v>
      </c>
      <c r="I35" s="155">
        <v>223.0</v>
      </c>
      <c r="J35" s="47">
        <v>27.0</v>
      </c>
      <c r="K35" s="47" t="s">
        <v>41</v>
      </c>
      <c r="L35" s="61">
        <v>17000.0</v>
      </c>
      <c r="M35" s="61">
        <f>7650.09+714+5070.68-681.93</f>
        <v>12752.84</v>
      </c>
      <c r="N35" s="51">
        <f t="shared" si="17"/>
        <v>-4247.16</v>
      </c>
      <c r="O35" s="269">
        <v>72.0</v>
      </c>
      <c r="R35" s="260">
        <f>T35-U35</f>
        <v>-0.02612010526</v>
      </c>
      <c r="S35" s="98"/>
      <c r="T35" s="99">
        <f>T34/T18</f>
        <v>0.9738798947</v>
      </c>
      <c r="U35" s="165">
        <f>29/29</f>
        <v>1</v>
      </c>
      <c r="V35" s="100">
        <f>V34/V18</f>
        <v>0.9808488254</v>
      </c>
      <c r="W35" s="260">
        <f>V35-U35</f>
        <v>-0.0191511746</v>
      </c>
    </row>
    <row r="36" ht="15.75" customHeight="1">
      <c r="C36" s="61"/>
      <c r="D36" s="47">
        <v>28.0</v>
      </c>
      <c r="E36" s="47" t="s">
        <v>44</v>
      </c>
      <c r="F36" s="270">
        <v>24500.0</v>
      </c>
      <c r="G36" s="61">
        <f>28735.9</f>
        <v>28735.9</v>
      </c>
      <c r="H36" s="51">
        <f t="shared" si="16"/>
        <v>4235.9</v>
      </c>
      <c r="I36" s="155">
        <v>387.0</v>
      </c>
      <c r="J36" s="47">
        <v>28.0</v>
      </c>
      <c r="K36" s="47" t="s">
        <v>44</v>
      </c>
      <c r="L36" s="61">
        <v>23000.0</v>
      </c>
      <c r="M36" s="61">
        <f>9184.02+8955.5-993.94</f>
        <v>17145.58</v>
      </c>
      <c r="N36" s="51">
        <f t="shared" si="17"/>
        <v>-5854.42</v>
      </c>
      <c r="O36" s="269">
        <v>100.0</v>
      </c>
      <c r="S36" s="98" t="s">
        <v>76</v>
      </c>
      <c r="T36" s="104">
        <f>T18-T34</f>
        <v>12407.05</v>
      </c>
      <c r="U36" s="99"/>
      <c r="V36" s="106">
        <f>V18-V34</f>
        <v>6032.62</v>
      </c>
    </row>
    <row r="37" ht="15.75" customHeight="1">
      <c r="C37" s="61"/>
      <c r="D37" s="47">
        <v>29.0</v>
      </c>
      <c r="E37" s="47" t="s">
        <v>45</v>
      </c>
      <c r="F37" s="61">
        <v>13000.0</v>
      </c>
      <c r="G37" s="61">
        <f>10144.6</f>
        <v>10144.6</v>
      </c>
      <c r="H37" s="51">
        <f t="shared" si="16"/>
        <v>-2855.4</v>
      </c>
      <c r="I37" s="155">
        <v>137.0</v>
      </c>
      <c r="J37" s="47">
        <v>29.0</v>
      </c>
      <c r="K37" s="47" t="s">
        <v>45</v>
      </c>
      <c r="L37" s="61">
        <v>6000.0</v>
      </c>
      <c r="M37" s="61">
        <f>6853.1+3311.53-170.95</f>
        <v>9993.68</v>
      </c>
      <c r="N37" s="51">
        <f t="shared" si="17"/>
        <v>3993.68</v>
      </c>
      <c r="O37" s="269">
        <v>55.0</v>
      </c>
      <c r="S37" s="110"/>
      <c r="T37" s="112">
        <f>T36/T18</f>
        <v>0.02612010526</v>
      </c>
      <c r="U37" s="112"/>
      <c r="V37" s="113">
        <f>V36/V18</f>
        <v>0.0191511746</v>
      </c>
    </row>
    <row r="38" ht="15.75" customHeight="1">
      <c r="C38" s="61"/>
      <c r="D38" s="47">
        <v>30.0</v>
      </c>
      <c r="E38" s="47" t="s">
        <v>46</v>
      </c>
      <c r="F38" s="61">
        <v>14000.0</v>
      </c>
      <c r="G38" s="61">
        <f>12234.99</f>
        <v>12234.99</v>
      </c>
      <c r="H38" s="51">
        <f t="shared" si="16"/>
        <v>-1765.01</v>
      </c>
      <c r="I38" s="155">
        <v>169.0</v>
      </c>
      <c r="J38" s="47">
        <v>30.0</v>
      </c>
      <c r="K38" s="47" t="s">
        <v>46</v>
      </c>
      <c r="L38" s="61">
        <v>6000.0</v>
      </c>
      <c r="M38" s="61">
        <f>5061.09+4599.98-251.96</f>
        <v>9409.11</v>
      </c>
      <c r="N38" s="51">
        <f t="shared" si="17"/>
        <v>3409.11</v>
      </c>
      <c r="O38" s="269">
        <v>62.0</v>
      </c>
      <c r="U38" s="112"/>
    </row>
    <row r="39" ht="15.75" customHeight="1">
      <c r="C39" s="61"/>
      <c r="D39" s="47"/>
      <c r="E39" s="47"/>
      <c r="F39" s="61"/>
      <c r="G39" s="61"/>
      <c r="H39" s="51"/>
      <c r="J39" s="47"/>
      <c r="K39" s="47"/>
      <c r="L39" s="61"/>
      <c r="M39" s="61"/>
      <c r="N39" s="51"/>
    </row>
    <row r="40" ht="15.75" customHeight="1">
      <c r="C40" s="61"/>
      <c r="D40" s="8"/>
      <c r="E40" s="8"/>
      <c r="F40" s="284">
        <f t="shared" ref="F40:H40" si="18">SUM(F9:F39)</f>
        <v>475019.45</v>
      </c>
      <c r="G40" s="271">
        <f t="shared" si="18"/>
        <v>462592.95</v>
      </c>
      <c r="H40" s="105">
        <f t="shared" si="18"/>
        <v>-12426.5</v>
      </c>
      <c r="I40" s="285"/>
      <c r="J40" s="3"/>
      <c r="L40" s="107">
        <f>SUM(L9:L39)</f>
        <v>315012.84</v>
      </c>
      <c r="M40" s="272">
        <f>SUM(M9:M39)-8</f>
        <v>308967.38</v>
      </c>
      <c r="N40" s="105">
        <f>SUM(N9:N39)</f>
        <v>-6037.46</v>
      </c>
      <c r="Q40" s="61"/>
      <c r="V40" s="61"/>
    </row>
    <row r="41" ht="15.75" customHeight="1">
      <c r="C41" s="61"/>
      <c r="E41" s="61"/>
      <c r="F41" s="61"/>
      <c r="G41" s="225"/>
      <c r="H41" s="114"/>
      <c r="I41" s="226"/>
      <c r="J41" s="61"/>
      <c r="L41" s="61"/>
      <c r="M41" s="275"/>
      <c r="N41" s="114"/>
    </row>
    <row r="42" ht="15.75" customHeight="1">
      <c r="C42" s="61"/>
      <c r="D42" s="2"/>
      <c r="E42" s="75"/>
      <c r="F42" s="75"/>
      <c r="G42" s="2"/>
      <c r="I42" s="226"/>
      <c r="J42" s="75"/>
      <c r="L42" s="75"/>
      <c r="M42" s="2"/>
    </row>
    <row r="43" ht="15.75" customHeight="1">
      <c r="C43" s="61"/>
      <c r="D43" s="2"/>
      <c r="E43" s="2"/>
      <c r="F43" s="115" t="s">
        <v>77</v>
      </c>
      <c r="G43" s="118">
        <f>F40+H40</f>
        <v>462592.95</v>
      </c>
      <c r="L43" s="115" t="s">
        <v>77</v>
      </c>
      <c r="M43" s="118">
        <f>L40+N40</f>
        <v>308975.38</v>
      </c>
    </row>
    <row r="44" ht="15.75" customHeight="1">
      <c r="C44" s="61"/>
      <c r="D44" s="122" t="s">
        <v>29</v>
      </c>
      <c r="E44" s="124">
        <v>475000.0</v>
      </c>
      <c r="F44" s="2"/>
      <c r="G44" s="2"/>
      <c r="J44" s="126" t="s">
        <v>29</v>
      </c>
      <c r="K44" s="124">
        <v>315000.0</v>
      </c>
      <c r="L44" s="2"/>
      <c r="M44" s="2"/>
    </row>
    <row r="45" ht="15.75" customHeight="1">
      <c r="C45" s="61"/>
    </row>
    <row r="46" ht="15.75" customHeight="1">
      <c r="C46" s="61"/>
    </row>
    <row r="47" ht="15.75" customHeight="1">
      <c r="C47" s="61"/>
      <c r="J47" s="61"/>
    </row>
    <row r="48" ht="15.75" customHeight="1">
      <c r="C48" s="61"/>
      <c r="J48" s="121"/>
    </row>
    <row r="49" ht="15.75" customHeight="1">
      <c r="C49" s="61"/>
    </row>
    <row r="50" ht="15.75" customHeight="1">
      <c r="C50" s="61"/>
    </row>
    <row r="51" ht="15.75" customHeight="1">
      <c r="C51" s="61"/>
    </row>
    <row r="52" ht="15.75" customHeight="1">
      <c r="C52" s="61"/>
    </row>
    <row r="53" ht="15.75" customHeight="1">
      <c r="C53" s="61"/>
    </row>
    <row r="54" ht="15.75" customHeight="1">
      <c r="C54" s="61"/>
    </row>
    <row r="55" ht="15.75" customHeight="1">
      <c r="C55" s="61"/>
    </row>
    <row r="56" ht="15.75" customHeight="1">
      <c r="C56" s="61"/>
    </row>
    <row r="57" ht="15.75" customHeight="1">
      <c r="C57" s="61"/>
    </row>
    <row r="58" ht="15.75" customHeight="1">
      <c r="C58" s="61"/>
    </row>
    <row r="59" ht="15.75" customHeight="1">
      <c r="C59" s="61"/>
    </row>
    <row r="60" ht="15.75" customHeight="1">
      <c r="C60" s="61"/>
    </row>
    <row r="61" ht="15.75" customHeight="1">
      <c r="C61" s="61"/>
    </row>
    <row r="62" ht="15.75" customHeight="1">
      <c r="C62" s="61"/>
    </row>
    <row r="63" ht="15.75" customHeight="1">
      <c r="C63" s="61"/>
    </row>
    <row r="64" ht="15.75" customHeight="1">
      <c r="C64" s="61"/>
    </row>
    <row r="65" ht="15.75" customHeight="1">
      <c r="C65" s="61"/>
    </row>
    <row r="66" ht="15.75" customHeight="1">
      <c r="C66" s="61"/>
    </row>
    <row r="67" ht="15.75" customHeight="1">
      <c r="C67" s="61"/>
    </row>
    <row r="68" ht="15.75" customHeight="1">
      <c r="C68" s="61"/>
    </row>
    <row r="69" ht="15.75" customHeight="1">
      <c r="C69" s="61"/>
    </row>
    <row r="70" ht="15.75" customHeight="1">
      <c r="C70" s="61"/>
    </row>
    <row r="71" ht="15.75" customHeight="1">
      <c r="C71" s="61"/>
    </row>
    <row r="72" ht="15.75" customHeight="1">
      <c r="C72" s="61"/>
    </row>
    <row r="73" ht="15.75" customHeight="1">
      <c r="C73" s="61"/>
    </row>
    <row r="74" ht="15.75" customHeight="1">
      <c r="C74" s="61"/>
    </row>
    <row r="75" ht="15.75" customHeight="1">
      <c r="C75" s="61"/>
    </row>
    <row r="76" ht="15.75" customHeight="1">
      <c r="C76" s="61"/>
    </row>
    <row r="77" ht="15.75" customHeight="1">
      <c r="C77" s="61"/>
    </row>
    <row r="78" ht="15.75" customHeight="1">
      <c r="C78" s="61"/>
    </row>
    <row r="79" ht="15.75" customHeight="1">
      <c r="C79" s="61"/>
    </row>
    <row r="80" ht="15.75" customHeight="1">
      <c r="C80" s="61"/>
    </row>
    <row r="81" ht="15.75" customHeight="1">
      <c r="C81" s="61"/>
    </row>
    <row r="82" ht="15.75" customHeight="1">
      <c r="C82" s="61"/>
    </row>
    <row r="83" ht="15.75" customHeight="1">
      <c r="C83" s="61"/>
    </row>
    <row r="84" ht="15.75" customHeight="1">
      <c r="C84" s="61"/>
    </row>
    <row r="85" ht="15.75" customHeight="1">
      <c r="C85" s="61"/>
    </row>
    <row r="86" ht="15.75" customHeight="1">
      <c r="C86" s="61"/>
    </row>
    <row r="87" ht="15.75" customHeight="1">
      <c r="C87" s="61"/>
    </row>
    <row r="88" ht="15.75" customHeight="1">
      <c r="C88" s="61"/>
    </row>
    <row r="89" ht="15.75" customHeight="1">
      <c r="C89" s="61"/>
    </row>
    <row r="90" ht="15.75" customHeight="1">
      <c r="C90" s="61"/>
    </row>
    <row r="91" ht="15.75" customHeight="1">
      <c r="C91" s="61"/>
    </row>
    <row r="92" ht="15.75" customHeight="1">
      <c r="C92" s="61"/>
    </row>
    <row r="93" ht="15.75" customHeight="1">
      <c r="C93" s="61"/>
    </row>
    <row r="94" ht="15.75" customHeight="1">
      <c r="C94" s="61"/>
    </row>
    <row r="95" ht="15.75" customHeight="1">
      <c r="C95" s="61"/>
    </row>
    <row r="96" ht="15.75" customHeight="1">
      <c r="C96" s="61"/>
    </row>
    <row r="97" ht="15.75" customHeight="1">
      <c r="C97" s="61"/>
    </row>
    <row r="98" ht="15.75" customHeight="1">
      <c r="C98" s="61"/>
    </row>
    <row r="99" ht="15.75" customHeight="1">
      <c r="C99" s="61"/>
    </row>
    <row r="100" ht="15.75" customHeight="1">
      <c r="C100" s="61"/>
    </row>
    <row r="101" ht="15.75" customHeight="1">
      <c r="C101" s="61"/>
    </row>
    <row r="102" ht="15.75" customHeight="1">
      <c r="C102" s="61"/>
    </row>
    <row r="103" ht="15.75" customHeight="1">
      <c r="C103" s="61"/>
    </row>
    <row r="104" ht="15.75" customHeight="1">
      <c r="C104" s="61"/>
    </row>
    <row r="105" ht="15.75" customHeight="1">
      <c r="C105" s="61"/>
    </row>
    <row r="106" ht="15.75" customHeight="1">
      <c r="C106" s="61"/>
    </row>
    <row r="107" ht="15.75" customHeight="1">
      <c r="C107" s="61"/>
    </row>
    <row r="108" ht="15.75" customHeight="1">
      <c r="C108" s="61"/>
    </row>
    <row r="109" ht="15.75" customHeight="1">
      <c r="C109" s="61"/>
    </row>
    <row r="110" ht="15.75" customHeight="1">
      <c r="C110" s="61"/>
    </row>
    <row r="111" ht="15.75" customHeight="1">
      <c r="C111" s="61"/>
    </row>
    <row r="112" ht="15.75" customHeight="1">
      <c r="C112" s="61"/>
    </row>
    <row r="113" ht="15.75" customHeight="1">
      <c r="C113" s="61"/>
    </row>
    <row r="114" ht="15.75" customHeight="1">
      <c r="C114" s="61"/>
    </row>
    <row r="115" ht="15.75" customHeight="1">
      <c r="C115" s="61"/>
    </row>
    <row r="116" ht="15.75" customHeight="1">
      <c r="C116" s="61"/>
    </row>
    <row r="117" ht="15.75" customHeight="1">
      <c r="C117" s="61"/>
    </row>
    <row r="118" ht="15.75" customHeight="1">
      <c r="C118" s="61"/>
    </row>
    <row r="119" ht="15.75" customHeight="1">
      <c r="C119" s="61"/>
    </row>
    <row r="120" ht="15.75" customHeight="1">
      <c r="C120" s="61"/>
    </row>
    <row r="121" ht="15.75" customHeight="1">
      <c r="C121" s="61"/>
    </row>
    <row r="122" ht="15.75" customHeight="1">
      <c r="C122" s="61"/>
    </row>
    <row r="123" ht="15.75" customHeight="1">
      <c r="C123" s="61"/>
    </row>
    <row r="124" ht="15.75" customHeight="1">
      <c r="C124" s="61"/>
    </row>
    <row r="125" ht="15.75" customHeight="1">
      <c r="C125" s="61"/>
    </row>
    <row r="126" ht="15.75" customHeight="1">
      <c r="C126" s="61"/>
    </row>
    <row r="127" ht="15.75" customHeight="1">
      <c r="C127" s="61"/>
    </row>
    <row r="128" ht="15.75" customHeight="1">
      <c r="C128" s="61"/>
    </row>
    <row r="129" ht="15.75" customHeight="1">
      <c r="C129" s="61"/>
    </row>
    <row r="130" ht="15.75" customHeight="1">
      <c r="C130" s="61"/>
    </row>
    <row r="131" ht="15.75" customHeight="1">
      <c r="C131" s="61"/>
    </row>
    <row r="132" ht="15.75" customHeight="1">
      <c r="C132" s="61"/>
    </row>
    <row r="133" ht="15.75" customHeight="1">
      <c r="C133" s="61"/>
    </row>
    <row r="134" ht="15.75" customHeight="1">
      <c r="C134" s="61"/>
    </row>
    <row r="135" ht="15.75" customHeight="1">
      <c r="C135" s="61"/>
    </row>
    <row r="136" ht="15.75" customHeight="1">
      <c r="C136" s="61"/>
    </row>
    <row r="137" ht="15.75" customHeight="1">
      <c r="C137" s="61"/>
    </row>
    <row r="138" ht="15.75" customHeight="1">
      <c r="C138" s="61"/>
    </row>
    <row r="139" ht="15.75" customHeight="1">
      <c r="C139" s="61"/>
    </row>
    <row r="140" ht="15.75" customHeight="1">
      <c r="C140" s="61"/>
    </row>
    <row r="141" ht="15.75" customHeight="1">
      <c r="C141" s="61"/>
    </row>
    <row r="142" ht="15.75" customHeight="1">
      <c r="C142" s="61"/>
    </row>
    <row r="143" ht="15.75" customHeight="1">
      <c r="C143" s="61"/>
    </row>
    <row r="144" ht="15.75" customHeight="1">
      <c r="C144" s="61"/>
    </row>
    <row r="145" ht="15.75" customHeight="1">
      <c r="C145" s="61"/>
    </row>
    <row r="146" ht="15.75" customHeight="1">
      <c r="C146" s="61"/>
    </row>
    <row r="147" ht="15.75" customHeight="1">
      <c r="C147" s="61"/>
    </row>
    <row r="148" ht="15.75" customHeight="1">
      <c r="C148" s="61"/>
    </row>
    <row r="149" ht="15.75" customHeight="1">
      <c r="C149" s="61"/>
    </row>
    <row r="150" ht="15.75" customHeight="1">
      <c r="C150" s="61"/>
    </row>
    <row r="151" ht="15.75" customHeight="1">
      <c r="C151" s="61"/>
    </row>
    <row r="152" ht="15.75" customHeight="1">
      <c r="C152" s="61"/>
    </row>
    <row r="153" ht="15.75" customHeight="1">
      <c r="C153" s="61"/>
    </row>
    <row r="154" ht="15.75" customHeight="1">
      <c r="C154" s="61"/>
    </row>
    <row r="155" ht="15.75" customHeight="1">
      <c r="C155" s="61"/>
    </row>
    <row r="156" ht="15.75" customHeight="1">
      <c r="C156" s="61"/>
    </row>
    <row r="157" ht="15.75" customHeight="1">
      <c r="C157" s="61"/>
    </row>
    <row r="158" ht="15.75" customHeight="1">
      <c r="C158" s="61"/>
    </row>
    <row r="159" ht="15.75" customHeight="1">
      <c r="C159" s="61"/>
    </row>
    <row r="160" ht="15.75" customHeight="1">
      <c r="C160" s="61"/>
    </row>
    <row r="161" ht="15.75" customHeight="1">
      <c r="C161" s="61"/>
    </row>
    <row r="162" ht="15.75" customHeight="1">
      <c r="C162" s="61"/>
    </row>
    <row r="163" ht="15.75" customHeight="1">
      <c r="C163" s="61"/>
    </row>
    <row r="164" ht="15.75" customHeight="1">
      <c r="C164" s="61"/>
    </row>
    <row r="165" ht="15.75" customHeight="1">
      <c r="C165" s="61"/>
    </row>
    <row r="166" ht="15.75" customHeight="1">
      <c r="C166" s="61"/>
    </row>
    <row r="167" ht="15.75" customHeight="1">
      <c r="C167" s="61"/>
    </row>
    <row r="168" ht="15.75" customHeight="1">
      <c r="C168" s="61"/>
    </row>
    <row r="169" ht="15.75" customHeight="1">
      <c r="C169" s="61"/>
    </row>
    <row r="170" ht="15.75" customHeight="1">
      <c r="C170" s="61"/>
    </row>
    <row r="171" ht="15.75" customHeight="1">
      <c r="C171" s="61"/>
    </row>
    <row r="172" ht="15.75" customHeight="1">
      <c r="C172" s="61"/>
    </row>
    <row r="173" ht="15.75" customHeight="1">
      <c r="C173" s="61"/>
    </row>
    <row r="174" ht="15.75" customHeight="1">
      <c r="C174" s="61"/>
    </row>
    <row r="175" ht="15.75" customHeight="1">
      <c r="C175" s="61"/>
    </row>
    <row r="176" ht="15.75" customHeight="1">
      <c r="C176" s="61"/>
    </row>
    <row r="177" ht="15.75" customHeight="1">
      <c r="C177" s="61"/>
    </row>
    <row r="178" ht="15.75" customHeight="1">
      <c r="C178" s="61"/>
    </row>
    <row r="179" ht="15.75" customHeight="1">
      <c r="C179" s="61"/>
    </row>
    <row r="180" ht="15.75" customHeight="1">
      <c r="C180" s="61"/>
    </row>
    <row r="181" ht="15.75" customHeight="1">
      <c r="C181" s="61"/>
    </row>
    <row r="182" ht="15.75" customHeight="1">
      <c r="C182" s="61"/>
    </row>
    <row r="183" ht="15.75" customHeight="1">
      <c r="C183" s="61"/>
    </row>
    <row r="184" ht="15.75" customHeight="1">
      <c r="C184" s="61"/>
    </row>
    <row r="185" ht="15.75" customHeight="1">
      <c r="C185" s="61"/>
    </row>
    <row r="186" ht="15.75" customHeight="1">
      <c r="C186" s="61"/>
    </row>
    <row r="187" ht="15.75" customHeight="1">
      <c r="C187" s="61"/>
    </row>
    <row r="188" ht="15.75" customHeight="1">
      <c r="C188" s="61"/>
    </row>
    <row r="189" ht="15.75" customHeight="1">
      <c r="C189" s="61"/>
    </row>
    <row r="190" ht="15.75" customHeight="1">
      <c r="C190" s="61"/>
    </row>
    <row r="191" ht="15.75" customHeight="1">
      <c r="C191" s="61"/>
    </row>
    <row r="192" ht="15.75" customHeight="1">
      <c r="C192" s="61"/>
    </row>
    <row r="193" ht="15.75" customHeight="1">
      <c r="C193" s="61"/>
    </row>
    <row r="194" ht="15.75" customHeight="1">
      <c r="C194" s="61"/>
    </row>
    <row r="195" ht="15.75" customHeight="1">
      <c r="C195" s="61"/>
    </row>
    <row r="196" ht="15.75" customHeight="1">
      <c r="C196" s="61"/>
    </row>
    <row r="197" ht="15.75" customHeight="1">
      <c r="C197" s="61"/>
    </row>
    <row r="198" ht="15.75" customHeight="1">
      <c r="C198" s="61"/>
    </row>
    <row r="199" ht="15.75" customHeight="1">
      <c r="C199" s="61"/>
    </row>
    <row r="200" ht="15.75" customHeight="1">
      <c r="C200" s="61"/>
    </row>
    <row r="201" ht="15.75" customHeight="1">
      <c r="C201" s="61"/>
    </row>
    <row r="202" ht="15.75" customHeight="1">
      <c r="C202" s="61"/>
    </row>
    <row r="203" ht="15.75" customHeight="1">
      <c r="C203" s="61"/>
    </row>
    <row r="204" ht="15.75" customHeight="1">
      <c r="C204" s="61"/>
    </row>
    <row r="205" ht="15.75" customHeight="1">
      <c r="C205" s="61"/>
    </row>
    <row r="206" ht="15.75" customHeight="1">
      <c r="C206" s="61"/>
    </row>
    <row r="207" ht="15.75" customHeight="1">
      <c r="C207" s="61"/>
    </row>
    <row r="208" ht="15.75" customHeight="1">
      <c r="C208" s="61"/>
    </row>
    <row r="209" ht="15.75" customHeight="1">
      <c r="C209" s="61"/>
    </row>
    <row r="210" ht="15.75" customHeight="1">
      <c r="C210" s="61"/>
    </row>
    <row r="211" ht="15.75" customHeight="1">
      <c r="C211" s="61"/>
    </row>
    <row r="212" ht="15.75" customHeight="1">
      <c r="C212" s="61"/>
    </row>
    <row r="213" ht="15.75" customHeight="1">
      <c r="C213" s="61"/>
    </row>
    <row r="214" ht="15.75" customHeight="1">
      <c r="C214" s="61"/>
    </row>
    <row r="215" ht="15.75" customHeight="1">
      <c r="C215" s="61"/>
    </row>
    <row r="216" ht="15.75" customHeight="1">
      <c r="C216" s="61"/>
    </row>
    <row r="217" ht="15.75" customHeight="1">
      <c r="C217" s="61"/>
    </row>
    <row r="218" ht="15.75" customHeight="1">
      <c r="C218" s="61"/>
    </row>
    <row r="219" ht="15.75" customHeight="1">
      <c r="C219" s="61"/>
    </row>
    <row r="220" ht="15.75" customHeight="1">
      <c r="C220" s="61"/>
    </row>
    <row r="221" ht="15.75" customHeight="1">
      <c r="C221" s="61"/>
    </row>
    <row r="222" ht="15.75" customHeight="1">
      <c r="C222" s="61"/>
    </row>
    <row r="223" ht="15.75" customHeight="1">
      <c r="C223" s="61"/>
    </row>
    <row r="224" ht="15.75" customHeight="1">
      <c r="C224" s="61"/>
    </row>
    <row r="225" ht="15.75" customHeight="1">
      <c r="C225" s="61"/>
    </row>
    <row r="226" ht="15.75" customHeight="1">
      <c r="C226" s="61"/>
    </row>
    <row r="227" ht="15.75" customHeight="1">
      <c r="C227" s="61"/>
    </row>
    <row r="228" ht="15.75" customHeight="1">
      <c r="C228" s="61"/>
    </row>
    <row r="229" ht="15.75" customHeight="1">
      <c r="C229" s="61"/>
    </row>
    <row r="230" ht="15.75" customHeight="1">
      <c r="C230" s="61"/>
    </row>
    <row r="231" ht="15.75" customHeight="1">
      <c r="C231" s="61"/>
    </row>
    <row r="232" ht="15.75" customHeight="1">
      <c r="C232" s="61"/>
    </row>
    <row r="233" ht="15.75" customHeight="1">
      <c r="C233" s="61"/>
    </row>
    <row r="234" ht="15.75" customHeight="1">
      <c r="C234" s="61"/>
    </row>
    <row r="235" ht="15.75" customHeight="1">
      <c r="C235" s="61"/>
    </row>
    <row r="236" ht="15.75" customHeight="1">
      <c r="C236" s="61"/>
    </row>
    <row r="237" ht="15.75" customHeight="1">
      <c r="C237" s="61"/>
    </row>
    <row r="238" ht="15.75" customHeight="1">
      <c r="C238" s="61"/>
    </row>
    <row r="239" ht="15.75" customHeight="1">
      <c r="C239" s="61"/>
    </row>
    <row r="240" ht="15.75" customHeight="1">
      <c r="C240" s="61"/>
    </row>
    <row r="241" ht="15.75" customHeight="1">
      <c r="C241" s="61"/>
    </row>
    <row r="242" ht="15.75" customHeight="1">
      <c r="C242" s="61"/>
    </row>
    <row r="243" ht="15.75" customHeight="1">
      <c r="C243" s="61"/>
    </row>
    <row r="244" ht="15.75" customHeight="1">
      <c r="C244" s="61"/>
    </row>
    <row r="245" ht="15.75" customHeight="1">
      <c r="C245" s="61"/>
    </row>
    <row r="246" ht="15.75" customHeight="1">
      <c r="C246" s="61"/>
    </row>
    <row r="247" ht="15.75" customHeight="1">
      <c r="C247" s="61"/>
    </row>
    <row r="248" ht="15.75" customHeight="1">
      <c r="C248" s="61"/>
    </row>
    <row r="249" ht="15.75" customHeight="1">
      <c r="C249" s="61"/>
    </row>
    <row r="250" ht="15.75" customHeight="1">
      <c r="C250" s="61"/>
    </row>
    <row r="251" ht="15.75" customHeight="1">
      <c r="C251" s="61"/>
    </row>
    <row r="252" ht="15.75" customHeight="1">
      <c r="C252" s="61"/>
    </row>
    <row r="253" ht="15.75" customHeight="1">
      <c r="C253" s="61"/>
    </row>
    <row r="254" ht="15.75" customHeight="1">
      <c r="C254" s="61"/>
    </row>
    <row r="255" ht="15.75" customHeight="1">
      <c r="C255" s="61"/>
    </row>
    <row r="256" ht="15.75" customHeight="1">
      <c r="C256" s="61"/>
    </row>
    <row r="257" ht="15.75" customHeight="1">
      <c r="C257" s="61"/>
    </row>
    <row r="258" ht="15.75" customHeight="1">
      <c r="C258" s="61"/>
    </row>
    <row r="259" ht="15.75" customHeight="1">
      <c r="C259" s="61"/>
    </row>
    <row r="260" ht="15.75" customHeight="1">
      <c r="C260" s="61"/>
    </row>
    <row r="261" ht="15.75" customHeight="1">
      <c r="C261" s="61"/>
    </row>
    <row r="262" ht="15.75" customHeight="1">
      <c r="C262" s="61"/>
    </row>
    <row r="263" ht="15.75" customHeight="1">
      <c r="C263" s="61"/>
    </row>
    <row r="264" ht="15.75" customHeight="1">
      <c r="C264" s="61"/>
    </row>
    <row r="265" ht="15.75" customHeight="1">
      <c r="C265" s="61"/>
    </row>
    <row r="266" ht="15.75" customHeight="1">
      <c r="C266" s="61"/>
    </row>
    <row r="267" ht="15.75" customHeight="1">
      <c r="C267" s="61"/>
    </row>
    <row r="268" ht="15.75" customHeight="1">
      <c r="C268" s="61"/>
    </row>
    <row r="269" ht="15.75" customHeight="1">
      <c r="C269" s="61"/>
    </row>
    <row r="270" ht="15.75" customHeight="1">
      <c r="C270" s="61"/>
    </row>
    <row r="271" ht="15.75" customHeight="1">
      <c r="C271" s="61"/>
    </row>
    <row r="272" ht="15.75" customHeight="1">
      <c r="C272" s="61"/>
    </row>
    <row r="273" ht="15.75" customHeight="1">
      <c r="C273" s="61"/>
    </row>
    <row r="274" ht="15.75" customHeight="1">
      <c r="C274" s="61"/>
    </row>
    <row r="275" ht="15.75" customHeight="1">
      <c r="C275" s="61"/>
    </row>
    <row r="276" ht="15.75" customHeight="1">
      <c r="C276" s="61"/>
    </row>
    <row r="277" ht="15.75" customHeight="1">
      <c r="C277" s="61"/>
    </row>
    <row r="278" ht="15.75" customHeight="1">
      <c r="C278" s="61"/>
    </row>
    <row r="279" ht="15.75" customHeight="1">
      <c r="C279" s="61"/>
    </row>
    <row r="280" ht="15.75" customHeight="1">
      <c r="C280" s="61"/>
    </row>
    <row r="281" ht="15.75" customHeight="1">
      <c r="C281" s="61"/>
    </row>
    <row r="282" ht="15.75" customHeight="1">
      <c r="C282" s="61"/>
    </row>
    <row r="283" ht="15.75" customHeight="1">
      <c r="C283" s="61"/>
    </row>
    <row r="284" ht="15.75" customHeight="1">
      <c r="C284" s="61"/>
    </row>
    <row r="285" ht="15.75" customHeight="1">
      <c r="C285" s="61"/>
    </row>
    <row r="286" ht="15.75" customHeight="1">
      <c r="C286" s="61"/>
    </row>
    <row r="287" ht="15.75" customHeight="1">
      <c r="C287" s="61"/>
    </row>
    <row r="288" ht="15.75" customHeight="1">
      <c r="C288" s="61"/>
    </row>
    <row r="289" ht="15.75" customHeight="1">
      <c r="C289" s="61"/>
    </row>
    <row r="290" ht="15.75" customHeight="1">
      <c r="C290" s="61"/>
    </row>
    <row r="291" ht="15.75" customHeight="1">
      <c r="C291" s="61"/>
    </row>
    <row r="292" ht="15.75" customHeight="1">
      <c r="C292" s="61"/>
    </row>
    <row r="293" ht="15.75" customHeight="1">
      <c r="C293" s="61"/>
    </row>
    <row r="294" ht="15.75" customHeight="1">
      <c r="C294" s="61"/>
    </row>
    <row r="295" ht="15.75" customHeight="1">
      <c r="C295" s="61"/>
    </row>
    <row r="296" ht="15.75" customHeight="1">
      <c r="C296" s="61"/>
    </row>
    <row r="297" ht="15.75" customHeight="1">
      <c r="C297" s="61"/>
    </row>
    <row r="298" ht="15.75" customHeight="1">
      <c r="C298" s="61"/>
    </row>
    <row r="299" ht="15.75" customHeight="1">
      <c r="C299" s="61"/>
    </row>
    <row r="300" ht="15.75" customHeight="1">
      <c r="C300" s="61"/>
    </row>
    <row r="301" ht="15.75" customHeight="1">
      <c r="C301" s="61"/>
    </row>
    <row r="302" ht="15.75" customHeight="1">
      <c r="C302" s="61"/>
    </row>
    <row r="303" ht="15.75" customHeight="1">
      <c r="C303" s="61"/>
    </row>
    <row r="304" ht="15.75" customHeight="1">
      <c r="C304" s="61"/>
    </row>
    <row r="305" ht="15.75" customHeight="1">
      <c r="C305" s="61"/>
    </row>
    <row r="306" ht="15.75" customHeight="1">
      <c r="C306" s="61"/>
    </row>
    <row r="307" ht="15.75" customHeight="1">
      <c r="C307" s="61"/>
    </row>
    <row r="308" ht="15.75" customHeight="1">
      <c r="C308" s="61"/>
    </row>
    <row r="309" ht="15.75" customHeight="1">
      <c r="C309" s="61"/>
    </row>
    <row r="310" ht="15.75" customHeight="1">
      <c r="C310" s="61"/>
    </row>
    <row r="311" ht="15.75" customHeight="1">
      <c r="C311" s="61"/>
    </row>
    <row r="312" ht="15.75" customHeight="1">
      <c r="C312" s="61"/>
    </row>
    <row r="313" ht="15.75" customHeight="1">
      <c r="C313" s="61"/>
    </row>
    <row r="314" ht="15.75" customHeight="1">
      <c r="C314" s="61"/>
    </row>
    <row r="315" ht="15.75" customHeight="1">
      <c r="C315" s="61"/>
    </row>
    <row r="316" ht="15.75" customHeight="1">
      <c r="C316" s="61"/>
    </row>
    <row r="317" ht="15.75" customHeight="1">
      <c r="C317" s="61"/>
    </row>
    <row r="318" ht="15.75" customHeight="1">
      <c r="C318" s="61"/>
    </row>
    <row r="319" ht="15.75" customHeight="1">
      <c r="C319" s="61"/>
    </row>
    <row r="320" ht="15.75" customHeight="1">
      <c r="C320" s="61"/>
    </row>
    <row r="321" ht="15.75" customHeight="1">
      <c r="C321" s="61"/>
    </row>
    <row r="322" ht="15.75" customHeight="1">
      <c r="C322" s="61"/>
    </row>
    <row r="323" ht="15.75" customHeight="1">
      <c r="C323" s="61"/>
    </row>
    <row r="324" ht="15.75" customHeight="1">
      <c r="C324" s="61"/>
    </row>
    <row r="325" ht="15.75" customHeight="1">
      <c r="C325" s="61"/>
    </row>
    <row r="326" ht="15.75" customHeight="1">
      <c r="C326" s="61"/>
    </row>
    <row r="327" ht="15.75" customHeight="1">
      <c r="C327" s="61"/>
    </row>
    <row r="328" ht="15.75" customHeight="1">
      <c r="C328" s="61"/>
    </row>
    <row r="329" ht="15.75" customHeight="1">
      <c r="C329" s="61"/>
    </row>
    <row r="330" ht="15.75" customHeight="1">
      <c r="C330" s="61"/>
    </row>
    <row r="331" ht="15.75" customHeight="1">
      <c r="C331" s="61"/>
    </row>
    <row r="332" ht="15.75" customHeight="1">
      <c r="C332" s="61"/>
    </row>
    <row r="333" ht="15.75" customHeight="1">
      <c r="C333" s="61"/>
    </row>
    <row r="334" ht="15.75" customHeight="1">
      <c r="C334" s="61"/>
    </row>
    <row r="335" ht="15.75" customHeight="1">
      <c r="C335" s="61"/>
    </row>
    <row r="336" ht="15.75" customHeight="1">
      <c r="C336" s="61"/>
    </row>
    <row r="337" ht="15.75" customHeight="1">
      <c r="C337" s="61"/>
    </row>
    <row r="338" ht="15.75" customHeight="1">
      <c r="C338" s="61"/>
    </row>
    <row r="339" ht="15.75" customHeight="1">
      <c r="C339" s="61"/>
    </row>
    <row r="340" ht="15.75" customHeight="1">
      <c r="C340" s="61"/>
    </row>
    <row r="341" ht="15.75" customHeight="1">
      <c r="C341" s="61"/>
    </row>
    <row r="342" ht="15.75" customHeight="1">
      <c r="C342" s="61"/>
    </row>
    <row r="343" ht="15.75" customHeight="1">
      <c r="C343" s="61"/>
    </row>
    <row r="344" ht="15.75" customHeight="1">
      <c r="C344" s="61"/>
    </row>
    <row r="345" ht="15.75" customHeight="1">
      <c r="C345" s="61"/>
    </row>
    <row r="346" ht="15.75" customHeight="1">
      <c r="C346" s="61"/>
    </row>
    <row r="347" ht="15.75" customHeight="1">
      <c r="C347" s="61"/>
    </row>
    <row r="348" ht="15.75" customHeight="1">
      <c r="C348" s="61"/>
    </row>
    <row r="349" ht="15.75" customHeight="1">
      <c r="C349" s="61"/>
    </row>
    <row r="350" ht="15.75" customHeight="1">
      <c r="C350" s="61"/>
    </row>
    <row r="351" ht="15.75" customHeight="1">
      <c r="C351" s="61"/>
    </row>
    <row r="352" ht="15.75" customHeight="1">
      <c r="C352" s="61"/>
    </row>
    <row r="353" ht="15.75" customHeight="1">
      <c r="C353" s="61"/>
    </row>
    <row r="354" ht="15.75" customHeight="1">
      <c r="C354" s="61"/>
    </row>
    <row r="355" ht="15.75" customHeight="1">
      <c r="C355" s="61"/>
    </row>
    <row r="356" ht="15.75" customHeight="1">
      <c r="C356" s="61"/>
    </row>
    <row r="357" ht="15.75" customHeight="1">
      <c r="C357" s="61"/>
    </row>
    <row r="358" ht="15.75" customHeight="1">
      <c r="C358" s="61"/>
    </row>
    <row r="359" ht="15.75" customHeight="1">
      <c r="C359" s="61"/>
    </row>
    <row r="360" ht="15.75" customHeight="1">
      <c r="C360" s="61"/>
    </row>
    <row r="361" ht="15.75" customHeight="1">
      <c r="C361" s="61"/>
    </row>
    <row r="362" ht="15.75" customHeight="1">
      <c r="C362" s="61"/>
    </row>
    <row r="363" ht="15.75" customHeight="1">
      <c r="C363" s="61"/>
    </row>
    <row r="364" ht="15.75" customHeight="1">
      <c r="C364" s="61"/>
    </row>
    <row r="365" ht="15.75" customHeight="1">
      <c r="C365" s="61"/>
    </row>
    <row r="366" ht="15.75" customHeight="1">
      <c r="C366" s="61"/>
    </row>
    <row r="367" ht="15.75" customHeight="1">
      <c r="C367" s="61"/>
    </row>
    <row r="368" ht="15.75" customHeight="1">
      <c r="C368" s="61"/>
    </row>
    <row r="369" ht="15.75" customHeight="1">
      <c r="C369" s="61"/>
    </row>
    <row r="370" ht="15.75" customHeight="1">
      <c r="C370" s="61"/>
    </row>
    <row r="371" ht="15.75" customHeight="1">
      <c r="C371" s="61"/>
    </row>
    <row r="372" ht="15.75" customHeight="1">
      <c r="C372" s="61"/>
    </row>
    <row r="373" ht="15.75" customHeight="1">
      <c r="C373" s="61"/>
    </row>
    <row r="374" ht="15.75" customHeight="1">
      <c r="C374" s="61"/>
    </row>
    <row r="375" ht="15.75" customHeight="1">
      <c r="C375" s="61"/>
    </row>
    <row r="376" ht="15.75" customHeight="1">
      <c r="C376" s="61"/>
    </row>
    <row r="377" ht="15.75" customHeight="1">
      <c r="C377" s="61"/>
    </row>
    <row r="378" ht="15.75" customHeight="1">
      <c r="C378" s="61"/>
    </row>
    <row r="379" ht="15.75" customHeight="1">
      <c r="C379" s="61"/>
    </row>
    <row r="380" ht="15.75" customHeight="1">
      <c r="C380" s="61"/>
    </row>
    <row r="381" ht="15.75" customHeight="1">
      <c r="C381" s="61"/>
    </row>
    <row r="382" ht="15.75" customHeight="1">
      <c r="C382" s="61"/>
    </row>
    <row r="383" ht="15.75" customHeight="1">
      <c r="C383" s="61"/>
    </row>
    <row r="384" ht="15.75" customHeight="1">
      <c r="C384" s="61"/>
    </row>
    <row r="385" ht="15.75" customHeight="1">
      <c r="C385" s="61"/>
    </row>
    <row r="386" ht="15.75" customHeight="1">
      <c r="C386" s="61"/>
    </row>
    <row r="387" ht="15.75" customHeight="1">
      <c r="C387" s="61"/>
    </row>
    <row r="388" ht="15.75" customHeight="1">
      <c r="C388" s="61"/>
    </row>
    <row r="389" ht="15.75" customHeight="1">
      <c r="C389" s="61"/>
    </row>
    <row r="390" ht="15.75" customHeight="1">
      <c r="C390" s="61"/>
    </row>
    <row r="391" ht="15.75" customHeight="1">
      <c r="C391" s="61"/>
    </row>
    <row r="392" ht="15.75" customHeight="1">
      <c r="C392" s="61"/>
    </row>
    <row r="393" ht="15.75" customHeight="1">
      <c r="C393" s="61"/>
    </row>
    <row r="394" ht="15.75" customHeight="1">
      <c r="C394" s="61"/>
    </row>
    <row r="395" ht="15.75" customHeight="1">
      <c r="C395" s="61"/>
    </row>
    <row r="396" ht="15.75" customHeight="1">
      <c r="C396" s="61"/>
    </row>
    <row r="397" ht="15.75" customHeight="1">
      <c r="C397" s="61"/>
    </row>
    <row r="398" ht="15.75" customHeight="1">
      <c r="C398" s="61"/>
    </row>
    <row r="399" ht="15.75" customHeight="1">
      <c r="C399" s="61"/>
    </row>
    <row r="400" ht="15.75" customHeight="1">
      <c r="C400" s="61"/>
    </row>
    <row r="401" ht="15.75" customHeight="1">
      <c r="C401" s="61"/>
    </row>
    <row r="402" ht="15.75" customHeight="1">
      <c r="C402" s="61"/>
    </row>
    <row r="403" ht="15.75" customHeight="1">
      <c r="C403" s="61"/>
    </row>
    <row r="404" ht="15.75" customHeight="1">
      <c r="C404" s="61"/>
    </row>
    <row r="405" ht="15.75" customHeight="1">
      <c r="C405" s="61"/>
    </row>
    <row r="406" ht="15.75" customHeight="1">
      <c r="C406" s="61"/>
    </row>
    <row r="407" ht="15.75" customHeight="1">
      <c r="C407" s="61"/>
    </row>
    <row r="408" ht="15.75" customHeight="1">
      <c r="C408" s="61"/>
    </row>
    <row r="409" ht="15.75" customHeight="1">
      <c r="C409" s="61"/>
    </row>
    <row r="410" ht="15.75" customHeight="1">
      <c r="C410" s="61"/>
    </row>
    <row r="411" ht="15.75" customHeight="1">
      <c r="C411" s="61"/>
    </row>
    <row r="412" ht="15.75" customHeight="1">
      <c r="C412" s="61"/>
    </row>
    <row r="413" ht="15.75" customHeight="1">
      <c r="C413" s="61"/>
    </row>
    <row r="414" ht="15.75" customHeight="1">
      <c r="C414" s="61"/>
    </row>
    <row r="415" ht="15.75" customHeight="1">
      <c r="C415" s="61"/>
    </row>
    <row r="416" ht="15.75" customHeight="1">
      <c r="C416" s="61"/>
    </row>
    <row r="417" ht="15.75" customHeight="1">
      <c r="C417" s="61"/>
    </row>
    <row r="418" ht="15.75" customHeight="1">
      <c r="C418" s="61"/>
    </row>
    <row r="419" ht="15.75" customHeight="1">
      <c r="C419" s="61"/>
    </row>
    <row r="420" ht="15.75" customHeight="1">
      <c r="C420" s="61"/>
    </row>
    <row r="421" ht="15.75" customHeight="1">
      <c r="C421" s="61"/>
    </row>
    <row r="422" ht="15.75" customHeight="1">
      <c r="C422" s="61"/>
    </row>
    <row r="423" ht="15.75" customHeight="1">
      <c r="C423" s="61"/>
    </row>
    <row r="424" ht="15.75" customHeight="1">
      <c r="C424" s="61"/>
    </row>
    <row r="425" ht="15.75" customHeight="1">
      <c r="C425" s="61"/>
    </row>
    <row r="426" ht="15.75" customHeight="1">
      <c r="C426" s="61"/>
    </row>
    <row r="427" ht="15.75" customHeight="1">
      <c r="C427" s="61"/>
    </row>
    <row r="428" ht="15.75" customHeight="1">
      <c r="C428" s="61"/>
    </row>
    <row r="429" ht="15.75" customHeight="1">
      <c r="C429" s="61"/>
    </row>
    <row r="430" ht="15.75" customHeight="1">
      <c r="C430" s="61"/>
    </row>
    <row r="431" ht="15.75" customHeight="1">
      <c r="C431" s="61"/>
    </row>
    <row r="432" ht="15.75" customHeight="1">
      <c r="C432" s="61"/>
    </row>
    <row r="433" ht="15.75" customHeight="1">
      <c r="C433" s="61"/>
    </row>
    <row r="434" ht="15.75" customHeight="1">
      <c r="C434" s="61"/>
    </row>
    <row r="435" ht="15.75" customHeight="1">
      <c r="C435" s="61"/>
    </row>
    <row r="436" ht="15.75" customHeight="1">
      <c r="C436" s="61"/>
    </row>
    <row r="437" ht="15.75" customHeight="1">
      <c r="C437" s="61"/>
    </row>
    <row r="438" ht="15.75" customHeight="1">
      <c r="C438" s="61"/>
    </row>
    <row r="439" ht="15.75" customHeight="1">
      <c r="C439" s="61"/>
    </row>
    <row r="440" ht="15.75" customHeight="1">
      <c r="C440" s="61"/>
    </row>
    <row r="441" ht="15.75" customHeight="1">
      <c r="C441" s="61"/>
    </row>
    <row r="442" ht="15.75" customHeight="1">
      <c r="C442" s="61"/>
    </row>
    <row r="443" ht="15.75" customHeight="1">
      <c r="C443" s="61"/>
    </row>
    <row r="444" ht="15.75" customHeight="1">
      <c r="C444" s="61"/>
    </row>
    <row r="445" ht="15.75" customHeight="1">
      <c r="C445" s="61"/>
    </row>
    <row r="446" ht="15.75" customHeight="1">
      <c r="C446" s="61"/>
    </row>
    <row r="447" ht="15.75" customHeight="1">
      <c r="C447" s="61"/>
    </row>
    <row r="448" ht="15.75" customHeight="1">
      <c r="C448" s="61"/>
    </row>
    <row r="449" ht="15.75" customHeight="1">
      <c r="C449" s="61"/>
    </row>
    <row r="450" ht="15.75" customHeight="1">
      <c r="C450" s="61"/>
    </row>
    <row r="451" ht="15.75" customHeight="1">
      <c r="C451" s="61"/>
    </row>
    <row r="452" ht="15.75" customHeight="1">
      <c r="C452" s="61"/>
    </row>
    <row r="453" ht="15.75" customHeight="1">
      <c r="C453" s="61"/>
    </row>
    <row r="454" ht="15.75" customHeight="1">
      <c r="C454" s="61"/>
    </row>
    <row r="455" ht="15.75" customHeight="1">
      <c r="C455" s="61"/>
    </row>
    <row r="456" ht="15.75" customHeight="1">
      <c r="C456" s="61"/>
    </row>
    <row r="457" ht="15.75" customHeight="1">
      <c r="C457" s="61"/>
    </row>
    <row r="458" ht="15.75" customHeight="1">
      <c r="C458" s="61"/>
    </row>
    <row r="459" ht="15.75" customHeight="1">
      <c r="C459" s="61"/>
    </row>
    <row r="460" ht="15.75" customHeight="1">
      <c r="C460" s="61"/>
    </row>
    <row r="461" ht="15.75" customHeight="1">
      <c r="C461" s="61"/>
    </row>
    <row r="462" ht="15.75" customHeight="1">
      <c r="C462" s="61"/>
    </row>
    <row r="463" ht="15.75" customHeight="1">
      <c r="C463" s="61"/>
    </row>
    <row r="464" ht="15.75" customHeight="1">
      <c r="C464" s="61"/>
    </row>
    <row r="465" ht="15.75" customHeight="1">
      <c r="C465" s="61"/>
    </row>
    <row r="466" ht="15.75" customHeight="1">
      <c r="C466" s="61"/>
    </row>
    <row r="467" ht="15.75" customHeight="1">
      <c r="C467" s="61"/>
    </row>
    <row r="468" ht="15.75" customHeight="1">
      <c r="C468" s="61"/>
    </row>
    <row r="469" ht="15.75" customHeight="1">
      <c r="C469" s="61"/>
    </row>
    <row r="470" ht="15.75" customHeight="1">
      <c r="C470" s="61"/>
    </row>
    <row r="471" ht="15.75" customHeight="1">
      <c r="C471" s="61"/>
    </row>
    <row r="472" ht="15.75" customHeight="1">
      <c r="C472" s="61"/>
    </row>
    <row r="473" ht="15.75" customHeight="1">
      <c r="C473" s="61"/>
    </row>
    <row r="474" ht="15.75" customHeight="1">
      <c r="C474" s="61"/>
    </row>
    <row r="475" ht="15.75" customHeight="1">
      <c r="C475" s="61"/>
    </row>
    <row r="476" ht="15.75" customHeight="1">
      <c r="C476" s="61"/>
    </row>
    <row r="477" ht="15.75" customHeight="1">
      <c r="C477" s="61"/>
    </row>
    <row r="478" ht="15.75" customHeight="1">
      <c r="C478" s="61"/>
    </row>
    <row r="479" ht="15.75" customHeight="1">
      <c r="C479" s="61"/>
    </row>
    <row r="480" ht="15.75" customHeight="1">
      <c r="C480" s="61"/>
    </row>
    <row r="481" ht="15.75" customHeight="1">
      <c r="C481" s="61"/>
    </row>
    <row r="482" ht="15.75" customHeight="1">
      <c r="C482" s="61"/>
    </row>
    <row r="483" ht="15.75" customHeight="1">
      <c r="C483" s="61"/>
    </row>
    <row r="484" ht="15.75" customHeight="1">
      <c r="C484" s="61"/>
    </row>
    <row r="485" ht="15.75" customHeight="1">
      <c r="C485" s="61"/>
    </row>
    <row r="486" ht="15.75" customHeight="1">
      <c r="C486" s="61"/>
    </row>
    <row r="487" ht="15.75" customHeight="1">
      <c r="C487" s="61"/>
    </row>
    <row r="488" ht="15.75" customHeight="1">
      <c r="C488" s="61"/>
    </row>
    <row r="489" ht="15.75" customHeight="1">
      <c r="C489" s="61"/>
    </row>
    <row r="490" ht="15.75" customHeight="1">
      <c r="C490" s="61"/>
    </row>
    <row r="491" ht="15.75" customHeight="1">
      <c r="C491" s="61"/>
    </row>
    <row r="492" ht="15.75" customHeight="1">
      <c r="C492" s="61"/>
    </row>
    <row r="493" ht="15.75" customHeight="1">
      <c r="C493" s="61"/>
    </row>
    <row r="494" ht="15.75" customHeight="1">
      <c r="C494" s="61"/>
    </row>
    <row r="495" ht="15.75" customHeight="1">
      <c r="C495" s="61"/>
    </row>
    <row r="496" ht="15.75" customHeight="1">
      <c r="C496" s="61"/>
    </row>
    <row r="497" ht="15.75" customHeight="1">
      <c r="C497" s="61"/>
    </row>
    <row r="498" ht="15.75" customHeight="1">
      <c r="C498" s="61"/>
    </row>
    <row r="499" ht="15.75" customHeight="1">
      <c r="C499" s="61"/>
    </row>
    <row r="500" ht="15.75" customHeight="1">
      <c r="C500" s="61"/>
    </row>
    <row r="501" ht="15.75" customHeight="1">
      <c r="C501" s="61"/>
    </row>
    <row r="502" ht="15.75" customHeight="1">
      <c r="C502" s="61"/>
    </row>
    <row r="503" ht="15.75" customHeight="1">
      <c r="C503" s="61"/>
    </row>
    <row r="504" ht="15.75" customHeight="1">
      <c r="C504" s="61"/>
    </row>
    <row r="505" ht="15.75" customHeight="1">
      <c r="C505" s="61"/>
    </row>
    <row r="506" ht="15.75" customHeight="1">
      <c r="C506" s="61"/>
    </row>
    <row r="507" ht="15.75" customHeight="1">
      <c r="C507" s="61"/>
    </row>
    <row r="508" ht="15.75" customHeight="1">
      <c r="C508" s="61"/>
    </row>
    <row r="509" ht="15.75" customHeight="1">
      <c r="C509" s="61"/>
    </row>
    <row r="510" ht="15.75" customHeight="1">
      <c r="C510" s="61"/>
    </row>
    <row r="511" ht="15.75" customHeight="1">
      <c r="C511" s="61"/>
    </row>
    <row r="512" ht="15.75" customHeight="1">
      <c r="C512" s="61"/>
    </row>
    <row r="513" ht="15.75" customHeight="1">
      <c r="C513" s="61"/>
    </row>
    <row r="514" ht="15.75" customHeight="1">
      <c r="C514" s="61"/>
    </row>
    <row r="515" ht="15.75" customHeight="1">
      <c r="C515" s="61"/>
    </row>
    <row r="516" ht="15.75" customHeight="1">
      <c r="C516" s="61"/>
    </row>
    <row r="517" ht="15.75" customHeight="1">
      <c r="C517" s="61"/>
    </row>
    <row r="518" ht="15.75" customHeight="1">
      <c r="C518" s="61"/>
    </row>
    <row r="519" ht="15.75" customHeight="1">
      <c r="C519" s="61"/>
    </row>
    <row r="520" ht="15.75" customHeight="1">
      <c r="C520" s="61"/>
    </row>
    <row r="521" ht="15.75" customHeight="1">
      <c r="C521" s="61"/>
    </row>
    <row r="522" ht="15.75" customHeight="1">
      <c r="C522" s="61"/>
    </row>
    <row r="523" ht="15.75" customHeight="1">
      <c r="C523" s="61"/>
    </row>
    <row r="524" ht="15.75" customHeight="1">
      <c r="C524" s="61"/>
    </row>
    <row r="525" ht="15.75" customHeight="1">
      <c r="C525" s="61"/>
    </row>
    <row r="526" ht="15.75" customHeight="1">
      <c r="C526" s="61"/>
    </row>
    <row r="527" ht="15.75" customHeight="1">
      <c r="C527" s="61"/>
    </row>
    <row r="528" ht="15.75" customHeight="1">
      <c r="C528" s="61"/>
    </row>
    <row r="529" ht="15.75" customHeight="1">
      <c r="C529" s="61"/>
    </row>
    <row r="530" ht="15.75" customHeight="1">
      <c r="C530" s="61"/>
    </row>
    <row r="531" ht="15.75" customHeight="1">
      <c r="C531" s="61"/>
    </row>
    <row r="532" ht="15.75" customHeight="1">
      <c r="C532" s="61"/>
    </row>
    <row r="533" ht="15.75" customHeight="1">
      <c r="C533" s="61"/>
    </row>
    <row r="534" ht="15.75" customHeight="1">
      <c r="C534" s="61"/>
    </row>
    <row r="535" ht="15.75" customHeight="1">
      <c r="C535" s="61"/>
    </row>
    <row r="536" ht="15.75" customHeight="1">
      <c r="C536" s="61"/>
    </row>
    <row r="537" ht="15.75" customHeight="1">
      <c r="C537" s="61"/>
    </row>
    <row r="538" ht="15.75" customHeight="1">
      <c r="C538" s="61"/>
    </row>
    <row r="539" ht="15.75" customHeight="1">
      <c r="C539" s="61"/>
    </row>
    <row r="540" ht="15.75" customHeight="1">
      <c r="C540" s="61"/>
    </row>
    <row r="541" ht="15.75" customHeight="1">
      <c r="C541" s="61"/>
    </row>
    <row r="542" ht="15.75" customHeight="1">
      <c r="C542" s="61"/>
    </row>
    <row r="543" ht="15.75" customHeight="1">
      <c r="C543" s="61"/>
    </row>
    <row r="544" ht="15.75" customHeight="1">
      <c r="C544" s="61"/>
    </row>
    <row r="545" ht="15.75" customHeight="1">
      <c r="C545" s="61"/>
    </row>
    <row r="546" ht="15.75" customHeight="1">
      <c r="C546" s="61"/>
    </row>
    <row r="547" ht="15.75" customHeight="1">
      <c r="C547" s="61"/>
    </row>
    <row r="548" ht="15.75" customHeight="1">
      <c r="C548" s="61"/>
    </row>
    <row r="549" ht="15.75" customHeight="1">
      <c r="C549" s="61"/>
    </row>
    <row r="550" ht="15.75" customHeight="1">
      <c r="C550" s="61"/>
    </row>
    <row r="551" ht="15.75" customHeight="1">
      <c r="C551" s="61"/>
    </row>
    <row r="552" ht="15.75" customHeight="1">
      <c r="C552" s="61"/>
    </row>
    <row r="553" ht="15.75" customHeight="1">
      <c r="C553" s="61"/>
    </row>
    <row r="554" ht="15.75" customHeight="1">
      <c r="C554" s="61"/>
    </row>
    <row r="555" ht="15.75" customHeight="1">
      <c r="C555" s="61"/>
    </row>
    <row r="556" ht="15.75" customHeight="1">
      <c r="C556" s="61"/>
    </row>
    <row r="557" ht="15.75" customHeight="1">
      <c r="C557" s="61"/>
    </row>
    <row r="558" ht="15.75" customHeight="1">
      <c r="C558" s="61"/>
    </row>
    <row r="559" ht="15.75" customHeight="1">
      <c r="C559" s="61"/>
    </row>
    <row r="560" ht="15.75" customHeight="1">
      <c r="C560" s="61"/>
    </row>
    <row r="561" ht="15.75" customHeight="1">
      <c r="C561" s="61"/>
    </row>
    <row r="562" ht="15.75" customHeight="1">
      <c r="C562" s="61"/>
    </row>
    <row r="563" ht="15.75" customHeight="1">
      <c r="C563" s="61"/>
    </row>
    <row r="564" ht="15.75" customHeight="1">
      <c r="C564" s="61"/>
    </row>
    <row r="565" ht="15.75" customHeight="1">
      <c r="C565" s="61"/>
    </row>
    <row r="566" ht="15.75" customHeight="1">
      <c r="C566" s="61"/>
    </row>
    <row r="567" ht="15.75" customHeight="1">
      <c r="C567" s="61"/>
    </row>
    <row r="568" ht="15.75" customHeight="1">
      <c r="C568" s="61"/>
    </row>
    <row r="569" ht="15.75" customHeight="1">
      <c r="C569" s="61"/>
    </row>
    <row r="570" ht="15.75" customHeight="1">
      <c r="C570" s="61"/>
    </row>
    <row r="571" ht="15.75" customHeight="1">
      <c r="C571" s="61"/>
    </row>
    <row r="572" ht="15.75" customHeight="1">
      <c r="C572" s="61"/>
    </row>
    <row r="573" ht="15.75" customHeight="1">
      <c r="C573" s="61"/>
    </row>
    <row r="574" ht="15.75" customHeight="1">
      <c r="C574" s="61"/>
    </row>
    <row r="575" ht="15.75" customHeight="1">
      <c r="C575" s="61"/>
    </row>
    <row r="576" ht="15.75" customHeight="1">
      <c r="C576" s="61"/>
    </row>
    <row r="577" ht="15.75" customHeight="1">
      <c r="C577" s="61"/>
    </row>
    <row r="578" ht="15.75" customHeight="1">
      <c r="C578" s="61"/>
    </row>
    <row r="579" ht="15.75" customHeight="1">
      <c r="C579" s="61"/>
    </row>
    <row r="580" ht="15.75" customHeight="1">
      <c r="C580" s="61"/>
    </row>
    <row r="581" ht="15.75" customHeight="1">
      <c r="C581" s="61"/>
    </row>
    <row r="582" ht="15.75" customHeight="1">
      <c r="C582" s="61"/>
    </row>
    <row r="583" ht="15.75" customHeight="1">
      <c r="C583" s="61"/>
    </row>
    <row r="584" ht="15.75" customHeight="1">
      <c r="C584" s="61"/>
    </row>
    <row r="585" ht="15.75" customHeight="1">
      <c r="C585" s="61"/>
    </row>
    <row r="586" ht="15.75" customHeight="1">
      <c r="C586" s="61"/>
    </row>
    <row r="587" ht="15.75" customHeight="1">
      <c r="C587" s="61"/>
    </row>
    <row r="588" ht="15.75" customHeight="1">
      <c r="C588" s="61"/>
    </row>
    <row r="589" ht="15.75" customHeight="1">
      <c r="C589" s="61"/>
    </row>
    <row r="590" ht="15.75" customHeight="1">
      <c r="C590" s="61"/>
    </row>
    <row r="591" ht="15.75" customHeight="1">
      <c r="C591" s="61"/>
    </row>
    <row r="592" ht="15.75" customHeight="1">
      <c r="C592" s="61"/>
    </row>
    <row r="593" ht="15.75" customHeight="1">
      <c r="C593" s="61"/>
    </row>
    <row r="594" ht="15.75" customHeight="1">
      <c r="C594" s="61"/>
    </row>
    <row r="595" ht="15.75" customHeight="1">
      <c r="C595" s="61"/>
    </row>
    <row r="596" ht="15.75" customHeight="1">
      <c r="C596" s="61"/>
    </row>
    <row r="597" ht="15.75" customHeight="1">
      <c r="C597" s="61"/>
    </row>
    <row r="598" ht="15.75" customHeight="1">
      <c r="C598" s="61"/>
    </row>
    <row r="599" ht="15.75" customHeight="1">
      <c r="C599" s="61"/>
    </row>
    <row r="600" ht="15.75" customHeight="1">
      <c r="C600" s="61"/>
    </row>
    <row r="601" ht="15.75" customHeight="1">
      <c r="C601" s="61"/>
    </row>
    <row r="602" ht="15.75" customHeight="1">
      <c r="C602" s="61"/>
    </row>
    <row r="603" ht="15.75" customHeight="1">
      <c r="C603" s="61"/>
    </row>
    <row r="604" ht="15.75" customHeight="1">
      <c r="C604" s="61"/>
    </row>
    <row r="605" ht="15.75" customHeight="1">
      <c r="C605" s="61"/>
    </row>
    <row r="606" ht="15.75" customHeight="1">
      <c r="C606" s="61"/>
    </row>
    <row r="607" ht="15.75" customHeight="1">
      <c r="C607" s="61"/>
    </row>
    <row r="608" ht="15.75" customHeight="1">
      <c r="C608" s="61"/>
    </row>
    <row r="609" ht="15.75" customHeight="1">
      <c r="C609" s="61"/>
    </row>
    <row r="610" ht="15.75" customHeight="1">
      <c r="C610" s="61"/>
    </row>
    <row r="611" ht="15.75" customHeight="1">
      <c r="C611" s="61"/>
    </row>
    <row r="612" ht="15.75" customHeight="1">
      <c r="C612" s="61"/>
    </row>
    <row r="613" ht="15.75" customHeight="1">
      <c r="C613" s="61"/>
    </row>
    <row r="614" ht="15.75" customHeight="1">
      <c r="C614" s="61"/>
    </row>
    <row r="615" ht="15.75" customHeight="1">
      <c r="C615" s="61"/>
    </row>
    <row r="616" ht="15.75" customHeight="1">
      <c r="C616" s="61"/>
    </row>
    <row r="617" ht="15.75" customHeight="1">
      <c r="C617" s="61"/>
    </row>
    <row r="618" ht="15.75" customHeight="1">
      <c r="C618" s="61"/>
    </row>
    <row r="619" ht="15.75" customHeight="1">
      <c r="C619" s="61"/>
    </row>
    <row r="620" ht="15.75" customHeight="1">
      <c r="C620" s="61"/>
    </row>
    <row r="621" ht="15.75" customHeight="1">
      <c r="C621" s="61"/>
    </row>
    <row r="622" ht="15.75" customHeight="1">
      <c r="C622" s="61"/>
    </row>
    <row r="623" ht="15.75" customHeight="1">
      <c r="C623" s="61"/>
    </row>
    <row r="624" ht="15.75" customHeight="1">
      <c r="C624" s="61"/>
    </row>
    <row r="625" ht="15.75" customHeight="1">
      <c r="C625" s="61"/>
    </row>
    <row r="626" ht="15.75" customHeight="1">
      <c r="C626" s="61"/>
    </row>
    <row r="627" ht="15.75" customHeight="1">
      <c r="C627" s="61"/>
    </row>
    <row r="628" ht="15.75" customHeight="1">
      <c r="C628" s="61"/>
    </row>
    <row r="629" ht="15.75" customHeight="1">
      <c r="C629" s="61"/>
    </row>
    <row r="630" ht="15.75" customHeight="1">
      <c r="C630" s="61"/>
    </row>
    <row r="631" ht="15.75" customHeight="1">
      <c r="C631" s="61"/>
    </row>
    <row r="632" ht="15.75" customHeight="1">
      <c r="C632" s="61"/>
    </row>
    <row r="633" ht="15.75" customHeight="1">
      <c r="C633" s="61"/>
    </row>
    <row r="634" ht="15.75" customHeight="1">
      <c r="C634" s="61"/>
    </row>
    <row r="635" ht="15.75" customHeight="1">
      <c r="C635" s="61"/>
    </row>
    <row r="636" ht="15.75" customHeight="1">
      <c r="C636" s="61"/>
    </row>
    <row r="637" ht="15.75" customHeight="1">
      <c r="C637" s="61"/>
    </row>
    <row r="638" ht="15.75" customHeight="1">
      <c r="C638" s="61"/>
    </row>
    <row r="639" ht="15.75" customHeight="1">
      <c r="C639" s="61"/>
    </row>
    <row r="640" ht="15.75" customHeight="1">
      <c r="C640" s="61"/>
    </row>
    <row r="641" ht="15.75" customHeight="1">
      <c r="C641" s="61"/>
    </row>
    <row r="642" ht="15.75" customHeight="1">
      <c r="C642" s="61"/>
    </row>
    <row r="643" ht="15.75" customHeight="1">
      <c r="C643" s="61"/>
    </row>
    <row r="644" ht="15.75" customHeight="1">
      <c r="C644" s="61"/>
    </row>
    <row r="645" ht="15.75" customHeight="1">
      <c r="C645" s="61"/>
    </row>
    <row r="646" ht="15.75" customHeight="1">
      <c r="C646" s="61"/>
    </row>
    <row r="647" ht="15.75" customHeight="1">
      <c r="C647" s="61"/>
    </row>
    <row r="648" ht="15.75" customHeight="1">
      <c r="C648" s="61"/>
    </row>
    <row r="649" ht="15.75" customHeight="1">
      <c r="C649" s="61"/>
    </row>
    <row r="650" ht="15.75" customHeight="1">
      <c r="C650" s="61"/>
    </row>
    <row r="651" ht="15.75" customHeight="1">
      <c r="C651" s="61"/>
    </row>
    <row r="652" ht="15.75" customHeight="1">
      <c r="C652" s="61"/>
    </row>
    <row r="653" ht="15.75" customHeight="1">
      <c r="C653" s="61"/>
    </row>
    <row r="654" ht="15.75" customHeight="1">
      <c r="C654" s="61"/>
    </row>
    <row r="655" ht="15.75" customHeight="1">
      <c r="C655" s="61"/>
    </row>
    <row r="656" ht="15.75" customHeight="1">
      <c r="C656" s="61"/>
    </row>
    <row r="657" ht="15.75" customHeight="1">
      <c r="C657" s="61"/>
    </row>
    <row r="658" ht="15.75" customHeight="1">
      <c r="C658" s="61"/>
    </row>
    <row r="659" ht="15.75" customHeight="1">
      <c r="C659" s="61"/>
    </row>
    <row r="660" ht="15.75" customHeight="1">
      <c r="C660" s="61"/>
    </row>
    <row r="661" ht="15.75" customHeight="1">
      <c r="C661" s="61"/>
    </row>
    <row r="662" ht="15.75" customHeight="1">
      <c r="C662" s="61"/>
    </row>
    <row r="663" ht="15.75" customHeight="1">
      <c r="C663" s="61"/>
    </row>
    <row r="664" ht="15.75" customHeight="1">
      <c r="C664" s="61"/>
    </row>
    <row r="665" ht="15.75" customHeight="1">
      <c r="C665" s="61"/>
    </row>
    <row r="666" ht="15.75" customHeight="1">
      <c r="C666" s="61"/>
    </row>
    <row r="667" ht="15.75" customHeight="1">
      <c r="C667" s="61"/>
    </row>
    <row r="668" ht="15.75" customHeight="1">
      <c r="C668" s="61"/>
    </row>
    <row r="669" ht="15.75" customHeight="1">
      <c r="C669" s="61"/>
    </row>
    <row r="670" ht="15.75" customHeight="1">
      <c r="C670" s="61"/>
    </row>
    <row r="671" ht="15.75" customHeight="1">
      <c r="C671" s="61"/>
    </row>
    <row r="672" ht="15.75" customHeight="1">
      <c r="C672" s="61"/>
    </row>
    <row r="673" ht="15.75" customHeight="1">
      <c r="C673" s="61"/>
    </row>
    <row r="674" ht="15.75" customHeight="1">
      <c r="C674" s="61"/>
    </row>
    <row r="675" ht="15.75" customHeight="1">
      <c r="C675" s="61"/>
    </row>
    <row r="676" ht="15.75" customHeight="1">
      <c r="C676" s="61"/>
    </row>
    <row r="677" ht="15.75" customHeight="1">
      <c r="C677" s="61"/>
    </row>
    <row r="678" ht="15.75" customHeight="1">
      <c r="C678" s="61"/>
    </row>
    <row r="679" ht="15.75" customHeight="1">
      <c r="C679" s="61"/>
    </row>
    <row r="680" ht="15.75" customHeight="1">
      <c r="C680" s="61"/>
    </row>
    <row r="681" ht="15.75" customHeight="1">
      <c r="C681" s="61"/>
    </row>
    <row r="682" ht="15.75" customHeight="1">
      <c r="C682" s="61"/>
    </row>
    <row r="683" ht="15.75" customHeight="1">
      <c r="C683" s="61"/>
    </row>
    <row r="684" ht="15.75" customHeight="1">
      <c r="C684" s="61"/>
    </row>
    <row r="685" ht="15.75" customHeight="1">
      <c r="C685" s="61"/>
    </row>
    <row r="686" ht="15.75" customHeight="1">
      <c r="C686" s="61"/>
    </row>
    <row r="687" ht="15.75" customHeight="1">
      <c r="C687" s="61"/>
    </row>
    <row r="688" ht="15.75" customHeight="1">
      <c r="C688" s="61"/>
    </row>
    <row r="689" ht="15.75" customHeight="1">
      <c r="C689" s="61"/>
    </row>
    <row r="690" ht="15.75" customHeight="1">
      <c r="C690" s="61"/>
    </row>
    <row r="691" ht="15.75" customHeight="1">
      <c r="C691" s="61"/>
    </row>
    <row r="692" ht="15.75" customHeight="1">
      <c r="C692" s="61"/>
    </row>
    <row r="693" ht="15.75" customHeight="1">
      <c r="C693" s="61"/>
    </row>
    <row r="694" ht="15.75" customHeight="1">
      <c r="C694" s="61"/>
    </row>
    <row r="695" ht="15.75" customHeight="1">
      <c r="C695" s="61"/>
    </row>
    <row r="696" ht="15.75" customHeight="1">
      <c r="C696" s="61"/>
    </row>
    <row r="697" ht="15.75" customHeight="1">
      <c r="C697" s="61"/>
    </row>
    <row r="698" ht="15.75" customHeight="1">
      <c r="C698" s="61"/>
    </row>
    <row r="699" ht="15.75" customHeight="1">
      <c r="C699" s="61"/>
    </row>
    <row r="700" ht="15.75" customHeight="1">
      <c r="C700" s="61"/>
    </row>
    <row r="701" ht="15.75" customHeight="1">
      <c r="C701" s="61"/>
    </row>
    <row r="702" ht="15.75" customHeight="1">
      <c r="C702" s="61"/>
    </row>
    <row r="703" ht="15.75" customHeight="1">
      <c r="C703" s="61"/>
    </row>
    <row r="704" ht="15.75" customHeight="1">
      <c r="C704" s="61"/>
    </row>
    <row r="705" ht="15.75" customHeight="1">
      <c r="C705" s="61"/>
    </row>
    <row r="706" ht="15.75" customHeight="1">
      <c r="C706" s="61"/>
    </row>
    <row r="707" ht="15.75" customHeight="1">
      <c r="C707" s="61"/>
    </row>
    <row r="708" ht="15.75" customHeight="1">
      <c r="C708" s="61"/>
    </row>
    <row r="709" ht="15.75" customHeight="1">
      <c r="C709" s="61"/>
    </row>
    <row r="710" ht="15.75" customHeight="1">
      <c r="C710" s="61"/>
    </row>
    <row r="711" ht="15.75" customHeight="1">
      <c r="C711" s="61"/>
    </row>
    <row r="712" ht="15.75" customHeight="1">
      <c r="C712" s="61"/>
    </row>
    <row r="713" ht="15.75" customHeight="1">
      <c r="C713" s="61"/>
    </row>
    <row r="714" ht="15.75" customHeight="1">
      <c r="C714" s="61"/>
    </row>
    <row r="715" ht="15.75" customHeight="1">
      <c r="C715" s="61"/>
    </row>
    <row r="716" ht="15.75" customHeight="1">
      <c r="C716" s="61"/>
    </row>
    <row r="717" ht="15.75" customHeight="1">
      <c r="C717" s="61"/>
    </row>
    <row r="718" ht="15.75" customHeight="1">
      <c r="C718" s="61"/>
    </row>
    <row r="719" ht="15.75" customHeight="1">
      <c r="C719" s="61"/>
    </row>
    <row r="720" ht="15.75" customHeight="1">
      <c r="C720" s="61"/>
    </row>
    <row r="721" ht="15.75" customHeight="1">
      <c r="C721" s="61"/>
    </row>
    <row r="722" ht="15.75" customHeight="1">
      <c r="C722" s="61"/>
    </row>
    <row r="723" ht="15.75" customHeight="1">
      <c r="C723" s="61"/>
    </row>
    <row r="724" ht="15.75" customHeight="1">
      <c r="C724" s="61"/>
    </row>
    <row r="725" ht="15.75" customHeight="1">
      <c r="C725" s="61"/>
    </row>
    <row r="726" ht="15.75" customHeight="1">
      <c r="C726" s="61"/>
    </row>
    <row r="727" ht="15.75" customHeight="1">
      <c r="C727" s="61"/>
    </row>
    <row r="728" ht="15.75" customHeight="1">
      <c r="C728" s="61"/>
    </row>
    <row r="729" ht="15.75" customHeight="1">
      <c r="C729" s="61"/>
    </row>
    <row r="730" ht="15.75" customHeight="1">
      <c r="C730" s="61"/>
    </row>
    <row r="731" ht="15.75" customHeight="1">
      <c r="C731" s="61"/>
    </row>
    <row r="732" ht="15.75" customHeight="1">
      <c r="C732" s="61"/>
    </row>
    <row r="733" ht="15.75" customHeight="1">
      <c r="C733" s="61"/>
    </row>
    <row r="734" ht="15.75" customHeight="1">
      <c r="C734" s="61"/>
    </row>
    <row r="735" ht="15.75" customHeight="1">
      <c r="C735" s="61"/>
    </row>
    <row r="736" ht="15.75" customHeight="1">
      <c r="C736" s="61"/>
    </row>
    <row r="737" ht="15.75" customHeight="1">
      <c r="C737" s="61"/>
    </row>
    <row r="738" ht="15.75" customHeight="1">
      <c r="C738" s="61"/>
    </row>
    <row r="739" ht="15.75" customHeight="1">
      <c r="C739" s="61"/>
    </row>
    <row r="740" ht="15.75" customHeight="1">
      <c r="C740" s="61"/>
    </row>
    <row r="741" ht="15.75" customHeight="1">
      <c r="C741" s="61"/>
    </row>
    <row r="742" ht="15.75" customHeight="1">
      <c r="C742" s="61"/>
    </row>
    <row r="743" ht="15.75" customHeight="1">
      <c r="C743" s="61"/>
    </row>
    <row r="744" ht="15.75" customHeight="1">
      <c r="C744" s="61"/>
    </row>
    <row r="745" ht="15.75" customHeight="1">
      <c r="C745" s="61"/>
    </row>
    <row r="746" ht="15.75" customHeight="1">
      <c r="C746" s="61"/>
    </row>
    <row r="747" ht="15.75" customHeight="1">
      <c r="C747" s="61"/>
    </row>
    <row r="748" ht="15.75" customHeight="1">
      <c r="C748" s="61"/>
    </row>
    <row r="749" ht="15.75" customHeight="1">
      <c r="C749" s="61"/>
    </row>
    <row r="750" ht="15.75" customHeight="1">
      <c r="C750" s="61"/>
    </row>
    <row r="751" ht="15.75" customHeight="1">
      <c r="C751" s="61"/>
    </row>
    <row r="752" ht="15.75" customHeight="1">
      <c r="C752" s="61"/>
    </row>
    <row r="753" ht="15.75" customHeight="1">
      <c r="C753" s="61"/>
    </row>
    <row r="754" ht="15.75" customHeight="1">
      <c r="C754" s="61"/>
    </row>
    <row r="755" ht="15.75" customHeight="1">
      <c r="C755" s="61"/>
    </row>
    <row r="756" ht="15.75" customHeight="1">
      <c r="C756" s="61"/>
    </row>
    <row r="757" ht="15.75" customHeight="1">
      <c r="C757" s="61"/>
    </row>
    <row r="758" ht="15.75" customHeight="1">
      <c r="C758" s="61"/>
    </row>
    <row r="759" ht="15.75" customHeight="1">
      <c r="C759" s="61"/>
    </row>
    <row r="760" ht="15.75" customHeight="1">
      <c r="C760" s="61"/>
    </row>
    <row r="761" ht="15.75" customHeight="1">
      <c r="C761" s="61"/>
    </row>
    <row r="762" ht="15.75" customHeight="1">
      <c r="C762" s="61"/>
    </row>
    <row r="763" ht="15.75" customHeight="1">
      <c r="C763" s="61"/>
    </row>
    <row r="764" ht="15.75" customHeight="1">
      <c r="C764" s="61"/>
    </row>
    <row r="765" ht="15.75" customHeight="1">
      <c r="C765" s="61"/>
    </row>
    <row r="766" ht="15.75" customHeight="1">
      <c r="C766" s="61"/>
    </row>
    <row r="767" ht="15.75" customHeight="1">
      <c r="C767" s="61"/>
    </row>
    <row r="768" ht="15.75" customHeight="1">
      <c r="C768" s="61"/>
    </row>
    <row r="769" ht="15.75" customHeight="1">
      <c r="C769" s="61"/>
    </row>
    <row r="770" ht="15.75" customHeight="1">
      <c r="C770" s="61"/>
    </row>
    <row r="771" ht="15.75" customHeight="1">
      <c r="C771" s="61"/>
    </row>
    <row r="772" ht="15.75" customHeight="1">
      <c r="C772" s="61"/>
    </row>
    <row r="773" ht="15.75" customHeight="1">
      <c r="C773" s="61"/>
    </row>
    <row r="774" ht="15.75" customHeight="1">
      <c r="C774" s="61"/>
    </row>
    <row r="775" ht="15.75" customHeight="1">
      <c r="C775" s="61"/>
    </row>
    <row r="776" ht="15.75" customHeight="1">
      <c r="C776" s="61"/>
    </row>
    <row r="777" ht="15.75" customHeight="1">
      <c r="C777" s="61"/>
    </row>
    <row r="778" ht="15.75" customHeight="1">
      <c r="C778" s="61"/>
    </row>
    <row r="779" ht="15.75" customHeight="1">
      <c r="C779" s="61"/>
    </row>
    <row r="780" ht="15.75" customHeight="1">
      <c r="C780" s="61"/>
    </row>
    <row r="781" ht="15.75" customHeight="1">
      <c r="C781" s="61"/>
    </row>
    <row r="782" ht="15.75" customHeight="1">
      <c r="C782" s="61"/>
    </row>
    <row r="783" ht="15.75" customHeight="1">
      <c r="C783" s="61"/>
    </row>
    <row r="784" ht="15.75" customHeight="1">
      <c r="C784" s="61"/>
    </row>
    <row r="785" ht="15.75" customHeight="1">
      <c r="C785" s="61"/>
    </row>
    <row r="786" ht="15.75" customHeight="1">
      <c r="C786" s="61"/>
    </row>
    <row r="787" ht="15.75" customHeight="1">
      <c r="C787" s="61"/>
    </row>
    <row r="788" ht="15.75" customHeight="1">
      <c r="C788" s="61"/>
    </row>
    <row r="789" ht="15.75" customHeight="1">
      <c r="C789" s="61"/>
    </row>
    <row r="790" ht="15.75" customHeight="1">
      <c r="C790" s="61"/>
    </row>
    <row r="791" ht="15.75" customHeight="1">
      <c r="C791" s="61"/>
    </row>
    <row r="792" ht="15.75" customHeight="1">
      <c r="C792" s="61"/>
    </row>
    <row r="793" ht="15.75" customHeight="1">
      <c r="C793" s="61"/>
    </row>
    <row r="794" ht="15.75" customHeight="1">
      <c r="C794" s="61"/>
    </row>
    <row r="795" ht="15.75" customHeight="1">
      <c r="C795" s="61"/>
    </row>
    <row r="796" ht="15.75" customHeight="1">
      <c r="C796" s="61"/>
    </row>
    <row r="797" ht="15.75" customHeight="1">
      <c r="C797" s="61"/>
    </row>
    <row r="798" ht="15.75" customHeight="1">
      <c r="C798" s="61"/>
    </row>
    <row r="799" ht="15.75" customHeight="1">
      <c r="C799" s="61"/>
    </row>
    <row r="800" ht="15.75" customHeight="1">
      <c r="C800" s="61"/>
    </row>
    <row r="801" ht="15.75" customHeight="1">
      <c r="C801" s="61"/>
    </row>
    <row r="802" ht="15.75" customHeight="1">
      <c r="C802" s="61"/>
    </row>
    <row r="803" ht="15.75" customHeight="1">
      <c r="C803" s="61"/>
    </row>
    <row r="804" ht="15.75" customHeight="1">
      <c r="C804" s="61"/>
    </row>
    <row r="805" ht="15.75" customHeight="1">
      <c r="C805" s="61"/>
    </row>
    <row r="806" ht="15.75" customHeight="1">
      <c r="C806" s="61"/>
    </row>
    <row r="807" ht="15.75" customHeight="1">
      <c r="C807" s="61"/>
    </row>
    <row r="808" ht="15.75" customHeight="1">
      <c r="C808" s="61"/>
    </row>
    <row r="809" ht="15.75" customHeight="1">
      <c r="C809" s="61"/>
    </row>
    <row r="810" ht="15.75" customHeight="1">
      <c r="C810" s="61"/>
    </row>
    <row r="811" ht="15.75" customHeight="1">
      <c r="C811" s="61"/>
    </row>
    <row r="812" ht="15.75" customHeight="1">
      <c r="C812" s="61"/>
    </row>
    <row r="813" ht="15.75" customHeight="1">
      <c r="C813" s="61"/>
    </row>
    <row r="814" ht="15.75" customHeight="1">
      <c r="C814" s="61"/>
    </row>
    <row r="815" ht="15.75" customHeight="1">
      <c r="C815" s="61"/>
    </row>
    <row r="816" ht="15.75" customHeight="1">
      <c r="C816" s="61"/>
    </row>
    <row r="817" ht="15.75" customHeight="1">
      <c r="C817" s="61"/>
    </row>
    <row r="818" ht="15.75" customHeight="1">
      <c r="C818" s="61"/>
    </row>
    <row r="819" ht="15.75" customHeight="1">
      <c r="C819" s="61"/>
    </row>
    <row r="820" ht="15.75" customHeight="1">
      <c r="C820" s="61"/>
    </row>
    <row r="821" ht="15.75" customHeight="1">
      <c r="C821" s="61"/>
    </row>
    <row r="822" ht="15.75" customHeight="1">
      <c r="C822" s="61"/>
    </row>
    <row r="823" ht="15.75" customHeight="1">
      <c r="C823" s="61"/>
    </row>
    <row r="824" ht="15.75" customHeight="1">
      <c r="C824" s="61"/>
    </row>
    <row r="825" ht="15.75" customHeight="1">
      <c r="C825" s="61"/>
    </row>
    <row r="826" ht="15.75" customHeight="1">
      <c r="C826" s="61"/>
    </row>
    <row r="827" ht="15.75" customHeight="1">
      <c r="C827" s="61"/>
    </row>
    <row r="828" ht="15.75" customHeight="1">
      <c r="C828" s="61"/>
    </row>
    <row r="829" ht="15.75" customHeight="1">
      <c r="C829" s="61"/>
    </row>
    <row r="830" ht="15.75" customHeight="1">
      <c r="C830" s="61"/>
    </row>
    <row r="831" ht="15.75" customHeight="1">
      <c r="C831" s="61"/>
    </row>
    <row r="832" ht="15.75" customHeight="1">
      <c r="C832" s="61"/>
    </row>
    <row r="833" ht="15.75" customHeight="1">
      <c r="C833" s="61"/>
    </row>
    <row r="834" ht="15.75" customHeight="1">
      <c r="C834" s="61"/>
    </row>
    <row r="835" ht="15.75" customHeight="1">
      <c r="C835" s="61"/>
    </row>
    <row r="836" ht="15.75" customHeight="1">
      <c r="C836" s="61"/>
    </row>
    <row r="837" ht="15.75" customHeight="1">
      <c r="C837" s="61"/>
    </row>
    <row r="838" ht="15.75" customHeight="1">
      <c r="C838" s="61"/>
    </row>
    <row r="839" ht="15.75" customHeight="1">
      <c r="C839" s="61"/>
    </row>
    <row r="840" ht="15.75" customHeight="1">
      <c r="C840" s="61"/>
    </row>
    <row r="841" ht="15.75" customHeight="1">
      <c r="C841" s="61"/>
    </row>
    <row r="842" ht="15.75" customHeight="1">
      <c r="C842" s="61"/>
    </row>
    <row r="843" ht="15.75" customHeight="1">
      <c r="C843" s="61"/>
    </row>
    <row r="844" ht="15.75" customHeight="1">
      <c r="C844" s="61"/>
    </row>
    <row r="845" ht="15.75" customHeight="1">
      <c r="C845" s="61"/>
    </row>
    <row r="846" ht="15.75" customHeight="1">
      <c r="C846" s="61"/>
    </row>
    <row r="847" ht="15.75" customHeight="1">
      <c r="C847" s="61"/>
    </row>
    <row r="848" ht="15.75" customHeight="1">
      <c r="C848" s="61"/>
    </row>
    <row r="849" ht="15.75" customHeight="1">
      <c r="C849" s="61"/>
    </row>
    <row r="850" ht="15.75" customHeight="1">
      <c r="C850" s="61"/>
    </row>
    <row r="851" ht="15.75" customHeight="1">
      <c r="C851" s="61"/>
    </row>
    <row r="852" ht="15.75" customHeight="1">
      <c r="C852" s="61"/>
    </row>
    <row r="853" ht="15.75" customHeight="1">
      <c r="C853" s="61"/>
    </row>
    <row r="854" ht="15.75" customHeight="1">
      <c r="C854" s="61"/>
    </row>
    <row r="855" ht="15.75" customHeight="1">
      <c r="C855" s="61"/>
    </row>
    <row r="856" ht="15.75" customHeight="1">
      <c r="C856" s="61"/>
    </row>
    <row r="857" ht="15.75" customHeight="1">
      <c r="C857" s="61"/>
    </row>
    <row r="858" ht="15.75" customHeight="1">
      <c r="C858" s="61"/>
    </row>
    <row r="859" ht="15.75" customHeight="1">
      <c r="C859" s="61"/>
    </row>
    <row r="860" ht="15.75" customHeight="1">
      <c r="C860" s="61"/>
    </row>
    <row r="861" ht="15.75" customHeight="1">
      <c r="C861" s="61"/>
    </row>
    <row r="862" ht="15.75" customHeight="1">
      <c r="C862" s="61"/>
    </row>
    <row r="863" ht="15.75" customHeight="1">
      <c r="C863" s="61"/>
    </row>
    <row r="864" ht="15.75" customHeight="1">
      <c r="C864" s="61"/>
    </row>
    <row r="865" ht="15.75" customHeight="1">
      <c r="C865" s="61"/>
    </row>
    <row r="866" ht="15.75" customHeight="1">
      <c r="C866" s="61"/>
    </row>
    <row r="867" ht="15.75" customHeight="1">
      <c r="C867" s="61"/>
    </row>
    <row r="868" ht="15.75" customHeight="1">
      <c r="C868" s="61"/>
    </row>
    <row r="869" ht="15.75" customHeight="1">
      <c r="C869" s="61"/>
    </row>
    <row r="870" ht="15.75" customHeight="1">
      <c r="C870" s="61"/>
    </row>
    <row r="871" ht="15.75" customHeight="1">
      <c r="C871" s="61"/>
    </row>
    <row r="872" ht="15.75" customHeight="1">
      <c r="C872" s="61"/>
    </row>
    <row r="873" ht="15.75" customHeight="1">
      <c r="C873" s="61"/>
    </row>
    <row r="874" ht="15.75" customHeight="1">
      <c r="C874" s="61"/>
    </row>
    <row r="875" ht="15.75" customHeight="1">
      <c r="C875" s="61"/>
    </row>
    <row r="876" ht="15.75" customHeight="1">
      <c r="C876" s="61"/>
    </row>
    <row r="877" ht="15.75" customHeight="1">
      <c r="C877" s="61"/>
    </row>
    <row r="878" ht="15.75" customHeight="1">
      <c r="C878" s="61"/>
    </row>
    <row r="879" ht="15.75" customHeight="1">
      <c r="C879" s="61"/>
    </row>
    <row r="880" ht="15.75" customHeight="1">
      <c r="C880" s="61"/>
    </row>
    <row r="881" ht="15.75" customHeight="1">
      <c r="C881" s="61"/>
    </row>
    <row r="882" ht="15.75" customHeight="1">
      <c r="C882" s="61"/>
    </row>
    <row r="883" ht="15.75" customHeight="1">
      <c r="C883" s="61"/>
    </row>
    <row r="884" ht="15.75" customHeight="1">
      <c r="C884" s="61"/>
    </row>
    <row r="885" ht="15.75" customHeight="1">
      <c r="C885" s="61"/>
    </row>
    <row r="886" ht="15.75" customHeight="1">
      <c r="C886" s="61"/>
    </row>
    <row r="887" ht="15.75" customHeight="1">
      <c r="C887" s="61"/>
    </row>
    <row r="888" ht="15.75" customHeight="1">
      <c r="C888" s="61"/>
    </row>
    <row r="889" ht="15.75" customHeight="1">
      <c r="C889" s="61"/>
    </row>
    <row r="890" ht="15.75" customHeight="1">
      <c r="C890" s="61"/>
    </row>
    <row r="891" ht="15.75" customHeight="1">
      <c r="C891" s="61"/>
    </row>
    <row r="892" ht="15.75" customHeight="1">
      <c r="C892" s="61"/>
    </row>
    <row r="893" ht="15.75" customHeight="1">
      <c r="C893" s="61"/>
    </row>
    <row r="894" ht="15.75" customHeight="1">
      <c r="C894" s="61"/>
    </row>
    <row r="895" ht="15.75" customHeight="1">
      <c r="C895" s="61"/>
    </row>
    <row r="896" ht="15.75" customHeight="1">
      <c r="C896" s="61"/>
    </row>
    <row r="897" ht="15.75" customHeight="1">
      <c r="C897" s="61"/>
    </row>
    <row r="898" ht="15.75" customHeight="1">
      <c r="C898" s="61"/>
    </row>
    <row r="899" ht="15.75" customHeight="1">
      <c r="C899" s="61"/>
    </row>
    <row r="900" ht="15.75" customHeight="1">
      <c r="C900" s="61"/>
    </row>
    <row r="901" ht="15.75" customHeight="1">
      <c r="C901" s="61"/>
    </row>
    <row r="902" ht="15.75" customHeight="1">
      <c r="C902" s="61"/>
    </row>
    <row r="903" ht="15.75" customHeight="1">
      <c r="C903" s="61"/>
    </row>
    <row r="904" ht="15.75" customHeight="1">
      <c r="C904" s="61"/>
    </row>
    <row r="905" ht="15.75" customHeight="1">
      <c r="C905" s="61"/>
    </row>
    <row r="906" ht="15.75" customHeight="1">
      <c r="C906" s="61"/>
    </row>
    <row r="907" ht="15.75" customHeight="1">
      <c r="C907" s="61"/>
    </row>
    <row r="908" ht="15.75" customHeight="1">
      <c r="C908" s="61"/>
    </row>
    <row r="909" ht="15.75" customHeight="1">
      <c r="C909" s="61"/>
    </row>
    <row r="910" ht="15.75" customHeight="1">
      <c r="C910" s="61"/>
    </row>
    <row r="911" ht="15.75" customHeight="1">
      <c r="C911" s="61"/>
    </row>
    <row r="912" ht="15.75" customHeight="1">
      <c r="C912" s="61"/>
    </row>
    <row r="913" ht="15.75" customHeight="1">
      <c r="C913" s="61"/>
    </row>
    <row r="914" ht="15.75" customHeight="1">
      <c r="C914" s="61"/>
    </row>
    <row r="915" ht="15.75" customHeight="1">
      <c r="C915" s="61"/>
    </row>
    <row r="916" ht="15.75" customHeight="1">
      <c r="C916" s="61"/>
    </row>
    <row r="917" ht="15.75" customHeight="1">
      <c r="C917" s="61"/>
    </row>
    <row r="918" ht="15.75" customHeight="1">
      <c r="C918" s="61"/>
    </row>
    <row r="919" ht="15.75" customHeight="1">
      <c r="C919" s="61"/>
    </row>
    <row r="920" ht="15.75" customHeight="1">
      <c r="C920" s="61"/>
    </row>
    <row r="921" ht="15.75" customHeight="1">
      <c r="C921" s="61"/>
    </row>
    <row r="922" ht="15.75" customHeight="1">
      <c r="C922" s="61"/>
    </row>
    <row r="923" ht="15.75" customHeight="1">
      <c r="C923" s="61"/>
    </row>
    <row r="924" ht="15.75" customHeight="1">
      <c r="C924" s="61"/>
    </row>
    <row r="925" ht="15.75" customHeight="1">
      <c r="C925" s="61"/>
    </row>
    <row r="926" ht="15.75" customHeight="1">
      <c r="C926" s="61"/>
    </row>
    <row r="927" ht="15.75" customHeight="1">
      <c r="C927" s="61"/>
    </row>
    <row r="928" ht="15.75" customHeight="1">
      <c r="C928" s="61"/>
    </row>
    <row r="929" ht="15.75" customHeight="1">
      <c r="C929" s="61"/>
    </row>
    <row r="930" ht="15.75" customHeight="1">
      <c r="C930" s="61"/>
    </row>
    <row r="931" ht="15.75" customHeight="1">
      <c r="C931" s="61"/>
    </row>
    <row r="932" ht="15.75" customHeight="1">
      <c r="C932" s="61"/>
    </row>
    <row r="933" ht="15.75" customHeight="1">
      <c r="C933" s="61"/>
    </row>
    <row r="934" ht="15.75" customHeight="1">
      <c r="C934" s="61"/>
    </row>
    <row r="935" ht="15.75" customHeight="1">
      <c r="C935" s="61"/>
    </row>
    <row r="936" ht="15.75" customHeight="1">
      <c r="C936" s="61"/>
    </row>
    <row r="937" ht="15.75" customHeight="1">
      <c r="C937" s="61"/>
    </row>
    <row r="938" ht="15.75" customHeight="1">
      <c r="C938" s="61"/>
    </row>
    <row r="939" ht="15.75" customHeight="1">
      <c r="C939" s="61"/>
    </row>
    <row r="940" ht="15.75" customHeight="1">
      <c r="C940" s="61"/>
    </row>
    <row r="941" ht="15.75" customHeight="1">
      <c r="C941" s="61"/>
    </row>
    <row r="942" ht="15.75" customHeight="1">
      <c r="C942" s="61"/>
    </row>
    <row r="943" ht="15.75" customHeight="1">
      <c r="C943" s="61"/>
    </row>
    <row r="944" ht="15.75" customHeight="1">
      <c r="C944" s="61"/>
    </row>
    <row r="945" ht="15.75" customHeight="1">
      <c r="C945" s="61"/>
    </row>
    <row r="946" ht="15.75" customHeight="1">
      <c r="C946" s="61"/>
    </row>
    <row r="947" ht="15.75" customHeight="1">
      <c r="C947" s="61"/>
    </row>
    <row r="948" ht="15.75" customHeight="1">
      <c r="C948" s="61"/>
    </row>
    <row r="949" ht="15.75" customHeight="1">
      <c r="C949" s="61"/>
    </row>
    <row r="950" ht="15.75" customHeight="1">
      <c r="C950" s="61"/>
    </row>
    <row r="951" ht="15.75" customHeight="1">
      <c r="C951" s="61"/>
    </row>
    <row r="952" ht="15.75" customHeight="1">
      <c r="C952" s="61"/>
    </row>
    <row r="953" ht="15.75" customHeight="1">
      <c r="C953" s="61"/>
    </row>
    <row r="954" ht="15.75" customHeight="1">
      <c r="C954" s="61"/>
    </row>
    <row r="955" ht="15.75" customHeight="1">
      <c r="C955" s="61"/>
    </row>
    <row r="956" ht="15.75" customHeight="1">
      <c r="C956" s="61"/>
    </row>
    <row r="957" ht="15.75" customHeight="1">
      <c r="C957" s="61"/>
    </row>
    <row r="958" ht="15.75" customHeight="1">
      <c r="C958" s="61"/>
    </row>
    <row r="959" ht="15.75" customHeight="1">
      <c r="C959" s="61"/>
    </row>
    <row r="960" ht="15.75" customHeight="1">
      <c r="C960" s="61"/>
    </row>
    <row r="961" ht="15.75" customHeight="1">
      <c r="C961" s="61"/>
    </row>
    <row r="962" ht="15.75" customHeight="1">
      <c r="C962" s="61"/>
    </row>
    <row r="963" ht="15.75" customHeight="1">
      <c r="C963" s="61"/>
    </row>
    <row r="964" ht="15.75" customHeight="1">
      <c r="C964" s="61"/>
    </row>
    <row r="965" ht="15.75" customHeight="1">
      <c r="C965" s="61"/>
    </row>
    <row r="966" ht="15.75" customHeight="1">
      <c r="C966" s="61"/>
    </row>
    <row r="967" ht="15.75" customHeight="1">
      <c r="C967" s="61"/>
    </row>
    <row r="968" ht="15.75" customHeight="1">
      <c r="C968" s="61"/>
    </row>
    <row r="969" ht="15.75" customHeight="1">
      <c r="C969" s="61"/>
    </row>
    <row r="970" ht="15.75" customHeight="1">
      <c r="C970" s="61"/>
    </row>
    <row r="971" ht="15.75" customHeight="1">
      <c r="C971" s="61"/>
    </row>
    <row r="972" ht="15.75" customHeight="1">
      <c r="C972" s="61"/>
    </row>
    <row r="973" ht="15.75" customHeight="1">
      <c r="C973" s="61"/>
    </row>
    <row r="974" ht="15.75" customHeight="1">
      <c r="C974" s="61"/>
    </row>
    <row r="975" ht="15.75" customHeight="1">
      <c r="C975" s="61"/>
    </row>
    <row r="976" ht="15.75" customHeight="1">
      <c r="C976" s="61"/>
    </row>
    <row r="977" ht="15.75" customHeight="1">
      <c r="C977" s="61"/>
    </row>
    <row r="978" ht="15.75" customHeight="1">
      <c r="C978" s="61"/>
    </row>
    <row r="979" ht="15.75" customHeight="1">
      <c r="C979" s="61"/>
    </row>
    <row r="980" ht="15.75" customHeight="1">
      <c r="C980" s="61"/>
    </row>
    <row r="981" ht="15.75" customHeight="1">
      <c r="C981" s="61"/>
    </row>
    <row r="982" ht="15.75" customHeight="1">
      <c r="C982" s="61"/>
    </row>
    <row r="983" ht="15.75" customHeight="1">
      <c r="C983" s="61"/>
    </row>
    <row r="984" ht="15.75" customHeight="1">
      <c r="C984" s="61"/>
    </row>
    <row r="985" ht="15.75" customHeight="1">
      <c r="C985" s="61"/>
    </row>
    <row r="986" ht="15.75" customHeight="1">
      <c r="C986" s="61"/>
    </row>
    <row r="987" ht="15.75" customHeight="1">
      <c r="C987" s="61"/>
    </row>
    <row r="988" ht="15.75" customHeight="1">
      <c r="C988" s="61"/>
    </row>
    <row r="989" ht="15.75" customHeight="1">
      <c r="C989" s="61"/>
    </row>
    <row r="990" ht="15.75" customHeight="1">
      <c r="C990" s="61"/>
    </row>
    <row r="991" ht="15.75" customHeight="1">
      <c r="C991" s="61"/>
    </row>
    <row r="992" ht="15.75" customHeight="1">
      <c r="C992" s="61"/>
    </row>
    <row r="993" ht="15.75" customHeight="1">
      <c r="C993" s="61"/>
    </row>
    <row r="994" ht="15.75" customHeight="1">
      <c r="C994" s="61"/>
    </row>
    <row r="995" ht="15.75" customHeight="1">
      <c r="C995" s="61"/>
    </row>
    <row r="996" ht="15.75" customHeight="1">
      <c r="C996" s="61"/>
    </row>
    <row r="997" ht="15.75" customHeight="1">
      <c r="C997" s="61"/>
    </row>
    <row r="998" ht="15.75" customHeight="1">
      <c r="C998" s="61"/>
    </row>
    <row r="999" ht="15.75" customHeight="1">
      <c r="C999" s="61"/>
    </row>
    <row r="1000" ht="15.75" customHeight="1">
      <c r="C1000" s="61"/>
    </row>
  </sheetData>
  <mergeCells count="6">
    <mergeCell ref="D4:H6"/>
    <mergeCell ref="J4:N6"/>
    <mergeCell ref="R5:S5"/>
    <mergeCell ref="U5:V5"/>
    <mergeCell ref="D7:H7"/>
    <mergeCell ref="J7:N7"/>
  </mergeCells>
  <conditionalFormatting sqref="H9:H40">
    <cfRule type="cellIs" dxfId="0" priority="1" operator="greaterThanOrEqual">
      <formula>0</formula>
    </cfRule>
  </conditionalFormatting>
  <conditionalFormatting sqref="H9:H40">
    <cfRule type="cellIs" dxfId="1" priority="2" operator="lessThan">
      <formula>0</formula>
    </cfRule>
  </conditionalFormatting>
  <conditionalFormatting sqref="H9:H40">
    <cfRule type="cellIs" dxfId="2" priority="3" operator="lessThan">
      <formula>0</formula>
    </cfRule>
  </conditionalFormatting>
  <conditionalFormatting sqref="N9:N40">
    <cfRule type="cellIs" dxfId="0" priority="4" operator="greaterThanOrEqual">
      <formula>0</formula>
    </cfRule>
  </conditionalFormatting>
  <conditionalFormatting sqref="N9:N40">
    <cfRule type="cellIs" dxfId="1" priority="5" operator="lessThan">
      <formula>0</formula>
    </cfRule>
  </conditionalFormatting>
  <conditionalFormatting sqref="N9:N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13.33"/>
    <col customWidth="1" min="3" max="3" width="13.89"/>
    <col customWidth="1" min="4" max="4" width="16.56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3.78"/>
    <col customWidth="1" min="15" max="15" width="15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4" width="14.78"/>
    <col customWidth="1" min="25" max="25" width="11.33"/>
    <col customWidth="1" min="26" max="26" width="15.78"/>
    <col customWidth="1" min="27" max="27" width="15.44"/>
    <col customWidth="1" min="28" max="28" width="16.0"/>
    <col customWidth="1" min="29" max="29" width="15.44"/>
    <col customWidth="1" min="30" max="30" width="11.11"/>
    <col customWidth="1" min="31" max="31" width="10.56"/>
  </cols>
  <sheetData>
    <row r="1" ht="15.75" customHeight="1">
      <c r="E1" s="61"/>
      <c r="H1" s="61"/>
      <c r="I1" s="61"/>
      <c r="S1" s="199"/>
      <c r="T1" s="200"/>
    </row>
    <row r="2" ht="15.75" customHeight="1">
      <c r="E2" s="61"/>
      <c r="H2" s="61"/>
      <c r="I2" s="61"/>
      <c r="S2" s="199"/>
      <c r="T2" s="200"/>
    </row>
    <row r="3" ht="15.75" customHeight="1">
      <c r="C3" s="61"/>
      <c r="F3" s="75"/>
      <c r="G3" s="2"/>
      <c r="N3" s="2"/>
      <c r="O3" s="2"/>
      <c r="P3" s="2"/>
      <c r="Q3" s="2"/>
      <c r="S3" s="199"/>
      <c r="T3" s="200"/>
    </row>
    <row r="4" ht="15.75" customHeight="1"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C5" s="31"/>
      <c r="M5" s="32"/>
      <c r="N5" s="31"/>
      <c r="X5" s="32"/>
    </row>
    <row r="6" ht="15.75" customHeight="1"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</row>
    <row r="7" ht="15.75" customHeight="1"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</row>
    <row r="8" ht="15.75" customHeight="1">
      <c r="A8" s="175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206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</row>
    <row r="9" ht="15.75" customHeight="1">
      <c r="A9" s="61"/>
      <c r="B9" s="78"/>
      <c r="C9" s="207">
        <v>45839.0</v>
      </c>
      <c r="D9" s="208" t="str">
        <f t="shared" ref="D9:D39" si="2">TEXT(C9,"ddd")</f>
        <v>ter.</v>
      </c>
      <c r="E9" s="282">
        <v>6000.0</v>
      </c>
      <c r="F9" s="282">
        <v>8578.55</v>
      </c>
      <c r="G9" s="51">
        <f t="shared" ref="G9:G39" si="3">F9-E9</f>
        <v>2578.55</v>
      </c>
      <c r="H9" s="210">
        <v>0.0</v>
      </c>
      <c r="I9" s="211">
        <f t="shared" ref="I9:I39" si="4">IF(H9=0,0,F9/H9)</f>
        <v>0</v>
      </c>
      <c r="J9" s="57"/>
      <c r="K9" s="57"/>
      <c r="L9" s="57"/>
      <c r="M9" s="57">
        <f t="shared" ref="M9:M39" si="5">J9+K9+L9</f>
        <v>0</v>
      </c>
      <c r="N9" s="212">
        <f t="shared" ref="N9:O9" si="1">C9</f>
        <v>45839</v>
      </c>
      <c r="O9" s="204" t="str">
        <f t="shared" si="1"/>
        <v>ter.</v>
      </c>
      <c r="P9" s="283">
        <v>5000.0</v>
      </c>
      <c r="Q9" s="213">
        <v>6595.93</v>
      </c>
      <c r="R9" s="51">
        <f t="shared" ref="R9:R39" si="7">Q9-P9</f>
        <v>1595.93</v>
      </c>
      <c r="S9" s="214">
        <v>0.0</v>
      </c>
      <c r="T9" s="211">
        <f t="shared" ref="T9:T39" si="8">IF(S9=0,0,Q9/S9)</f>
        <v>0</v>
      </c>
      <c r="U9" s="214">
        <v>0.0</v>
      </c>
      <c r="V9" s="214">
        <v>0.0</v>
      </c>
      <c r="W9" s="214">
        <v>0.0</v>
      </c>
      <c r="X9" s="57">
        <f t="shared" ref="X9:X39" si="9">U9+V9+W9</f>
        <v>0</v>
      </c>
    </row>
    <row r="10" ht="15.75" customHeight="1">
      <c r="A10" s="61"/>
      <c r="B10" s="78"/>
      <c r="C10" s="207">
        <v>45840.0</v>
      </c>
      <c r="D10" s="208" t="str">
        <f t="shared" si="2"/>
        <v>qua.</v>
      </c>
      <c r="E10" s="282">
        <v>7000.0</v>
      </c>
      <c r="F10" s="282">
        <v>6892.53</v>
      </c>
      <c r="G10" s="51">
        <f t="shared" si="3"/>
        <v>-107.47</v>
      </c>
      <c r="H10" s="210">
        <v>0.0</v>
      </c>
      <c r="I10" s="211">
        <f t="shared" si="4"/>
        <v>0</v>
      </c>
      <c r="J10" s="57"/>
      <c r="K10" s="57"/>
      <c r="L10" s="57"/>
      <c r="M10" s="57">
        <f t="shared" si="5"/>
        <v>0</v>
      </c>
      <c r="N10" s="212">
        <f t="shared" ref="N10:O10" si="6">C10</f>
        <v>45840</v>
      </c>
      <c r="O10" s="204" t="str">
        <f t="shared" si="6"/>
        <v>qua.</v>
      </c>
      <c r="P10" s="283">
        <v>5500.0</v>
      </c>
      <c r="Q10" s="213">
        <v>5913.69</v>
      </c>
      <c r="R10" s="51">
        <f t="shared" si="7"/>
        <v>413.69</v>
      </c>
      <c r="S10" s="214">
        <v>0.0</v>
      </c>
      <c r="T10" s="211">
        <f t="shared" si="8"/>
        <v>0</v>
      </c>
      <c r="U10" s="214">
        <v>0.0</v>
      </c>
      <c r="V10" s="214">
        <v>0.0</v>
      </c>
      <c r="W10" s="214">
        <v>0.0</v>
      </c>
      <c r="X10" s="57">
        <f t="shared" si="9"/>
        <v>0</v>
      </c>
    </row>
    <row r="11" ht="15.75" customHeight="1">
      <c r="B11" s="78"/>
      <c r="C11" s="207">
        <v>45841.0</v>
      </c>
      <c r="D11" s="208" t="str">
        <f t="shared" si="2"/>
        <v>qui.</v>
      </c>
      <c r="E11" s="282">
        <v>11000.0</v>
      </c>
      <c r="F11" s="282">
        <v>7701.75</v>
      </c>
      <c r="G11" s="51">
        <f t="shared" si="3"/>
        <v>-3298.25</v>
      </c>
      <c r="H11" s="210">
        <v>0.0</v>
      </c>
      <c r="I11" s="211">
        <f t="shared" si="4"/>
        <v>0</v>
      </c>
      <c r="J11" s="57"/>
      <c r="K11" s="57"/>
      <c r="L11" s="57"/>
      <c r="M11" s="57">
        <f t="shared" si="5"/>
        <v>0</v>
      </c>
      <c r="N11" s="212">
        <f t="shared" ref="N11:O11" si="10">C11</f>
        <v>45841</v>
      </c>
      <c r="O11" s="204" t="str">
        <f t="shared" si="10"/>
        <v>qui.</v>
      </c>
      <c r="P11" s="283">
        <v>11500.0</v>
      </c>
      <c r="Q11" s="213">
        <v>7235.4400000000005</v>
      </c>
      <c r="R11" s="51">
        <f t="shared" si="7"/>
        <v>-4264.56</v>
      </c>
      <c r="S11" s="214">
        <v>0.0</v>
      </c>
      <c r="T11" s="211">
        <f t="shared" si="8"/>
        <v>0</v>
      </c>
      <c r="U11" s="214">
        <v>0.0</v>
      </c>
      <c r="V11" s="214">
        <v>0.0</v>
      </c>
      <c r="W11" s="214">
        <v>0.0</v>
      </c>
      <c r="X11" s="57">
        <f t="shared" si="9"/>
        <v>0</v>
      </c>
    </row>
    <row r="12" ht="15.75" customHeight="1">
      <c r="B12" s="78"/>
      <c r="C12" s="207">
        <v>45842.0</v>
      </c>
      <c r="D12" s="208" t="str">
        <f t="shared" si="2"/>
        <v>sex.</v>
      </c>
      <c r="E12" s="282">
        <v>13000.0</v>
      </c>
      <c r="F12" s="282">
        <v>16813.13</v>
      </c>
      <c r="G12" s="51">
        <f t="shared" si="3"/>
        <v>3813.13</v>
      </c>
      <c r="H12" s="210">
        <v>0.0</v>
      </c>
      <c r="I12" s="211">
        <f t="shared" si="4"/>
        <v>0</v>
      </c>
      <c r="J12" s="57"/>
      <c r="K12" s="57"/>
      <c r="L12" s="57"/>
      <c r="M12" s="57">
        <f t="shared" si="5"/>
        <v>0</v>
      </c>
      <c r="N12" s="212">
        <f t="shared" ref="N12:O12" si="11">C12</f>
        <v>45842</v>
      </c>
      <c r="O12" s="204" t="str">
        <f t="shared" si="11"/>
        <v>sex.</v>
      </c>
      <c r="P12" s="283">
        <v>13000.0</v>
      </c>
      <c r="Q12" s="213">
        <v>13371.18</v>
      </c>
      <c r="R12" s="51">
        <f t="shared" si="7"/>
        <v>371.18</v>
      </c>
      <c r="S12" s="214">
        <v>0.0</v>
      </c>
      <c r="T12" s="211">
        <f t="shared" si="8"/>
        <v>0</v>
      </c>
      <c r="U12" s="214">
        <v>0.0</v>
      </c>
      <c r="V12" s="214">
        <v>0.0</v>
      </c>
      <c r="W12" s="214">
        <v>0.0</v>
      </c>
      <c r="X12" s="57">
        <f t="shared" si="9"/>
        <v>0</v>
      </c>
    </row>
    <row r="13" ht="15.75" customHeight="1">
      <c r="B13" s="78"/>
      <c r="C13" s="207">
        <v>45843.0</v>
      </c>
      <c r="D13" s="208" t="str">
        <f t="shared" si="2"/>
        <v>sáb.</v>
      </c>
      <c r="E13" s="282">
        <v>21500.0</v>
      </c>
      <c r="F13" s="282">
        <v>13670.9</v>
      </c>
      <c r="G13" s="51">
        <f t="shared" si="3"/>
        <v>-7829.1</v>
      </c>
      <c r="H13" s="210">
        <v>0.0</v>
      </c>
      <c r="I13" s="211">
        <f t="shared" si="4"/>
        <v>0</v>
      </c>
      <c r="J13" s="57"/>
      <c r="K13" s="57"/>
      <c r="L13" s="57"/>
      <c r="M13" s="57">
        <f t="shared" si="5"/>
        <v>0</v>
      </c>
      <c r="N13" s="212">
        <f t="shared" ref="N13:O13" si="12">C13</f>
        <v>45843</v>
      </c>
      <c r="O13" s="204" t="str">
        <f t="shared" si="12"/>
        <v>sáb.</v>
      </c>
      <c r="P13" s="283">
        <v>17400.0</v>
      </c>
      <c r="Q13" s="213">
        <v>13205.6</v>
      </c>
      <c r="R13" s="51">
        <f t="shared" si="7"/>
        <v>-4194.4</v>
      </c>
      <c r="S13" s="214">
        <v>0.0</v>
      </c>
      <c r="T13" s="211">
        <f t="shared" si="8"/>
        <v>0</v>
      </c>
      <c r="U13" s="214">
        <v>0.0</v>
      </c>
      <c r="V13" s="214">
        <v>0.0</v>
      </c>
      <c r="W13" s="214">
        <v>0.0</v>
      </c>
      <c r="X13" s="57">
        <f t="shared" si="9"/>
        <v>0</v>
      </c>
    </row>
    <row r="14" ht="15.75" customHeight="1">
      <c r="B14" s="78"/>
      <c r="C14" s="207">
        <v>45844.0</v>
      </c>
      <c r="D14" s="208" t="str">
        <f t="shared" si="2"/>
        <v>dom.</v>
      </c>
      <c r="E14" s="282">
        <v>22500.0</v>
      </c>
      <c r="F14" s="282">
        <v>16295.2</v>
      </c>
      <c r="G14" s="51">
        <f t="shared" si="3"/>
        <v>-6204.8</v>
      </c>
      <c r="H14" s="210">
        <v>0.0</v>
      </c>
      <c r="I14" s="211">
        <f t="shared" si="4"/>
        <v>0</v>
      </c>
      <c r="J14" s="57"/>
      <c r="K14" s="57"/>
      <c r="L14" s="57"/>
      <c r="M14" s="57">
        <f t="shared" si="5"/>
        <v>0</v>
      </c>
      <c r="N14" s="212">
        <f t="shared" ref="N14:O14" si="13">C14</f>
        <v>45844</v>
      </c>
      <c r="O14" s="204" t="str">
        <f t="shared" si="13"/>
        <v>dom.</v>
      </c>
      <c r="P14" s="283">
        <v>22500.0</v>
      </c>
      <c r="Q14" s="213">
        <v>22765.77</v>
      </c>
      <c r="R14" s="51">
        <f t="shared" si="7"/>
        <v>265.77</v>
      </c>
      <c r="S14" s="214">
        <v>0.0</v>
      </c>
      <c r="T14" s="211">
        <f t="shared" si="8"/>
        <v>0</v>
      </c>
      <c r="U14" s="214">
        <v>0.0</v>
      </c>
      <c r="V14" s="214">
        <v>0.0</v>
      </c>
      <c r="W14" s="214">
        <v>0.0</v>
      </c>
      <c r="X14" s="57">
        <f t="shared" si="9"/>
        <v>0</v>
      </c>
    </row>
    <row r="15" ht="15.75" customHeight="1">
      <c r="B15" s="78"/>
      <c r="C15" s="207">
        <v>45845.0</v>
      </c>
      <c r="D15" s="208" t="str">
        <f t="shared" si="2"/>
        <v>seg.</v>
      </c>
      <c r="E15" s="282">
        <v>5000.0</v>
      </c>
      <c r="F15" s="282">
        <v>3858.7</v>
      </c>
      <c r="G15" s="51">
        <f t="shared" si="3"/>
        <v>-1141.3</v>
      </c>
      <c r="H15" s="210">
        <v>0.0</v>
      </c>
      <c r="I15" s="211">
        <f t="shared" si="4"/>
        <v>0</v>
      </c>
      <c r="J15" s="57"/>
      <c r="K15" s="57"/>
      <c r="L15" s="57"/>
      <c r="M15" s="57">
        <f t="shared" si="5"/>
        <v>0</v>
      </c>
      <c r="N15" s="212">
        <f t="shared" ref="N15:O15" si="14">C15</f>
        <v>45845</v>
      </c>
      <c r="O15" s="204" t="str">
        <f t="shared" si="14"/>
        <v>seg.</v>
      </c>
      <c r="P15" s="283">
        <v>4600.0</v>
      </c>
      <c r="Q15" s="213">
        <v>5902.349999999999</v>
      </c>
      <c r="R15" s="51">
        <f t="shared" si="7"/>
        <v>1302.35</v>
      </c>
      <c r="S15" s="214">
        <v>0.0</v>
      </c>
      <c r="T15" s="211">
        <f t="shared" si="8"/>
        <v>0</v>
      </c>
      <c r="U15" s="214">
        <v>0.0</v>
      </c>
      <c r="V15" s="214">
        <v>0.0</v>
      </c>
      <c r="W15" s="214">
        <v>0.0</v>
      </c>
      <c r="X15" s="57">
        <f t="shared" si="9"/>
        <v>0</v>
      </c>
    </row>
    <row r="16" ht="15.75" customHeight="1">
      <c r="C16" s="207">
        <v>45846.0</v>
      </c>
      <c r="D16" s="208" t="str">
        <f t="shared" si="2"/>
        <v>ter.</v>
      </c>
      <c r="E16" s="282">
        <v>6000.0</v>
      </c>
      <c r="F16" s="282">
        <v>7464.5</v>
      </c>
      <c r="G16" s="51">
        <f t="shared" si="3"/>
        <v>1464.5</v>
      </c>
      <c r="H16" s="210">
        <v>0.0</v>
      </c>
      <c r="I16" s="211">
        <f t="shared" si="4"/>
        <v>0</v>
      </c>
      <c r="J16" s="57"/>
      <c r="K16" s="57"/>
      <c r="L16" s="57"/>
      <c r="M16" s="57">
        <f t="shared" si="5"/>
        <v>0</v>
      </c>
      <c r="N16" s="212">
        <f t="shared" ref="N16:O16" si="15">C16</f>
        <v>45846</v>
      </c>
      <c r="O16" s="204" t="str">
        <f t="shared" si="15"/>
        <v>ter.</v>
      </c>
      <c r="P16" s="283">
        <v>5000.0</v>
      </c>
      <c r="Q16" s="213">
        <v>6776.67</v>
      </c>
      <c r="R16" s="51">
        <f t="shared" si="7"/>
        <v>1776.67</v>
      </c>
      <c r="S16" s="214">
        <v>0.0</v>
      </c>
      <c r="T16" s="211">
        <f t="shared" si="8"/>
        <v>0</v>
      </c>
      <c r="U16" s="214">
        <v>0.0</v>
      </c>
      <c r="V16" s="214">
        <v>0.0</v>
      </c>
      <c r="W16" s="214">
        <v>0.0</v>
      </c>
      <c r="X16" s="57">
        <f t="shared" si="9"/>
        <v>0</v>
      </c>
    </row>
    <row r="17" ht="15.75" customHeight="1">
      <c r="C17" s="207">
        <v>45847.0</v>
      </c>
      <c r="D17" s="208" t="str">
        <f t="shared" si="2"/>
        <v>qua.</v>
      </c>
      <c r="E17" s="282">
        <v>7000.0</v>
      </c>
      <c r="F17" s="282">
        <v>6130.28</v>
      </c>
      <c r="G17" s="51">
        <f t="shared" si="3"/>
        <v>-869.72</v>
      </c>
      <c r="H17" s="210">
        <v>0.0</v>
      </c>
      <c r="I17" s="211">
        <f t="shared" si="4"/>
        <v>0</v>
      </c>
      <c r="J17" s="57"/>
      <c r="K17" s="57"/>
      <c r="L17" s="57"/>
      <c r="M17" s="57">
        <f t="shared" si="5"/>
        <v>0</v>
      </c>
      <c r="N17" s="212">
        <f t="shared" ref="N17:O17" si="16">C17</f>
        <v>45847</v>
      </c>
      <c r="O17" s="204" t="str">
        <f t="shared" si="16"/>
        <v>qua.</v>
      </c>
      <c r="P17" s="283">
        <v>5500.0</v>
      </c>
      <c r="Q17" s="213">
        <v>4738.21</v>
      </c>
      <c r="R17" s="51">
        <f t="shared" si="7"/>
        <v>-761.79</v>
      </c>
      <c r="S17" s="214">
        <v>0.0</v>
      </c>
      <c r="T17" s="211">
        <f t="shared" si="8"/>
        <v>0</v>
      </c>
      <c r="U17" s="214">
        <v>0.0</v>
      </c>
      <c r="V17" s="214">
        <v>0.0</v>
      </c>
      <c r="W17" s="214">
        <v>0.0</v>
      </c>
      <c r="X17" s="57">
        <f t="shared" si="9"/>
        <v>0</v>
      </c>
      <c r="Z17" s="70"/>
      <c r="AA17" s="71" t="s">
        <v>52</v>
      </c>
      <c r="AB17" s="72"/>
      <c r="AC17" s="73" t="s">
        <v>53</v>
      </c>
    </row>
    <row r="18" ht="15.75" customHeight="1">
      <c r="C18" s="207">
        <v>45848.0</v>
      </c>
      <c r="D18" s="208" t="str">
        <f t="shared" si="2"/>
        <v>qui.</v>
      </c>
      <c r="E18" s="282">
        <v>20000.0</v>
      </c>
      <c r="F18" s="282">
        <v>17114.63</v>
      </c>
      <c r="G18" s="51">
        <f t="shared" si="3"/>
        <v>-2885.37</v>
      </c>
      <c r="H18" s="210">
        <v>0.0</v>
      </c>
      <c r="I18" s="211">
        <f t="shared" si="4"/>
        <v>0</v>
      </c>
      <c r="J18" s="57"/>
      <c r="K18" s="57"/>
      <c r="L18" s="57"/>
      <c r="M18" s="57">
        <f t="shared" si="5"/>
        <v>0</v>
      </c>
      <c r="N18" s="212">
        <f t="shared" ref="N18:O18" si="17">C18</f>
        <v>45848</v>
      </c>
      <c r="O18" s="204" t="str">
        <f t="shared" si="17"/>
        <v>qui.</v>
      </c>
      <c r="P18" s="283">
        <v>11500.0</v>
      </c>
      <c r="Q18" s="213">
        <v>15358.16</v>
      </c>
      <c r="R18" s="51">
        <f t="shared" si="7"/>
        <v>3858.16</v>
      </c>
      <c r="S18" s="214">
        <v>0.0</v>
      </c>
      <c r="T18" s="211">
        <f t="shared" si="8"/>
        <v>0</v>
      </c>
      <c r="U18" s="214">
        <v>0.0</v>
      </c>
      <c r="V18" s="214">
        <v>0.0</v>
      </c>
      <c r="W18" s="214">
        <v>0.0</v>
      </c>
      <c r="X18" s="57">
        <f t="shared" si="9"/>
        <v>0</v>
      </c>
      <c r="Z18" s="74" t="s">
        <v>29</v>
      </c>
      <c r="AA18" s="75">
        <v>380000.0</v>
      </c>
      <c r="AB18" s="2" t="s">
        <v>29</v>
      </c>
      <c r="AC18" s="76">
        <v>340000.0</v>
      </c>
    </row>
    <row r="19" ht="15.75" customHeight="1">
      <c r="C19" s="207">
        <v>45849.0</v>
      </c>
      <c r="D19" s="208" t="str">
        <f t="shared" si="2"/>
        <v>sex.</v>
      </c>
      <c r="E19" s="282">
        <v>13000.0</v>
      </c>
      <c r="F19" s="282">
        <v>13125.58</v>
      </c>
      <c r="G19" s="51">
        <f t="shared" si="3"/>
        <v>125.58</v>
      </c>
      <c r="H19" s="210">
        <v>0.0</v>
      </c>
      <c r="I19" s="211">
        <f t="shared" si="4"/>
        <v>0</v>
      </c>
      <c r="J19" s="57"/>
      <c r="K19" s="57"/>
      <c r="L19" s="57"/>
      <c r="M19" s="57">
        <f t="shared" si="5"/>
        <v>0</v>
      </c>
      <c r="N19" s="212">
        <f t="shared" ref="N19:O19" si="18">C19</f>
        <v>45849</v>
      </c>
      <c r="O19" s="204" t="str">
        <f t="shared" si="18"/>
        <v>sex.</v>
      </c>
      <c r="P19" s="283">
        <v>13000.0</v>
      </c>
      <c r="Q19" s="213">
        <v>12701.289999999999</v>
      </c>
      <c r="R19" s="51">
        <f t="shared" si="7"/>
        <v>-298.71</v>
      </c>
      <c r="S19" s="214">
        <v>0.0</v>
      </c>
      <c r="T19" s="211">
        <f t="shared" si="8"/>
        <v>0</v>
      </c>
      <c r="U19" s="214">
        <v>0.0</v>
      </c>
      <c r="V19" s="214">
        <v>0.0</v>
      </c>
      <c r="W19" s="214">
        <v>0.0</v>
      </c>
      <c r="X19" s="57">
        <f t="shared" si="9"/>
        <v>0</v>
      </c>
      <c r="Z19" s="74"/>
      <c r="AA19" s="2"/>
      <c r="AB19" s="2"/>
      <c r="AC19" s="77"/>
    </row>
    <row r="20" ht="15.75" customHeight="1">
      <c r="C20" s="207">
        <v>45850.0</v>
      </c>
      <c r="D20" s="208" t="str">
        <f t="shared" si="2"/>
        <v>sáb.</v>
      </c>
      <c r="E20" s="282">
        <v>21500.0</v>
      </c>
      <c r="F20" s="282">
        <v>21684.85</v>
      </c>
      <c r="G20" s="51">
        <f t="shared" si="3"/>
        <v>184.85</v>
      </c>
      <c r="H20" s="210">
        <v>0.0</v>
      </c>
      <c r="I20" s="211">
        <f t="shared" si="4"/>
        <v>0</v>
      </c>
      <c r="J20" s="57"/>
      <c r="K20" s="57"/>
      <c r="L20" s="57"/>
      <c r="M20" s="57">
        <f t="shared" si="5"/>
        <v>0</v>
      </c>
      <c r="N20" s="212">
        <f t="shared" ref="N20:O20" si="19">C20</f>
        <v>45850</v>
      </c>
      <c r="O20" s="204" t="str">
        <f t="shared" si="19"/>
        <v>sáb.</v>
      </c>
      <c r="P20" s="283">
        <v>17400.0</v>
      </c>
      <c r="Q20" s="213">
        <v>14992.59</v>
      </c>
      <c r="R20" s="51">
        <f t="shared" si="7"/>
        <v>-2407.41</v>
      </c>
      <c r="S20" s="214">
        <v>0.0</v>
      </c>
      <c r="T20" s="211">
        <f t="shared" si="8"/>
        <v>0</v>
      </c>
      <c r="U20" s="214">
        <v>0.0</v>
      </c>
      <c r="V20" s="214">
        <v>0.0</v>
      </c>
      <c r="W20" s="214">
        <v>0.0</v>
      </c>
      <c r="X20" s="57">
        <f t="shared" si="9"/>
        <v>0</v>
      </c>
      <c r="Z20" s="74" t="s">
        <v>58</v>
      </c>
      <c r="AA20" s="75">
        <f>SUM(P9:P15)</f>
        <v>79500</v>
      </c>
      <c r="AB20" s="58" t="s">
        <v>58</v>
      </c>
      <c r="AC20" s="76">
        <f>SUM(V9:V15)</f>
        <v>0</v>
      </c>
    </row>
    <row r="21" ht="15.75" customHeight="1">
      <c r="C21" s="207">
        <v>45851.0</v>
      </c>
      <c r="D21" s="208" t="str">
        <f t="shared" si="2"/>
        <v>dom.</v>
      </c>
      <c r="E21" s="282">
        <v>22500.0</v>
      </c>
      <c r="F21" s="282">
        <v>21071.6</v>
      </c>
      <c r="G21" s="51">
        <f t="shared" si="3"/>
        <v>-1428.4</v>
      </c>
      <c r="H21" s="210">
        <v>0.0</v>
      </c>
      <c r="I21" s="211">
        <f t="shared" si="4"/>
        <v>0</v>
      </c>
      <c r="J21" s="57"/>
      <c r="K21" s="57"/>
      <c r="L21" s="57"/>
      <c r="M21" s="57">
        <f t="shared" si="5"/>
        <v>0</v>
      </c>
      <c r="N21" s="212">
        <f t="shared" ref="N21:O21" si="20">C21</f>
        <v>45851</v>
      </c>
      <c r="O21" s="204" t="str">
        <f t="shared" si="20"/>
        <v>dom.</v>
      </c>
      <c r="P21" s="283">
        <v>22500.0</v>
      </c>
      <c r="Q21" s="213">
        <v>17238.269999999997</v>
      </c>
      <c r="R21" s="51">
        <f t="shared" si="7"/>
        <v>-5261.73</v>
      </c>
      <c r="S21" s="214">
        <v>0.0</v>
      </c>
      <c r="T21" s="211">
        <f t="shared" si="8"/>
        <v>0</v>
      </c>
      <c r="U21" s="214">
        <v>0.0</v>
      </c>
      <c r="V21" s="214">
        <v>0.0</v>
      </c>
      <c r="W21" s="214">
        <v>0.0</v>
      </c>
      <c r="X21" s="57">
        <f t="shared" si="9"/>
        <v>0</v>
      </c>
      <c r="Z21" s="74"/>
      <c r="AA21" s="79">
        <f>AA20/AA18</f>
        <v>0.2092105263</v>
      </c>
      <c r="AC21" s="80">
        <f>AC20/AC18</f>
        <v>0</v>
      </c>
      <c r="AD21" s="66"/>
    </row>
    <row r="22" ht="15.75" customHeight="1">
      <c r="C22" s="207">
        <v>45852.0</v>
      </c>
      <c r="D22" s="208" t="str">
        <f t="shared" si="2"/>
        <v>seg.</v>
      </c>
      <c r="E22" s="282">
        <v>5000.0</v>
      </c>
      <c r="F22" s="282">
        <v>2417.9</v>
      </c>
      <c r="G22" s="51">
        <f t="shared" si="3"/>
        <v>-2582.1</v>
      </c>
      <c r="H22" s="210">
        <v>0.0</v>
      </c>
      <c r="I22" s="211">
        <f t="shared" si="4"/>
        <v>0</v>
      </c>
      <c r="J22" s="57"/>
      <c r="K22" s="57"/>
      <c r="L22" s="57"/>
      <c r="M22" s="57">
        <f t="shared" si="5"/>
        <v>0</v>
      </c>
      <c r="N22" s="212">
        <f t="shared" ref="N22:O22" si="21">C22</f>
        <v>45852</v>
      </c>
      <c r="O22" s="204" t="str">
        <f t="shared" si="21"/>
        <v>seg.</v>
      </c>
      <c r="P22" s="283">
        <v>4600.0</v>
      </c>
      <c r="Q22" s="213">
        <v>4134.55</v>
      </c>
      <c r="R22" s="51">
        <f t="shared" si="7"/>
        <v>-465.45</v>
      </c>
      <c r="S22" s="214">
        <v>0.0</v>
      </c>
      <c r="T22" s="211">
        <f t="shared" si="8"/>
        <v>0</v>
      </c>
      <c r="U22" s="214">
        <v>0.0</v>
      </c>
      <c r="V22" s="214">
        <v>0.0</v>
      </c>
      <c r="W22" s="214">
        <v>0.0</v>
      </c>
      <c r="X22" s="57">
        <f t="shared" si="9"/>
        <v>0</v>
      </c>
      <c r="Z22" s="74"/>
      <c r="AA22" s="81"/>
      <c r="AC22" s="77"/>
    </row>
    <row r="23" ht="15.75" customHeight="1">
      <c r="C23" s="207">
        <v>45853.0</v>
      </c>
      <c r="D23" s="208" t="str">
        <f t="shared" si="2"/>
        <v>ter.</v>
      </c>
      <c r="E23" s="282">
        <v>6000.0</v>
      </c>
      <c r="F23" s="282">
        <v>9738.6</v>
      </c>
      <c r="G23" s="51">
        <f t="shared" si="3"/>
        <v>3738.6</v>
      </c>
      <c r="H23" s="210">
        <v>0.0</v>
      </c>
      <c r="I23" s="211">
        <f t="shared" si="4"/>
        <v>0</v>
      </c>
      <c r="J23" s="57"/>
      <c r="K23" s="57"/>
      <c r="L23" s="57"/>
      <c r="M23" s="57">
        <f t="shared" si="5"/>
        <v>0</v>
      </c>
      <c r="N23" s="212">
        <f t="shared" ref="N23:O23" si="22">C23</f>
        <v>45853</v>
      </c>
      <c r="O23" s="204" t="str">
        <f t="shared" si="22"/>
        <v>ter.</v>
      </c>
      <c r="P23" s="283">
        <v>5000.0</v>
      </c>
      <c r="Q23" s="213">
        <v>6375.28</v>
      </c>
      <c r="R23" s="51">
        <f t="shared" si="7"/>
        <v>1375.28</v>
      </c>
      <c r="S23" s="214">
        <v>0.0</v>
      </c>
      <c r="T23" s="211">
        <f t="shared" si="8"/>
        <v>0</v>
      </c>
      <c r="U23" s="214">
        <v>0.0</v>
      </c>
      <c r="V23" s="214">
        <v>0.0</v>
      </c>
      <c r="W23" s="214">
        <v>0.0</v>
      </c>
      <c r="X23" s="57">
        <f t="shared" si="9"/>
        <v>0</v>
      </c>
      <c r="Z23" s="74" t="s">
        <v>62</v>
      </c>
      <c r="AA23" s="75">
        <f>SUM(P16:P22)</f>
        <v>79500</v>
      </c>
      <c r="AB23" s="58" t="s">
        <v>62</v>
      </c>
      <c r="AC23" s="76">
        <f>SUM(V16:V22)</f>
        <v>0</v>
      </c>
    </row>
    <row r="24" ht="15.75" customHeight="1">
      <c r="C24" s="207">
        <v>45854.0</v>
      </c>
      <c r="D24" s="208" t="str">
        <f t="shared" si="2"/>
        <v>qua.</v>
      </c>
      <c r="E24" s="282">
        <v>7000.0</v>
      </c>
      <c r="F24" s="282">
        <v>8116.95</v>
      </c>
      <c r="G24" s="51">
        <f t="shared" si="3"/>
        <v>1116.95</v>
      </c>
      <c r="H24" s="210">
        <v>0.0</v>
      </c>
      <c r="I24" s="211">
        <f t="shared" si="4"/>
        <v>0</v>
      </c>
      <c r="J24" s="57"/>
      <c r="K24" s="57"/>
      <c r="L24" s="57"/>
      <c r="M24" s="57">
        <f t="shared" si="5"/>
        <v>0</v>
      </c>
      <c r="N24" s="212">
        <f t="shared" ref="N24:O24" si="23">C24</f>
        <v>45854</v>
      </c>
      <c r="O24" s="204" t="str">
        <f t="shared" si="23"/>
        <v>qua.</v>
      </c>
      <c r="P24" s="283">
        <v>5500.0</v>
      </c>
      <c r="Q24" s="213">
        <v>6025.17</v>
      </c>
      <c r="R24" s="51">
        <f t="shared" si="7"/>
        <v>525.17</v>
      </c>
      <c r="S24" s="214">
        <v>0.0</v>
      </c>
      <c r="T24" s="211">
        <f t="shared" si="8"/>
        <v>0</v>
      </c>
      <c r="U24" s="214">
        <v>0.0</v>
      </c>
      <c r="V24" s="214">
        <v>0.0</v>
      </c>
      <c r="W24" s="214">
        <v>0.0</v>
      </c>
      <c r="X24" s="57">
        <f t="shared" si="9"/>
        <v>0</v>
      </c>
      <c r="Z24" s="74"/>
      <c r="AA24" s="79">
        <f>AA23/AA18</f>
        <v>0.2092105263</v>
      </c>
      <c r="AC24" s="80">
        <f>AC23/AC18</f>
        <v>0</v>
      </c>
    </row>
    <row r="25" ht="15.75" customHeight="1">
      <c r="C25" s="207">
        <v>45855.0</v>
      </c>
      <c r="D25" s="208" t="str">
        <f t="shared" si="2"/>
        <v>qui.</v>
      </c>
      <c r="E25" s="282">
        <v>11000.0</v>
      </c>
      <c r="F25" s="282">
        <v>6198.23</v>
      </c>
      <c r="G25" s="51">
        <f t="shared" si="3"/>
        <v>-4801.77</v>
      </c>
      <c r="H25" s="210">
        <v>0.0</v>
      </c>
      <c r="I25" s="211">
        <f t="shared" si="4"/>
        <v>0</v>
      </c>
      <c r="J25" s="57"/>
      <c r="K25" s="57"/>
      <c r="L25" s="57"/>
      <c r="M25" s="57">
        <f t="shared" si="5"/>
        <v>0</v>
      </c>
      <c r="N25" s="212">
        <f t="shared" ref="N25:O25" si="24">C25</f>
        <v>45855</v>
      </c>
      <c r="O25" s="204" t="str">
        <f t="shared" si="24"/>
        <v>qui.</v>
      </c>
      <c r="P25" s="283">
        <v>11500.0</v>
      </c>
      <c r="Q25" s="283">
        <v>6867.93</v>
      </c>
      <c r="R25" s="51">
        <f t="shared" si="7"/>
        <v>-4632.07</v>
      </c>
      <c r="S25" s="214">
        <v>0.0</v>
      </c>
      <c r="T25" s="211">
        <f t="shared" si="8"/>
        <v>0</v>
      </c>
      <c r="U25" s="214">
        <v>0.0</v>
      </c>
      <c r="V25" s="214">
        <v>0.0</v>
      </c>
      <c r="W25" s="214">
        <v>0.0</v>
      </c>
      <c r="X25" s="57">
        <f t="shared" si="9"/>
        <v>0</v>
      </c>
      <c r="Z25" s="74"/>
      <c r="AA25" s="81"/>
      <c r="AC25" s="77"/>
    </row>
    <row r="26" ht="19.5" customHeight="1">
      <c r="C26" s="207">
        <v>45856.0</v>
      </c>
      <c r="D26" s="208" t="str">
        <f t="shared" si="2"/>
        <v>sex.</v>
      </c>
      <c r="E26" s="282">
        <v>13000.0</v>
      </c>
      <c r="F26" s="282">
        <v>13984.23</v>
      </c>
      <c r="G26" s="51">
        <f t="shared" si="3"/>
        <v>984.23</v>
      </c>
      <c r="H26" s="210">
        <v>0.0</v>
      </c>
      <c r="I26" s="211">
        <f t="shared" si="4"/>
        <v>0</v>
      </c>
      <c r="J26" s="57"/>
      <c r="K26" s="57"/>
      <c r="L26" s="57"/>
      <c r="M26" s="57">
        <f t="shared" si="5"/>
        <v>0</v>
      </c>
      <c r="N26" s="212">
        <f t="shared" ref="N26:O26" si="25">C26</f>
        <v>45856</v>
      </c>
      <c r="O26" s="204" t="str">
        <f t="shared" si="25"/>
        <v>sex.</v>
      </c>
      <c r="P26" s="283">
        <v>13000.0</v>
      </c>
      <c r="Q26" s="283">
        <v>14841.45</v>
      </c>
      <c r="R26" s="51">
        <f t="shared" si="7"/>
        <v>1841.45</v>
      </c>
      <c r="S26" s="214">
        <v>0.0</v>
      </c>
      <c r="T26" s="211">
        <f t="shared" si="8"/>
        <v>0</v>
      </c>
      <c r="U26" s="214">
        <v>0.0</v>
      </c>
      <c r="V26" s="214">
        <v>0.0</v>
      </c>
      <c r="W26" s="214">
        <v>0.0</v>
      </c>
      <c r="X26" s="57">
        <f t="shared" si="9"/>
        <v>0</v>
      </c>
      <c r="Z26" s="74" t="s">
        <v>63</v>
      </c>
      <c r="AA26" s="75">
        <f>SUM(P23:P29)</f>
        <v>79500</v>
      </c>
      <c r="AB26" s="58" t="s">
        <v>63</v>
      </c>
      <c r="AC26" s="76">
        <f>SUM(V23:V29)</f>
        <v>0</v>
      </c>
    </row>
    <row r="27" ht="15.75" customHeight="1">
      <c r="C27" s="207">
        <v>45857.0</v>
      </c>
      <c r="D27" s="208" t="str">
        <f t="shared" si="2"/>
        <v>sáb.</v>
      </c>
      <c r="E27" s="282">
        <v>21500.0</v>
      </c>
      <c r="F27" s="282">
        <v>17593.2</v>
      </c>
      <c r="G27" s="51">
        <f t="shared" si="3"/>
        <v>-3906.8</v>
      </c>
      <c r="H27" s="210">
        <v>0.0</v>
      </c>
      <c r="I27" s="211">
        <f t="shared" si="4"/>
        <v>0</v>
      </c>
      <c r="J27" s="57"/>
      <c r="K27" s="57"/>
      <c r="L27" s="57"/>
      <c r="M27" s="57">
        <f t="shared" si="5"/>
        <v>0</v>
      </c>
      <c r="N27" s="212">
        <f t="shared" ref="N27:O27" si="26">C27</f>
        <v>45857</v>
      </c>
      <c r="O27" s="204" t="str">
        <f t="shared" si="26"/>
        <v>sáb.</v>
      </c>
      <c r="P27" s="283">
        <v>17400.0</v>
      </c>
      <c r="Q27" s="283">
        <v>14148.630000000001</v>
      </c>
      <c r="R27" s="51">
        <f t="shared" si="7"/>
        <v>-3251.37</v>
      </c>
      <c r="S27" s="214">
        <v>0.0</v>
      </c>
      <c r="T27" s="211">
        <f t="shared" si="8"/>
        <v>0</v>
      </c>
      <c r="U27" s="214">
        <v>0.0</v>
      </c>
      <c r="V27" s="214">
        <v>0.0</v>
      </c>
      <c r="W27" s="214">
        <v>0.0</v>
      </c>
      <c r="X27" s="57">
        <f t="shared" si="9"/>
        <v>0</v>
      </c>
      <c r="Z27" s="74"/>
      <c r="AA27" s="79">
        <f>AA26/AA18</f>
        <v>0.2092105263</v>
      </c>
      <c r="AC27" s="80">
        <f>AC26/AC18</f>
        <v>0</v>
      </c>
    </row>
    <row r="28" ht="15.75" customHeight="1">
      <c r="C28" s="207">
        <v>45858.0</v>
      </c>
      <c r="D28" s="208" t="str">
        <f t="shared" si="2"/>
        <v>dom.</v>
      </c>
      <c r="E28" s="282">
        <v>22500.0</v>
      </c>
      <c r="F28" s="282">
        <v>17566.0</v>
      </c>
      <c r="G28" s="51">
        <f t="shared" si="3"/>
        <v>-4934</v>
      </c>
      <c r="H28" s="210">
        <v>0.0</v>
      </c>
      <c r="I28" s="211">
        <f t="shared" si="4"/>
        <v>0</v>
      </c>
      <c r="J28" s="57"/>
      <c r="K28" s="57"/>
      <c r="L28" s="57"/>
      <c r="M28" s="57">
        <f t="shared" si="5"/>
        <v>0</v>
      </c>
      <c r="N28" s="212">
        <f t="shared" ref="N28:O28" si="27">C28</f>
        <v>45858</v>
      </c>
      <c r="O28" s="204" t="str">
        <f t="shared" si="27"/>
        <v>dom.</v>
      </c>
      <c r="P28" s="283">
        <v>22500.0</v>
      </c>
      <c r="Q28" s="283">
        <v>22068.82</v>
      </c>
      <c r="R28" s="51">
        <f t="shared" si="7"/>
        <v>-431.18</v>
      </c>
      <c r="S28" s="214">
        <v>0.0</v>
      </c>
      <c r="T28" s="211">
        <f t="shared" si="8"/>
        <v>0</v>
      </c>
      <c r="U28" s="214">
        <v>0.0</v>
      </c>
      <c r="V28" s="214">
        <v>0.0</v>
      </c>
      <c r="W28" s="214">
        <v>0.0</v>
      </c>
      <c r="X28" s="57">
        <f t="shared" si="9"/>
        <v>0</v>
      </c>
      <c r="Z28" s="74"/>
      <c r="AC28" s="82"/>
    </row>
    <row r="29" ht="15.75" customHeight="1">
      <c r="C29" s="207">
        <v>45859.0</v>
      </c>
      <c r="D29" s="208" t="str">
        <f t="shared" si="2"/>
        <v>seg.</v>
      </c>
      <c r="E29" s="282">
        <v>5000.0</v>
      </c>
      <c r="F29" s="282">
        <v>8502.25</v>
      </c>
      <c r="G29" s="51">
        <f t="shared" si="3"/>
        <v>3502.25</v>
      </c>
      <c r="H29" s="210">
        <v>0.0</v>
      </c>
      <c r="I29" s="211">
        <f t="shared" si="4"/>
        <v>0</v>
      </c>
      <c r="J29" s="57"/>
      <c r="K29" s="57"/>
      <c r="L29" s="57"/>
      <c r="M29" s="57">
        <f t="shared" si="5"/>
        <v>0</v>
      </c>
      <c r="N29" s="212">
        <f t="shared" ref="N29:O29" si="28">C29</f>
        <v>45859</v>
      </c>
      <c r="O29" s="204" t="str">
        <f t="shared" si="28"/>
        <v>seg.</v>
      </c>
      <c r="P29" s="283">
        <v>4600.0</v>
      </c>
      <c r="Q29" s="283">
        <v>5864.99</v>
      </c>
      <c r="R29" s="51">
        <f t="shared" si="7"/>
        <v>1264.99</v>
      </c>
      <c r="S29" s="214">
        <v>0.0</v>
      </c>
      <c r="T29" s="211">
        <f t="shared" si="8"/>
        <v>0</v>
      </c>
      <c r="U29" s="214">
        <v>0.0</v>
      </c>
      <c r="V29" s="214">
        <v>0.0</v>
      </c>
      <c r="W29" s="214">
        <v>0.0</v>
      </c>
      <c r="X29" s="57">
        <f t="shared" si="9"/>
        <v>0</v>
      </c>
      <c r="Z29" s="74" t="s">
        <v>64</v>
      </c>
      <c r="AA29" s="61">
        <f>SUM(P30:P36)</f>
        <v>79500</v>
      </c>
      <c r="AB29" s="58" t="s">
        <v>64</v>
      </c>
      <c r="AC29" s="83">
        <f>SUM(V30:V36)</f>
        <v>0</v>
      </c>
    </row>
    <row r="30" ht="19.5" customHeight="1">
      <c r="C30" s="207">
        <v>45860.0</v>
      </c>
      <c r="D30" s="208" t="str">
        <f t="shared" si="2"/>
        <v>ter.</v>
      </c>
      <c r="E30" s="282">
        <v>6000.0</v>
      </c>
      <c r="F30" s="282">
        <v>6158.15</v>
      </c>
      <c r="G30" s="51">
        <f t="shared" si="3"/>
        <v>158.15</v>
      </c>
      <c r="H30" s="210">
        <v>0.0</v>
      </c>
      <c r="I30" s="211">
        <f t="shared" si="4"/>
        <v>0</v>
      </c>
      <c r="J30" s="57"/>
      <c r="K30" s="57"/>
      <c r="L30" s="57"/>
      <c r="M30" s="57">
        <f t="shared" si="5"/>
        <v>0</v>
      </c>
      <c r="N30" s="212">
        <f t="shared" ref="N30:O30" si="29">C30</f>
        <v>45860</v>
      </c>
      <c r="O30" s="204" t="str">
        <f t="shared" si="29"/>
        <v>ter.</v>
      </c>
      <c r="P30" s="283">
        <v>5000.0</v>
      </c>
      <c r="Q30" s="283">
        <v>5424.0</v>
      </c>
      <c r="R30" s="51">
        <f t="shared" si="7"/>
        <v>424</v>
      </c>
      <c r="S30" s="214">
        <v>0.0</v>
      </c>
      <c r="T30" s="211">
        <f t="shared" si="8"/>
        <v>0</v>
      </c>
      <c r="U30" s="214">
        <v>0.0</v>
      </c>
      <c r="V30" s="214">
        <v>0.0</v>
      </c>
      <c r="W30" s="214">
        <v>0.0</v>
      </c>
      <c r="X30" s="57">
        <f t="shared" si="9"/>
        <v>0</v>
      </c>
      <c r="Z30" s="74"/>
      <c r="AA30" s="79">
        <f>AA29/AA18</f>
        <v>0.2092105263</v>
      </c>
      <c r="AC30" s="80">
        <f>AC29/AC18</f>
        <v>0</v>
      </c>
    </row>
    <row r="31" ht="18.0" customHeight="1">
      <c r="C31" s="207">
        <v>45861.0</v>
      </c>
      <c r="D31" s="208" t="str">
        <f t="shared" si="2"/>
        <v>qua.</v>
      </c>
      <c r="E31" s="282">
        <v>7000.0</v>
      </c>
      <c r="F31" s="282">
        <v>7234.8</v>
      </c>
      <c r="G31" s="51">
        <f t="shared" si="3"/>
        <v>234.8</v>
      </c>
      <c r="H31" s="210">
        <v>0.0</v>
      </c>
      <c r="I31" s="211">
        <f t="shared" si="4"/>
        <v>0</v>
      </c>
      <c r="J31" s="57"/>
      <c r="K31" s="57"/>
      <c r="L31" s="57"/>
      <c r="M31" s="57">
        <f t="shared" si="5"/>
        <v>0</v>
      </c>
      <c r="N31" s="212">
        <f t="shared" ref="N31:O31" si="30">C31</f>
        <v>45861</v>
      </c>
      <c r="O31" s="204" t="str">
        <f t="shared" si="30"/>
        <v>qua.</v>
      </c>
      <c r="P31" s="283">
        <v>5500.0</v>
      </c>
      <c r="Q31" s="283">
        <v>6259.18</v>
      </c>
      <c r="R31" s="51">
        <f t="shared" si="7"/>
        <v>759.18</v>
      </c>
      <c r="S31" s="214">
        <v>0.0</v>
      </c>
      <c r="T31" s="211">
        <f t="shared" si="8"/>
        <v>0</v>
      </c>
      <c r="U31" s="214">
        <v>0.0</v>
      </c>
      <c r="V31" s="214">
        <v>0.0</v>
      </c>
      <c r="W31" s="214">
        <v>0.0</v>
      </c>
      <c r="X31" s="57">
        <f t="shared" si="9"/>
        <v>0</v>
      </c>
      <c r="Z31" s="74" t="s">
        <v>65</v>
      </c>
      <c r="AA31" s="61">
        <f>SUM(P37:P38)</f>
        <v>10500</v>
      </c>
      <c r="AB31" s="58" t="s">
        <v>65</v>
      </c>
      <c r="AC31" s="83">
        <f>SUM(V37:V38)</f>
        <v>0</v>
      </c>
    </row>
    <row r="32" ht="15.75" customHeight="1">
      <c r="C32" s="207">
        <v>45862.0</v>
      </c>
      <c r="D32" s="208" t="str">
        <f t="shared" si="2"/>
        <v>qui.</v>
      </c>
      <c r="E32" s="282">
        <v>11000.0</v>
      </c>
      <c r="F32" s="282">
        <v>7730.0</v>
      </c>
      <c r="G32" s="51">
        <f t="shared" si="3"/>
        <v>-3270</v>
      </c>
      <c r="H32" s="210">
        <v>0.0</v>
      </c>
      <c r="I32" s="211">
        <f t="shared" si="4"/>
        <v>0</v>
      </c>
      <c r="J32" s="57"/>
      <c r="K32" s="57"/>
      <c r="L32" s="57"/>
      <c r="M32" s="57">
        <f t="shared" si="5"/>
        <v>0</v>
      </c>
      <c r="N32" s="212">
        <f t="shared" ref="N32:O32" si="31">C32</f>
        <v>45862</v>
      </c>
      <c r="O32" s="204" t="str">
        <f t="shared" si="31"/>
        <v>qui.</v>
      </c>
      <c r="P32" s="283">
        <v>11500.0</v>
      </c>
      <c r="Q32" s="283">
        <v>5959.18</v>
      </c>
      <c r="R32" s="51">
        <f t="shared" si="7"/>
        <v>-5540.82</v>
      </c>
      <c r="S32" s="214">
        <v>0.0</v>
      </c>
      <c r="T32" s="211">
        <f t="shared" si="8"/>
        <v>0</v>
      </c>
      <c r="U32" s="214">
        <v>0.0</v>
      </c>
      <c r="V32" s="214">
        <v>0.0</v>
      </c>
      <c r="W32" s="214">
        <v>0.0</v>
      </c>
      <c r="X32" s="57">
        <f t="shared" si="9"/>
        <v>0</v>
      </c>
      <c r="Z32" s="84" t="s">
        <v>206</v>
      </c>
      <c r="AA32" s="85">
        <f>AA31/AA18</f>
        <v>0.02763157895</v>
      </c>
      <c r="AB32" s="84" t="s">
        <v>206</v>
      </c>
      <c r="AC32" s="87">
        <f>AC31/AC18</f>
        <v>0</v>
      </c>
    </row>
    <row r="33" ht="15.75" customHeight="1">
      <c r="C33" s="207">
        <v>45863.0</v>
      </c>
      <c r="D33" s="208" t="str">
        <f t="shared" si="2"/>
        <v>sex.</v>
      </c>
      <c r="E33" s="282">
        <v>13000.0</v>
      </c>
      <c r="F33" s="282">
        <v>14579.75</v>
      </c>
      <c r="G33" s="51">
        <f t="shared" si="3"/>
        <v>1579.75</v>
      </c>
      <c r="H33" s="210">
        <v>0.0</v>
      </c>
      <c r="I33" s="211">
        <f t="shared" si="4"/>
        <v>0</v>
      </c>
      <c r="J33" s="57"/>
      <c r="K33" s="57"/>
      <c r="L33" s="57"/>
      <c r="M33" s="57">
        <f t="shared" si="5"/>
        <v>0</v>
      </c>
      <c r="N33" s="212">
        <f t="shared" ref="N33:O33" si="32">C33</f>
        <v>45863</v>
      </c>
      <c r="O33" s="204" t="str">
        <f t="shared" si="32"/>
        <v>sex.</v>
      </c>
      <c r="P33" s="283">
        <v>13000.0</v>
      </c>
      <c r="Q33" s="283">
        <v>11836.189999999999</v>
      </c>
      <c r="R33" s="51">
        <f t="shared" si="7"/>
        <v>-1163.81</v>
      </c>
      <c r="S33" s="214">
        <v>0.0</v>
      </c>
      <c r="T33" s="211">
        <f t="shared" si="8"/>
        <v>0</v>
      </c>
      <c r="U33" s="214">
        <v>0.0</v>
      </c>
      <c r="V33" s="214">
        <v>0.0</v>
      </c>
      <c r="W33" s="214">
        <v>0.0</v>
      </c>
      <c r="X33" s="57">
        <f t="shared" si="9"/>
        <v>0</v>
      </c>
    </row>
    <row r="34" ht="15.75" customHeight="1">
      <c r="C34" s="207">
        <v>45864.0</v>
      </c>
      <c r="D34" s="208" t="str">
        <f t="shared" si="2"/>
        <v>sáb.</v>
      </c>
      <c r="E34" s="282">
        <v>21500.0</v>
      </c>
      <c r="F34" s="282">
        <v>17691.45</v>
      </c>
      <c r="G34" s="51">
        <f t="shared" si="3"/>
        <v>-3808.55</v>
      </c>
      <c r="H34" s="210">
        <v>0.0</v>
      </c>
      <c r="I34" s="211">
        <f t="shared" si="4"/>
        <v>0</v>
      </c>
      <c r="J34" s="57"/>
      <c r="K34" s="57"/>
      <c r="L34" s="57"/>
      <c r="M34" s="57">
        <f t="shared" si="5"/>
        <v>0</v>
      </c>
      <c r="N34" s="212">
        <f t="shared" ref="N34:O34" si="33">C34</f>
        <v>45864</v>
      </c>
      <c r="O34" s="204" t="str">
        <f t="shared" si="33"/>
        <v>sáb.</v>
      </c>
      <c r="P34" s="283">
        <v>17400.0</v>
      </c>
      <c r="Q34" s="283">
        <v>17875.969999999998</v>
      </c>
      <c r="R34" s="51">
        <f t="shared" si="7"/>
        <v>475.97</v>
      </c>
      <c r="S34" s="214">
        <v>0.0</v>
      </c>
      <c r="T34" s="211">
        <f t="shared" si="8"/>
        <v>0</v>
      </c>
      <c r="U34" s="214">
        <v>0.0</v>
      </c>
      <c r="V34" s="214">
        <v>0.0</v>
      </c>
      <c r="W34" s="214">
        <v>0.0</v>
      </c>
      <c r="X34" s="57">
        <f t="shared" si="9"/>
        <v>0</v>
      </c>
      <c r="Y34" s="263" t="s">
        <v>72</v>
      </c>
      <c r="Z34" s="93" t="s">
        <v>73</v>
      </c>
      <c r="AA34" s="94">
        <f>P40</f>
        <v>340000</v>
      </c>
      <c r="AB34" s="164" t="s">
        <v>74</v>
      </c>
      <c r="AC34" s="96">
        <f>V40</f>
        <v>0</v>
      </c>
      <c r="AD34" s="263" t="s">
        <v>72</v>
      </c>
    </row>
    <row r="35" ht="19.5" customHeight="1">
      <c r="C35" s="207">
        <v>45865.0</v>
      </c>
      <c r="D35" s="208" t="str">
        <f t="shared" si="2"/>
        <v>dom.</v>
      </c>
      <c r="E35" s="282">
        <v>22500.0</v>
      </c>
      <c r="F35" s="282">
        <v>21116.76</v>
      </c>
      <c r="G35" s="51">
        <f t="shared" si="3"/>
        <v>-1383.24</v>
      </c>
      <c r="H35" s="210">
        <v>0.0</v>
      </c>
      <c r="I35" s="211">
        <f t="shared" si="4"/>
        <v>0</v>
      </c>
      <c r="J35" s="57"/>
      <c r="K35" s="57"/>
      <c r="L35" s="57"/>
      <c r="M35" s="57">
        <f t="shared" si="5"/>
        <v>0</v>
      </c>
      <c r="N35" s="212">
        <f t="shared" ref="N35:O35" si="34">C35</f>
        <v>45865</v>
      </c>
      <c r="O35" s="204" t="str">
        <f t="shared" si="34"/>
        <v>dom.</v>
      </c>
      <c r="P35" s="283">
        <v>22500.0</v>
      </c>
      <c r="Q35" s="283">
        <v>24876.39</v>
      </c>
      <c r="R35" s="51">
        <f t="shared" si="7"/>
        <v>2376.39</v>
      </c>
      <c r="S35" s="214">
        <v>0.0</v>
      </c>
      <c r="T35" s="211">
        <f t="shared" si="8"/>
        <v>0</v>
      </c>
      <c r="U35" s="214">
        <v>0.0</v>
      </c>
      <c r="V35" s="214">
        <v>0.0</v>
      </c>
      <c r="W35" s="214">
        <v>0.0</v>
      </c>
      <c r="X35" s="57">
        <f t="shared" si="9"/>
        <v>0</v>
      </c>
      <c r="Y35" s="264">
        <f>AA35-AB35</f>
        <v>-0.1052631579</v>
      </c>
      <c r="Z35" s="98"/>
      <c r="AA35" s="99">
        <f>AA34/AA18</f>
        <v>0.8947368421</v>
      </c>
      <c r="AB35" s="181">
        <f>31/31</f>
        <v>1</v>
      </c>
      <c r="AC35" s="100">
        <f>AC34/AC18</f>
        <v>0</v>
      </c>
      <c r="AD35" s="264">
        <f>AC35-AB35</f>
        <v>-1</v>
      </c>
    </row>
    <row r="36" ht="15.75" customHeight="1">
      <c r="C36" s="207">
        <v>45866.0</v>
      </c>
      <c r="D36" s="208" t="str">
        <f t="shared" si="2"/>
        <v>seg.</v>
      </c>
      <c r="E36" s="282">
        <v>5000.0</v>
      </c>
      <c r="F36" s="282">
        <v>5035.7</v>
      </c>
      <c r="G36" s="51">
        <f t="shared" si="3"/>
        <v>35.7</v>
      </c>
      <c r="H36" s="210">
        <v>0.0</v>
      </c>
      <c r="I36" s="211">
        <f t="shared" si="4"/>
        <v>0</v>
      </c>
      <c r="J36" s="57"/>
      <c r="K36" s="57"/>
      <c r="L36" s="57"/>
      <c r="M36" s="57">
        <f t="shared" si="5"/>
        <v>0</v>
      </c>
      <c r="N36" s="212">
        <f t="shared" ref="N36:O36" si="35">C36</f>
        <v>45866</v>
      </c>
      <c r="O36" s="204" t="str">
        <f t="shared" si="35"/>
        <v>seg.</v>
      </c>
      <c r="P36" s="283">
        <v>4600.0</v>
      </c>
      <c r="Q36" s="283">
        <v>7208.759999999999</v>
      </c>
      <c r="R36" s="51">
        <f t="shared" si="7"/>
        <v>2608.76</v>
      </c>
      <c r="S36" s="214">
        <v>0.0</v>
      </c>
      <c r="T36" s="211">
        <f t="shared" si="8"/>
        <v>0</v>
      </c>
      <c r="U36" s="214">
        <v>0.0</v>
      </c>
      <c r="V36" s="214">
        <v>0.0</v>
      </c>
      <c r="W36" s="214">
        <v>0.0</v>
      </c>
      <c r="X36" s="57">
        <f t="shared" si="9"/>
        <v>0</v>
      </c>
      <c r="Z36" s="98" t="s">
        <v>76</v>
      </c>
      <c r="AA36" s="104">
        <f>AA18-AA34</f>
        <v>40000</v>
      </c>
      <c r="AB36" s="99"/>
      <c r="AC36" s="106">
        <f>AC18-AC34</f>
        <v>340000</v>
      </c>
    </row>
    <row r="37" ht="15.75" customHeight="1">
      <c r="C37" s="207">
        <v>45867.0</v>
      </c>
      <c r="D37" s="208" t="str">
        <f t="shared" si="2"/>
        <v>ter.</v>
      </c>
      <c r="E37" s="282">
        <v>6000.0</v>
      </c>
      <c r="F37" s="282">
        <v>7834.0</v>
      </c>
      <c r="G37" s="51">
        <f t="shared" si="3"/>
        <v>1834</v>
      </c>
      <c r="H37" s="210">
        <v>0.0</v>
      </c>
      <c r="I37" s="211">
        <f t="shared" si="4"/>
        <v>0</v>
      </c>
      <c r="J37" s="57"/>
      <c r="K37" s="57"/>
      <c r="L37" s="57"/>
      <c r="M37" s="57">
        <f t="shared" si="5"/>
        <v>0</v>
      </c>
      <c r="N37" s="212">
        <f t="shared" ref="N37:O37" si="36">C37</f>
        <v>45867</v>
      </c>
      <c r="O37" s="204" t="str">
        <f t="shared" si="36"/>
        <v>ter.</v>
      </c>
      <c r="P37" s="283">
        <v>5000.0</v>
      </c>
      <c r="Q37" s="283">
        <v>5972.82</v>
      </c>
      <c r="R37" s="51">
        <f t="shared" si="7"/>
        <v>972.82</v>
      </c>
      <c r="S37" s="214">
        <v>0.0</v>
      </c>
      <c r="T37" s="211">
        <f t="shared" si="8"/>
        <v>0</v>
      </c>
      <c r="U37" s="214">
        <v>0.0</v>
      </c>
      <c r="V37" s="214">
        <v>0.0</v>
      </c>
      <c r="W37" s="214">
        <v>0.0</v>
      </c>
      <c r="X37" s="57">
        <f t="shared" si="9"/>
        <v>0</v>
      </c>
      <c r="Z37" s="110"/>
      <c r="AA37" s="112">
        <f>AA36/AA18</f>
        <v>0.1052631579</v>
      </c>
      <c r="AB37" s="112"/>
      <c r="AC37" s="113">
        <f>AC36/AC18</f>
        <v>1</v>
      </c>
    </row>
    <row r="38" ht="15.75" customHeight="1">
      <c r="C38" s="207">
        <v>45868.0</v>
      </c>
      <c r="D38" s="208" t="str">
        <f t="shared" si="2"/>
        <v>qua.</v>
      </c>
      <c r="E38" s="282">
        <v>10000.0</v>
      </c>
      <c r="F38" s="282">
        <v>13207.55</v>
      </c>
      <c r="G38" s="51">
        <f t="shared" si="3"/>
        <v>3207.55</v>
      </c>
      <c r="H38" s="210">
        <v>0.0</v>
      </c>
      <c r="I38" s="211">
        <f t="shared" si="4"/>
        <v>0</v>
      </c>
      <c r="J38" s="57"/>
      <c r="K38" s="57"/>
      <c r="L38" s="57"/>
      <c r="M38" s="57">
        <f t="shared" si="5"/>
        <v>0</v>
      </c>
      <c r="N38" s="212">
        <f t="shared" ref="N38:O38" si="37">C38</f>
        <v>45868</v>
      </c>
      <c r="O38" s="204" t="str">
        <f t="shared" si="37"/>
        <v>qua.</v>
      </c>
      <c r="P38" s="283">
        <v>5500.0</v>
      </c>
      <c r="Q38" s="283">
        <v>8245.95</v>
      </c>
      <c r="R38" s="51">
        <f t="shared" si="7"/>
        <v>2745.95</v>
      </c>
      <c r="S38" s="214">
        <v>0.0</v>
      </c>
      <c r="T38" s="211">
        <f t="shared" si="8"/>
        <v>0</v>
      </c>
      <c r="U38" s="214">
        <v>0.0</v>
      </c>
      <c r="V38" s="214">
        <v>0.0</v>
      </c>
      <c r="W38" s="214">
        <v>0.0</v>
      </c>
      <c r="X38" s="57">
        <f t="shared" si="9"/>
        <v>0</v>
      </c>
    </row>
    <row r="39" ht="15.75" customHeight="1">
      <c r="C39" s="207">
        <v>45869.0</v>
      </c>
      <c r="D39" s="208" t="str">
        <f t="shared" si="2"/>
        <v>qui.</v>
      </c>
      <c r="E39" s="282">
        <v>11000.0</v>
      </c>
      <c r="F39" s="282">
        <v>9379.08</v>
      </c>
      <c r="G39" s="51">
        <f t="shared" si="3"/>
        <v>-1620.92</v>
      </c>
      <c r="H39" s="210">
        <v>0.0</v>
      </c>
      <c r="I39" s="211">
        <f t="shared" si="4"/>
        <v>0</v>
      </c>
      <c r="J39" s="57"/>
      <c r="K39" s="57"/>
      <c r="L39" s="57"/>
      <c r="M39" s="57">
        <f t="shared" si="5"/>
        <v>0</v>
      </c>
      <c r="N39" s="212">
        <f t="shared" ref="N39:O39" si="38">C39</f>
        <v>45869</v>
      </c>
      <c r="O39" s="204" t="str">
        <f t="shared" si="38"/>
        <v>qui.</v>
      </c>
      <c r="P39" s="283">
        <v>11500.0</v>
      </c>
      <c r="Q39" s="283">
        <v>7530.29</v>
      </c>
      <c r="R39" s="51">
        <f t="shared" si="7"/>
        <v>-3969.71</v>
      </c>
      <c r="S39" s="217">
        <v>0.0</v>
      </c>
      <c r="T39" s="211">
        <f t="shared" si="8"/>
        <v>0</v>
      </c>
      <c r="U39" s="214">
        <v>0.0</v>
      </c>
      <c r="V39" s="214">
        <v>0.0</v>
      </c>
      <c r="W39" s="214">
        <v>0.0</v>
      </c>
      <c r="X39" s="57">
        <f t="shared" si="9"/>
        <v>0</v>
      </c>
    </row>
    <row r="40" ht="15.75" customHeight="1">
      <c r="C40" s="218"/>
      <c r="D40" s="218"/>
      <c r="E40" s="219">
        <f t="shared" ref="E40:G40" si="39">SUM(E9:E39)</f>
        <v>380000</v>
      </c>
      <c r="F40" s="219">
        <f t="shared" si="39"/>
        <v>354486.8</v>
      </c>
      <c r="G40" s="105">
        <f t="shared" si="39"/>
        <v>-25513.2</v>
      </c>
      <c r="H40" s="105"/>
      <c r="I40" s="105"/>
      <c r="J40" s="105">
        <f t="shared" ref="J40:M40" si="40">SUM(J9:J39)</f>
        <v>0</v>
      </c>
      <c r="K40" s="105">
        <f t="shared" si="40"/>
        <v>0</v>
      </c>
      <c r="L40" s="105">
        <f t="shared" si="40"/>
        <v>0</v>
      </c>
      <c r="M40" s="105">
        <f t="shared" si="40"/>
        <v>0</v>
      </c>
      <c r="N40" s="286"/>
      <c r="O40" s="287"/>
      <c r="P40" s="222">
        <f>SUM(P9:P39)</f>
        <v>340000</v>
      </c>
      <c r="Q40" s="222">
        <f>SUM(Q9:Q39)-12-24</f>
        <v>328274.7</v>
      </c>
      <c r="R40" s="105">
        <f t="shared" ref="R40:S40" si="41">SUM(R9:R39)</f>
        <v>-11689.3</v>
      </c>
      <c r="S40" s="223">
        <f t="shared" si="41"/>
        <v>0</v>
      </c>
      <c r="T40" s="224"/>
      <c r="U40" s="223">
        <f t="shared" ref="U40:X40" si="42">SUM(U9:U39)</f>
        <v>0</v>
      </c>
      <c r="V40" s="223">
        <f t="shared" si="42"/>
        <v>0</v>
      </c>
      <c r="W40" s="223">
        <f t="shared" si="42"/>
        <v>0</v>
      </c>
      <c r="X40" s="223">
        <f t="shared" si="42"/>
        <v>0</v>
      </c>
    </row>
    <row r="41" ht="15.75" customHeight="1">
      <c r="D41" s="61"/>
      <c r="E41" s="61"/>
      <c r="F41" s="225"/>
      <c r="G41" s="114"/>
      <c r="H41" s="226"/>
      <c r="I41" s="226"/>
      <c r="N41" s="61"/>
      <c r="P41" s="61"/>
      <c r="Q41" s="275"/>
      <c r="R41" s="114"/>
      <c r="S41" s="199"/>
      <c r="T41" s="200"/>
    </row>
    <row r="42" ht="15.75" customHeight="1"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200"/>
    </row>
    <row r="43" ht="15.75" customHeight="1">
      <c r="C43" s="2"/>
      <c r="D43" s="2"/>
      <c r="E43" s="115" t="s">
        <v>77</v>
      </c>
      <c r="F43" s="118">
        <f>E40+G40</f>
        <v>354486.8</v>
      </c>
      <c r="P43" s="115" t="s">
        <v>77</v>
      </c>
      <c r="Q43" s="118">
        <f>P40+R40</f>
        <v>328310.7</v>
      </c>
      <c r="S43" s="199"/>
      <c r="T43" s="200"/>
    </row>
    <row r="44" ht="15.75" customHeight="1">
      <c r="C44" s="122" t="s">
        <v>29</v>
      </c>
      <c r="D44" s="124">
        <f>E40</f>
        <v>380000</v>
      </c>
      <c r="E44" s="2"/>
      <c r="F44" s="2"/>
      <c r="N44" s="126" t="s">
        <v>29</v>
      </c>
      <c r="O44" s="124">
        <f>P40</f>
        <v>340000</v>
      </c>
      <c r="P44" s="2"/>
      <c r="Q44" s="2"/>
      <c r="S44" s="199"/>
      <c r="T44" s="200"/>
    </row>
    <row r="45" ht="15.75" customHeight="1">
      <c r="C45" s="61"/>
      <c r="D45" s="175"/>
      <c r="E45" s="61"/>
      <c r="F45" s="61"/>
      <c r="N45" s="175"/>
      <c r="O45" s="61"/>
      <c r="S45" s="199"/>
      <c r="T45" s="200"/>
    </row>
    <row r="46" ht="16.5" customHeight="1">
      <c r="C46" s="61"/>
      <c r="D46" s="175"/>
      <c r="E46" s="61"/>
      <c r="F46" s="61"/>
      <c r="N46" s="175"/>
      <c r="O46" s="61"/>
      <c r="S46" s="199"/>
      <c r="T46" s="200"/>
    </row>
  </sheetData>
  <mergeCells count="4">
    <mergeCell ref="C4:M6"/>
    <mergeCell ref="N4:X6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X40">
    <cfRule type="cellIs" dxfId="0" priority="7" operator="greaterThanOrEqual">
      <formula>0</formula>
    </cfRule>
  </conditionalFormatting>
  <conditionalFormatting sqref="S40:X40">
    <cfRule type="cellIs" dxfId="1" priority="8" operator="lessThan">
      <formula>0</formula>
    </cfRule>
  </conditionalFormatting>
  <conditionalFormatting sqref="S40:X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13.33"/>
    <col customWidth="1" min="3" max="3" width="13.89"/>
    <col customWidth="1" min="4" max="4" width="16.56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3.78"/>
    <col customWidth="1" min="15" max="15" width="15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4" width="14.78"/>
    <col customWidth="1" min="25" max="25" width="11.33"/>
    <col customWidth="1" min="26" max="26" width="15.78"/>
    <col customWidth="1" min="27" max="27" width="15.44"/>
    <col customWidth="1" min="28" max="28" width="16.0"/>
    <col customWidth="1" min="29" max="29" width="15.44"/>
    <col customWidth="1" min="30" max="30" width="12.0"/>
  </cols>
  <sheetData>
    <row r="1" ht="15.75" customHeight="1">
      <c r="E1" s="61"/>
      <c r="H1" s="61"/>
      <c r="I1" s="61"/>
      <c r="S1" s="199"/>
      <c r="T1" s="200"/>
    </row>
    <row r="2" ht="15.75" customHeight="1">
      <c r="E2" s="61"/>
      <c r="H2" s="61"/>
      <c r="I2" s="61"/>
      <c r="S2" s="199"/>
      <c r="T2" s="200"/>
    </row>
    <row r="3" ht="15.75" customHeight="1">
      <c r="C3" s="61"/>
      <c r="F3" s="75"/>
      <c r="G3" s="2"/>
      <c r="N3" s="2"/>
      <c r="O3" s="2"/>
      <c r="P3" s="2"/>
      <c r="Q3" s="2"/>
      <c r="S3" s="199"/>
      <c r="T3" s="200"/>
    </row>
    <row r="4" ht="15.75" customHeight="1"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C5" s="31"/>
      <c r="M5" s="32"/>
      <c r="N5" s="31"/>
      <c r="X5" s="32"/>
    </row>
    <row r="6" ht="15.75" customHeight="1"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</row>
    <row r="7" ht="15.75" customHeight="1"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</row>
    <row r="8" ht="15.75" customHeight="1">
      <c r="A8" s="175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206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</row>
    <row r="9" ht="15.75" customHeight="1">
      <c r="A9" s="61"/>
      <c r="B9" s="78">
        <f t="shared" ref="B9:B11" si="2">AVERAGE(F9,F16,F23,F30,F37)</f>
        <v>13200.012</v>
      </c>
      <c r="C9" s="207">
        <v>45870.0</v>
      </c>
      <c r="D9" s="208" t="str">
        <f t="shared" ref="D9:D39" si="3">TEXT(C9,"ddd")</f>
        <v>sex.</v>
      </c>
      <c r="E9" s="282">
        <v>14000.0</v>
      </c>
      <c r="F9" s="282">
        <v>15430.9</v>
      </c>
      <c r="G9" s="51">
        <f t="shared" ref="G9:G39" si="4">F9-E9</f>
        <v>1430.9</v>
      </c>
      <c r="H9" s="210">
        <v>0.0</v>
      </c>
      <c r="I9" s="211">
        <f t="shared" ref="I9:I39" si="5">IF(H9=0,0,F9/H9)</f>
        <v>0</v>
      </c>
      <c r="J9" s="57"/>
      <c r="K9" s="57"/>
      <c r="L9" s="57"/>
      <c r="M9" s="57">
        <f t="shared" ref="M9:M39" si="6">J9+K9+L9</f>
        <v>0</v>
      </c>
      <c r="N9" s="212">
        <f t="shared" ref="N9:O9" si="1">C9</f>
        <v>45870</v>
      </c>
      <c r="O9" s="204" t="str">
        <f t="shared" si="1"/>
        <v>sex.</v>
      </c>
      <c r="P9" s="283">
        <v>12500.0</v>
      </c>
      <c r="Q9" s="283">
        <v>15860.810000000001</v>
      </c>
      <c r="R9" s="51">
        <f t="shared" ref="R9:R39" si="8">Q9-P9</f>
        <v>3360.81</v>
      </c>
      <c r="S9" s="214">
        <v>0.0</v>
      </c>
      <c r="T9" s="211">
        <f t="shared" ref="T9:T39" si="9">IF(S9=0,0,Q9/S9)</f>
        <v>0</v>
      </c>
      <c r="U9" s="214">
        <v>0.0</v>
      </c>
      <c r="V9" s="214">
        <v>0.0</v>
      </c>
      <c r="W9" s="214">
        <v>0.0</v>
      </c>
      <c r="X9" s="57">
        <f t="shared" ref="X9:X39" si="10">U9+V9+W9</f>
        <v>0</v>
      </c>
    </row>
    <row r="10" ht="15.75" customHeight="1">
      <c r="A10" s="61"/>
      <c r="B10" s="78">
        <f t="shared" si="2"/>
        <v>18032.356</v>
      </c>
      <c r="C10" s="207">
        <v>45871.0</v>
      </c>
      <c r="D10" s="208" t="str">
        <f t="shared" si="3"/>
        <v>sáb.</v>
      </c>
      <c r="E10" s="282">
        <v>18000.0</v>
      </c>
      <c r="F10" s="282">
        <v>14818.5</v>
      </c>
      <c r="G10" s="51">
        <f t="shared" si="4"/>
        <v>-3181.5</v>
      </c>
      <c r="H10" s="210">
        <v>0.0</v>
      </c>
      <c r="I10" s="211">
        <f t="shared" si="5"/>
        <v>0</v>
      </c>
      <c r="J10" s="57"/>
      <c r="K10" s="57"/>
      <c r="L10" s="57"/>
      <c r="M10" s="57">
        <f t="shared" si="6"/>
        <v>0</v>
      </c>
      <c r="N10" s="212">
        <f t="shared" ref="N10:O10" si="7">C10</f>
        <v>45871</v>
      </c>
      <c r="O10" s="204" t="str">
        <f t="shared" si="7"/>
        <v>sáb.</v>
      </c>
      <c r="P10" s="283">
        <v>14700.0</v>
      </c>
      <c r="Q10" s="283">
        <v>16896.13</v>
      </c>
      <c r="R10" s="51">
        <f t="shared" si="8"/>
        <v>2196.13</v>
      </c>
      <c r="S10" s="214">
        <v>0.0</v>
      </c>
      <c r="T10" s="211">
        <f t="shared" si="9"/>
        <v>0</v>
      </c>
      <c r="U10" s="214">
        <v>0.0</v>
      </c>
      <c r="V10" s="214">
        <v>0.0</v>
      </c>
      <c r="W10" s="214">
        <v>0.0</v>
      </c>
      <c r="X10" s="57">
        <f t="shared" si="10"/>
        <v>0</v>
      </c>
    </row>
    <row r="11" ht="15.75" customHeight="1">
      <c r="B11" s="78">
        <f t="shared" si="2"/>
        <v>22191.438</v>
      </c>
      <c r="C11" s="207">
        <v>45872.0</v>
      </c>
      <c r="D11" s="208" t="str">
        <f t="shared" si="3"/>
        <v>dom.</v>
      </c>
      <c r="E11" s="282">
        <v>20500.0</v>
      </c>
      <c r="F11" s="282">
        <v>21067.41</v>
      </c>
      <c r="G11" s="51">
        <f t="shared" si="4"/>
        <v>567.41</v>
      </c>
      <c r="H11" s="210">
        <v>0.0</v>
      </c>
      <c r="I11" s="211">
        <f t="shared" si="5"/>
        <v>0</v>
      </c>
      <c r="J11" s="57"/>
      <c r="K11" s="57"/>
      <c r="L11" s="57"/>
      <c r="M11" s="57">
        <f t="shared" si="6"/>
        <v>0</v>
      </c>
      <c r="N11" s="212">
        <f t="shared" ref="N11:O11" si="11">C11</f>
        <v>45872</v>
      </c>
      <c r="O11" s="204" t="str">
        <f t="shared" si="11"/>
        <v>dom.</v>
      </c>
      <c r="P11" s="283">
        <v>22000.0</v>
      </c>
      <c r="Q11" s="283">
        <v>24147.32</v>
      </c>
      <c r="R11" s="51">
        <f t="shared" si="8"/>
        <v>2147.32</v>
      </c>
      <c r="S11" s="214">
        <v>0.0</v>
      </c>
      <c r="T11" s="211">
        <f t="shared" si="9"/>
        <v>0</v>
      </c>
      <c r="U11" s="214">
        <v>0.0</v>
      </c>
      <c r="V11" s="214">
        <v>0.0</v>
      </c>
      <c r="W11" s="214">
        <v>0.0</v>
      </c>
      <c r="X11" s="57">
        <f t="shared" si="10"/>
        <v>0</v>
      </c>
    </row>
    <row r="12" ht="15.75" customHeight="1">
      <c r="B12" s="78">
        <f t="shared" ref="B12:B15" si="13">AVERAGE(F12,F19,F26,F33)</f>
        <v>5323.65</v>
      </c>
      <c r="C12" s="207">
        <v>45873.0</v>
      </c>
      <c r="D12" s="208" t="str">
        <f t="shared" si="3"/>
        <v>seg.</v>
      </c>
      <c r="E12" s="282">
        <v>4500.0</v>
      </c>
      <c r="F12" s="282">
        <v>4558.1</v>
      </c>
      <c r="G12" s="51">
        <f t="shared" si="4"/>
        <v>58.1</v>
      </c>
      <c r="H12" s="210">
        <v>0.0</v>
      </c>
      <c r="I12" s="211">
        <f t="shared" si="5"/>
        <v>0</v>
      </c>
      <c r="J12" s="57"/>
      <c r="K12" s="57"/>
      <c r="L12" s="57"/>
      <c r="M12" s="57">
        <f t="shared" si="6"/>
        <v>0</v>
      </c>
      <c r="N12" s="212">
        <f t="shared" ref="N12:O12" si="12">C12</f>
        <v>45873</v>
      </c>
      <c r="O12" s="204" t="str">
        <f t="shared" si="12"/>
        <v>seg.</v>
      </c>
      <c r="P12" s="283">
        <v>5000.0</v>
      </c>
      <c r="Q12" s="283">
        <v>2569.87</v>
      </c>
      <c r="R12" s="51">
        <f t="shared" si="8"/>
        <v>-2430.13</v>
      </c>
      <c r="S12" s="214">
        <v>0.0</v>
      </c>
      <c r="T12" s="211">
        <f t="shared" si="9"/>
        <v>0</v>
      </c>
      <c r="U12" s="214">
        <v>0.0</v>
      </c>
      <c r="V12" s="214">
        <v>0.0</v>
      </c>
      <c r="W12" s="214">
        <v>0.0</v>
      </c>
      <c r="X12" s="57">
        <f t="shared" si="10"/>
        <v>0</v>
      </c>
    </row>
    <row r="13" ht="15.75" customHeight="1">
      <c r="B13" s="78">
        <f t="shared" si="13"/>
        <v>8150.3325</v>
      </c>
      <c r="C13" s="207">
        <v>45874.0</v>
      </c>
      <c r="D13" s="208" t="str">
        <f t="shared" si="3"/>
        <v>ter.</v>
      </c>
      <c r="E13" s="282">
        <v>6500.0</v>
      </c>
      <c r="F13" s="282">
        <v>8903.4</v>
      </c>
      <c r="G13" s="51">
        <f t="shared" si="4"/>
        <v>2403.4</v>
      </c>
      <c r="H13" s="210">
        <v>0.0</v>
      </c>
      <c r="I13" s="211">
        <f t="shared" si="5"/>
        <v>0</v>
      </c>
      <c r="J13" s="57"/>
      <c r="K13" s="57"/>
      <c r="L13" s="57"/>
      <c r="M13" s="57">
        <f t="shared" si="6"/>
        <v>0</v>
      </c>
      <c r="N13" s="212">
        <f t="shared" ref="N13:O13" si="14">C13</f>
        <v>45874</v>
      </c>
      <c r="O13" s="204" t="str">
        <f t="shared" si="14"/>
        <v>ter.</v>
      </c>
      <c r="P13" s="283">
        <v>6000.0</v>
      </c>
      <c r="Q13" s="283">
        <v>4965.72</v>
      </c>
      <c r="R13" s="51">
        <f t="shared" si="8"/>
        <v>-1034.28</v>
      </c>
      <c r="S13" s="214">
        <v>0.0</v>
      </c>
      <c r="T13" s="211">
        <f t="shared" si="9"/>
        <v>0</v>
      </c>
      <c r="U13" s="214">
        <v>0.0</v>
      </c>
      <c r="V13" s="214">
        <v>0.0</v>
      </c>
      <c r="W13" s="214">
        <v>0.0</v>
      </c>
      <c r="X13" s="57">
        <f t="shared" si="10"/>
        <v>0</v>
      </c>
    </row>
    <row r="14" ht="15.75" customHeight="1">
      <c r="B14" s="78">
        <f t="shared" si="13"/>
        <v>6078.475</v>
      </c>
      <c r="C14" s="207">
        <v>45875.0</v>
      </c>
      <c r="D14" s="208" t="str">
        <f t="shared" si="3"/>
        <v>qua.</v>
      </c>
      <c r="E14" s="282">
        <v>7000.0</v>
      </c>
      <c r="F14" s="282">
        <v>5601.5</v>
      </c>
      <c r="G14" s="51">
        <f t="shared" si="4"/>
        <v>-1398.5</v>
      </c>
      <c r="H14" s="210">
        <v>0.0</v>
      </c>
      <c r="I14" s="211">
        <f t="shared" si="5"/>
        <v>0</v>
      </c>
      <c r="J14" s="57"/>
      <c r="K14" s="57"/>
      <c r="L14" s="57"/>
      <c r="M14" s="57">
        <f t="shared" si="6"/>
        <v>0</v>
      </c>
      <c r="N14" s="212">
        <f t="shared" ref="N14:O14" si="15">C14</f>
        <v>45875</v>
      </c>
      <c r="O14" s="204" t="str">
        <f t="shared" si="15"/>
        <v>qua.</v>
      </c>
      <c r="P14" s="283">
        <v>7000.0</v>
      </c>
      <c r="Q14" s="283">
        <v>6779.09</v>
      </c>
      <c r="R14" s="51">
        <f t="shared" si="8"/>
        <v>-220.91</v>
      </c>
      <c r="S14" s="214">
        <v>0.0</v>
      </c>
      <c r="T14" s="211">
        <f t="shared" si="9"/>
        <v>0</v>
      </c>
      <c r="U14" s="214">
        <v>0.0</v>
      </c>
      <c r="V14" s="214">
        <v>0.0</v>
      </c>
      <c r="W14" s="214">
        <v>0.0</v>
      </c>
      <c r="X14" s="57">
        <f t="shared" si="10"/>
        <v>0</v>
      </c>
    </row>
    <row r="15" ht="15.75" customHeight="1">
      <c r="B15" s="78">
        <f t="shared" si="13"/>
        <v>7703.5325</v>
      </c>
      <c r="C15" s="207">
        <v>45876.0</v>
      </c>
      <c r="D15" s="208" t="str">
        <f t="shared" si="3"/>
        <v>qui.</v>
      </c>
      <c r="E15" s="282">
        <v>7500.0</v>
      </c>
      <c r="F15" s="282">
        <v>4671.0</v>
      </c>
      <c r="G15" s="51">
        <f t="shared" si="4"/>
        <v>-2829</v>
      </c>
      <c r="H15" s="210">
        <v>0.0</v>
      </c>
      <c r="I15" s="211">
        <f t="shared" si="5"/>
        <v>0</v>
      </c>
      <c r="J15" s="57"/>
      <c r="K15" s="57"/>
      <c r="L15" s="57"/>
      <c r="M15" s="57">
        <f t="shared" si="6"/>
        <v>0</v>
      </c>
      <c r="N15" s="212">
        <f t="shared" ref="N15:O15" si="16">C15</f>
        <v>45876</v>
      </c>
      <c r="O15" s="204" t="str">
        <f t="shared" si="16"/>
        <v>qui.</v>
      </c>
      <c r="P15" s="283">
        <v>8000.0</v>
      </c>
      <c r="Q15" s="283">
        <v>7020.370000000001</v>
      </c>
      <c r="R15" s="51">
        <f t="shared" si="8"/>
        <v>-979.63</v>
      </c>
      <c r="S15" s="214">
        <v>0.0</v>
      </c>
      <c r="T15" s="211">
        <f t="shared" si="9"/>
        <v>0</v>
      </c>
      <c r="U15" s="214">
        <v>0.0</v>
      </c>
      <c r="V15" s="214">
        <v>0.0</v>
      </c>
      <c r="W15" s="214">
        <v>0.0</v>
      </c>
      <c r="X15" s="57">
        <f t="shared" si="10"/>
        <v>0</v>
      </c>
    </row>
    <row r="16" ht="15.75" customHeight="1">
      <c r="C16" s="207">
        <v>45877.0</v>
      </c>
      <c r="D16" s="208" t="str">
        <f t="shared" si="3"/>
        <v>sex.</v>
      </c>
      <c r="E16" s="282">
        <v>14000.0</v>
      </c>
      <c r="F16" s="282">
        <v>12298.76</v>
      </c>
      <c r="G16" s="51">
        <f t="shared" si="4"/>
        <v>-1701.24</v>
      </c>
      <c r="H16" s="210">
        <v>0.0</v>
      </c>
      <c r="I16" s="211">
        <f t="shared" si="5"/>
        <v>0</v>
      </c>
      <c r="J16" s="57"/>
      <c r="K16" s="57"/>
      <c r="L16" s="57"/>
      <c r="M16" s="57">
        <f t="shared" si="6"/>
        <v>0</v>
      </c>
      <c r="N16" s="212">
        <f t="shared" ref="N16:O16" si="17">C16</f>
        <v>45877</v>
      </c>
      <c r="O16" s="204" t="str">
        <f t="shared" si="17"/>
        <v>sex.</v>
      </c>
      <c r="P16" s="283">
        <v>12500.0</v>
      </c>
      <c r="Q16" s="283">
        <v>15244.740000000002</v>
      </c>
      <c r="R16" s="51">
        <f t="shared" si="8"/>
        <v>2744.74</v>
      </c>
      <c r="S16" s="214">
        <v>0.0</v>
      </c>
      <c r="T16" s="211">
        <f t="shared" si="9"/>
        <v>0</v>
      </c>
      <c r="U16" s="214">
        <v>0.0</v>
      </c>
      <c r="V16" s="214">
        <v>0.0</v>
      </c>
      <c r="W16" s="214">
        <v>0.0</v>
      </c>
      <c r="X16" s="57">
        <f t="shared" si="10"/>
        <v>0</v>
      </c>
    </row>
    <row r="17" ht="15.75" customHeight="1">
      <c r="C17" s="207">
        <v>45878.0</v>
      </c>
      <c r="D17" s="208" t="str">
        <f t="shared" si="3"/>
        <v>sáb.</v>
      </c>
      <c r="E17" s="282">
        <v>18000.0</v>
      </c>
      <c r="F17" s="282">
        <v>15082.31</v>
      </c>
      <c r="G17" s="51">
        <f t="shared" si="4"/>
        <v>-2917.69</v>
      </c>
      <c r="H17" s="210">
        <v>0.0</v>
      </c>
      <c r="I17" s="211">
        <f t="shared" si="5"/>
        <v>0</v>
      </c>
      <c r="J17" s="57"/>
      <c r="K17" s="57"/>
      <c r="L17" s="57"/>
      <c r="M17" s="57">
        <f t="shared" si="6"/>
        <v>0</v>
      </c>
      <c r="N17" s="212">
        <f t="shared" ref="N17:O17" si="18">C17</f>
        <v>45878</v>
      </c>
      <c r="O17" s="204" t="str">
        <f t="shared" si="18"/>
        <v>sáb.</v>
      </c>
      <c r="P17" s="283">
        <v>14700.0</v>
      </c>
      <c r="Q17" s="283">
        <v>14045.85</v>
      </c>
      <c r="R17" s="51">
        <f t="shared" si="8"/>
        <v>-654.15</v>
      </c>
      <c r="S17" s="214">
        <v>0.0</v>
      </c>
      <c r="T17" s="211">
        <f t="shared" si="9"/>
        <v>0</v>
      </c>
      <c r="U17" s="214">
        <v>0.0</v>
      </c>
      <c r="V17" s="214">
        <v>0.0</v>
      </c>
      <c r="W17" s="214">
        <v>0.0</v>
      </c>
      <c r="X17" s="57">
        <f t="shared" si="10"/>
        <v>0</v>
      </c>
      <c r="Z17" s="70"/>
      <c r="AA17" s="71" t="s">
        <v>52</v>
      </c>
      <c r="AB17" s="72"/>
      <c r="AC17" s="73" t="s">
        <v>53</v>
      </c>
    </row>
    <row r="18" ht="15.75" customHeight="1">
      <c r="C18" s="207">
        <v>45879.0</v>
      </c>
      <c r="D18" s="208" t="str">
        <f t="shared" si="3"/>
        <v>dom.</v>
      </c>
      <c r="E18" s="282">
        <v>20500.0</v>
      </c>
      <c r="F18" s="282">
        <v>26897.95</v>
      </c>
      <c r="G18" s="51">
        <f t="shared" si="4"/>
        <v>6397.95</v>
      </c>
      <c r="H18" s="210">
        <v>0.0</v>
      </c>
      <c r="I18" s="211">
        <f t="shared" si="5"/>
        <v>0</v>
      </c>
      <c r="J18" s="57"/>
      <c r="K18" s="57"/>
      <c r="L18" s="57"/>
      <c r="M18" s="57">
        <f t="shared" si="6"/>
        <v>0</v>
      </c>
      <c r="N18" s="212">
        <f t="shared" ref="N18:O18" si="19">C18</f>
        <v>45879</v>
      </c>
      <c r="O18" s="204" t="str">
        <f t="shared" si="19"/>
        <v>dom.</v>
      </c>
      <c r="P18" s="283">
        <v>22000.0</v>
      </c>
      <c r="Q18" s="283">
        <v>24925.29</v>
      </c>
      <c r="R18" s="51">
        <f t="shared" si="8"/>
        <v>2925.29</v>
      </c>
      <c r="S18" s="214">
        <v>0.0</v>
      </c>
      <c r="T18" s="211">
        <f t="shared" si="9"/>
        <v>0</v>
      </c>
      <c r="U18" s="214">
        <v>0.0</v>
      </c>
      <c r="V18" s="214">
        <v>0.0</v>
      </c>
      <c r="W18" s="214">
        <v>0.0</v>
      </c>
      <c r="X18" s="57">
        <f t="shared" si="10"/>
        <v>0</v>
      </c>
      <c r="Z18" s="74" t="s">
        <v>29</v>
      </c>
      <c r="AA18" s="75">
        <v>365000.0</v>
      </c>
      <c r="AB18" s="2" t="s">
        <v>29</v>
      </c>
      <c r="AC18" s="76">
        <v>350000.0</v>
      </c>
    </row>
    <row r="19" ht="15.75" customHeight="1">
      <c r="C19" s="207">
        <v>45880.0</v>
      </c>
      <c r="D19" s="208" t="str">
        <f t="shared" si="3"/>
        <v>seg.</v>
      </c>
      <c r="E19" s="282">
        <v>4500.0</v>
      </c>
      <c r="F19" s="282">
        <v>5180.75</v>
      </c>
      <c r="G19" s="51">
        <f t="shared" si="4"/>
        <v>680.75</v>
      </c>
      <c r="H19" s="210">
        <v>0.0</v>
      </c>
      <c r="I19" s="211">
        <f t="shared" si="5"/>
        <v>0</v>
      </c>
      <c r="J19" s="57"/>
      <c r="K19" s="57"/>
      <c r="L19" s="57"/>
      <c r="M19" s="57">
        <f t="shared" si="6"/>
        <v>0</v>
      </c>
      <c r="N19" s="212">
        <f t="shared" ref="N19:O19" si="20">C19</f>
        <v>45880</v>
      </c>
      <c r="O19" s="204" t="str">
        <f t="shared" si="20"/>
        <v>seg.</v>
      </c>
      <c r="P19" s="283">
        <v>5000.0</v>
      </c>
      <c r="Q19" s="283">
        <v>3716.4100000000003</v>
      </c>
      <c r="R19" s="51">
        <f t="shared" si="8"/>
        <v>-1283.59</v>
      </c>
      <c r="S19" s="214">
        <v>0.0</v>
      </c>
      <c r="T19" s="211">
        <f t="shared" si="9"/>
        <v>0</v>
      </c>
      <c r="U19" s="214">
        <v>0.0</v>
      </c>
      <c r="V19" s="214">
        <v>0.0</v>
      </c>
      <c r="W19" s="214">
        <v>0.0</v>
      </c>
      <c r="X19" s="57">
        <f t="shared" si="10"/>
        <v>0</v>
      </c>
      <c r="Z19" s="74"/>
      <c r="AA19" s="2"/>
      <c r="AB19" s="2"/>
      <c r="AC19" s="77"/>
    </row>
    <row r="20" ht="15.75" customHeight="1">
      <c r="C20" s="207">
        <v>45881.0</v>
      </c>
      <c r="D20" s="208" t="str">
        <f t="shared" si="3"/>
        <v>ter.</v>
      </c>
      <c r="E20" s="282">
        <v>6500.0</v>
      </c>
      <c r="F20" s="282">
        <v>8869.33</v>
      </c>
      <c r="G20" s="51">
        <f t="shared" si="4"/>
        <v>2369.33</v>
      </c>
      <c r="H20" s="210">
        <v>0.0</v>
      </c>
      <c r="I20" s="211">
        <f t="shared" si="5"/>
        <v>0</v>
      </c>
      <c r="J20" s="57"/>
      <c r="K20" s="57"/>
      <c r="L20" s="57"/>
      <c r="M20" s="57">
        <f t="shared" si="6"/>
        <v>0</v>
      </c>
      <c r="N20" s="212">
        <f t="shared" ref="N20:O20" si="21">C20</f>
        <v>45881</v>
      </c>
      <c r="O20" s="204" t="str">
        <f t="shared" si="21"/>
        <v>ter.</v>
      </c>
      <c r="P20" s="283">
        <v>6000.0</v>
      </c>
      <c r="Q20" s="283">
        <v>4884.71</v>
      </c>
      <c r="R20" s="51">
        <f t="shared" si="8"/>
        <v>-1115.29</v>
      </c>
      <c r="S20" s="214">
        <v>0.0</v>
      </c>
      <c r="T20" s="211">
        <f t="shared" si="9"/>
        <v>0</v>
      </c>
      <c r="U20" s="214">
        <v>0.0</v>
      </c>
      <c r="V20" s="214">
        <v>0.0</v>
      </c>
      <c r="W20" s="214">
        <v>0.0</v>
      </c>
      <c r="X20" s="57">
        <f t="shared" si="10"/>
        <v>0</v>
      </c>
      <c r="Z20" s="74" t="s">
        <v>58</v>
      </c>
      <c r="AA20" s="75">
        <f>SUM(N9:N15)</f>
        <v>321111</v>
      </c>
      <c r="AB20" s="58" t="s">
        <v>58</v>
      </c>
      <c r="AC20" s="76">
        <f>SUM(T9:T15)</f>
        <v>0</v>
      </c>
    </row>
    <row r="21" ht="15.75" customHeight="1">
      <c r="C21" s="207">
        <v>45882.0</v>
      </c>
      <c r="D21" s="208" t="str">
        <f t="shared" si="3"/>
        <v>qua.</v>
      </c>
      <c r="E21" s="282">
        <v>7000.0</v>
      </c>
      <c r="F21" s="282">
        <v>5733.3</v>
      </c>
      <c r="G21" s="51">
        <f t="shared" si="4"/>
        <v>-1266.7</v>
      </c>
      <c r="H21" s="210">
        <v>0.0</v>
      </c>
      <c r="I21" s="211">
        <f t="shared" si="5"/>
        <v>0</v>
      </c>
      <c r="J21" s="57"/>
      <c r="K21" s="57"/>
      <c r="L21" s="57"/>
      <c r="M21" s="57">
        <f t="shared" si="6"/>
        <v>0</v>
      </c>
      <c r="N21" s="212">
        <f t="shared" ref="N21:O21" si="22">C21</f>
        <v>45882</v>
      </c>
      <c r="O21" s="204" t="str">
        <f t="shared" si="22"/>
        <v>qua.</v>
      </c>
      <c r="P21" s="283">
        <v>7000.0</v>
      </c>
      <c r="Q21" s="283">
        <v>4419.3</v>
      </c>
      <c r="R21" s="51">
        <f t="shared" si="8"/>
        <v>-2580.7</v>
      </c>
      <c r="S21" s="214">
        <v>0.0</v>
      </c>
      <c r="T21" s="211">
        <f t="shared" si="9"/>
        <v>0</v>
      </c>
      <c r="U21" s="214">
        <v>0.0</v>
      </c>
      <c r="V21" s="214">
        <v>0.0</v>
      </c>
      <c r="W21" s="214">
        <v>0.0</v>
      </c>
      <c r="X21" s="57">
        <f t="shared" si="10"/>
        <v>0</v>
      </c>
      <c r="Z21" s="74"/>
      <c r="AA21" s="79">
        <f>AA20/AA18</f>
        <v>0.8797561644</v>
      </c>
      <c r="AC21" s="80">
        <f>AC20/AC18</f>
        <v>0</v>
      </c>
      <c r="AD21" s="66"/>
    </row>
    <row r="22" ht="15.75" customHeight="1">
      <c r="C22" s="207">
        <v>45883.0</v>
      </c>
      <c r="D22" s="208" t="str">
        <f t="shared" si="3"/>
        <v>qui.</v>
      </c>
      <c r="E22" s="282">
        <v>7500.0</v>
      </c>
      <c r="F22" s="282">
        <v>6184.3</v>
      </c>
      <c r="G22" s="51">
        <f t="shared" si="4"/>
        <v>-1315.7</v>
      </c>
      <c r="H22" s="210">
        <v>0.0</v>
      </c>
      <c r="I22" s="211">
        <f t="shared" si="5"/>
        <v>0</v>
      </c>
      <c r="J22" s="57"/>
      <c r="K22" s="57"/>
      <c r="L22" s="57"/>
      <c r="M22" s="57">
        <f t="shared" si="6"/>
        <v>0</v>
      </c>
      <c r="N22" s="212">
        <f t="shared" ref="N22:O22" si="23">C22</f>
        <v>45883</v>
      </c>
      <c r="O22" s="204" t="str">
        <f t="shared" si="23"/>
        <v>qui.</v>
      </c>
      <c r="P22" s="283">
        <v>8000.0</v>
      </c>
      <c r="Q22" s="283">
        <v>6377.03</v>
      </c>
      <c r="R22" s="51">
        <f t="shared" si="8"/>
        <v>-1622.97</v>
      </c>
      <c r="S22" s="214">
        <v>0.0</v>
      </c>
      <c r="T22" s="211">
        <f t="shared" si="9"/>
        <v>0</v>
      </c>
      <c r="U22" s="214">
        <v>0.0</v>
      </c>
      <c r="V22" s="214">
        <v>0.0</v>
      </c>
      <c r="W22" s="214">
        <v>0.0</v>
      </c>
      <c r="X22" s="57">
        <f t="shared" si="10"/>
        <v>0</v>
      </c>
      <c r="Z22" s="74"/>
      <c r="AA22" s="81"/>
      <c r="AC22" s="77"/>
    </row>
    <row r="23" ht="15.75" customHeight="1">
      <c r="C23" s="207">
        <v>45884.0</v>
      </c>
      <c r="D23" s="208" t="str">
        <f t="shared" si="3"/>
        <v>sex.</v>
      </c>
      <c r="E23" s="282">
        <v>14000.0</v>
      </c>
      <c r="F23" s="282">
        <v>12941.2</v>
      </c>
      <c r="G23" s="51">
        <f t="shared" si="4"/>
        <v>-1058.8</v>
      </c>
      <c r="H23" s="210">
        <v>0.0</v>
      </c>
      <c r="I23" s="211">
        <f t="shared" si="5"/>
        <v>0</v>
      </c>
      <c r="J23" s="57"/>
      <c r="K23" s="57"/>
      <c r="L23" s="57"/>
      <c r="M23" s="57">
        <f t="shared" si="6"/>
        <v>0</v>
      </c>
      <c r="N23" s="212">
        <f t="shared" ref="N23:O23" si="24">C23</f>
        <v>45884</v>
      </c>
      <c r="O23" s="204" t="str">
        <f t="shared" si="24"/>
        <v>sex.</v>
      </c>
      <c r="P23" s="283">
        <v>12500.0</v>
      </c>
      <c r="Q23" s="283">
        <v>11826.240000000002</v>
      </c>
      <c r="R23" s="51">
        <f t="shared" si="8"/>
        <v>-673.76</v>
      </c>
      <c r="S23" s="214">
        <v>0.0</v>
      </c>
      <c r="T23" s="211">
        <f t="shared" si="9"/>
        <v>0</v>
      </c>
      <c r="U23" s="214">
        <v>0.0</v>
      </c>
      <c r="V23" s="214">
        <v>0.0</v>
      </c>
      <c r="W23" s="214">
        <v>0.0</v>
      </c>
      <c r="X23" s="57">
        <f t="shared" si="10"/>
        <v>0</v>
      </c>
      <c r="Z23" s="74" t="s">
        <v>62</v>
      </c>
      <c r="AA23" s="75">
        <f>SUM(N16:N22)</f>
        <v>321160</v>
      </c>
      <c r="AB23" s="58" t="s">
        <v>62</v>
      </c>
      <c r="AC23" s="76">
        <f>SUM(T16:T22)</f>
        <v>0</v>
      </c>
    </row>
    <row r="24" ht="15.75" customHeight="1">
      <c r="C24" s="207">
        <v>45885.0</v>
      </c>
      <c r="D24" s="208" t="str">
        <f t="shared" si="3"/>
        <v>sáb.</v>
      </c>
      <c r="E24" s="282">
        <v>18000.0</v>
      </c>
      <c r="F24" s="282">
        <v>20179.2</v>
      </c>
      <c r="G24" s="51">
        <f t="shared" si="4"/>
        <v>2179.2</v>
      </c>
      <c r="H24" s="210">
        <v>0.0</v>
      </c>
      <c r="I24" s="211">
        <f t="shared" si="5"/>
        <v>0</v>
      </c>
      <c r="J24" s="57"/>
      <c r="K24" s="57"/>
      <c r="L24" s="57"/>
      <c r="M24" s="57">
        <f t="shared" si="6"/>
        <v>0</v>
      </c>
      <c r="N24" s="212">
        <f t="shared" ref="N24:O24" si="25">C24</f>
        <v>45885</v>
      </c>
      <c r="O24" s="204" t="str">
        <f t="shared" si="25"/>
        <v>sáb.</v>
      </c>
      <c r="P24" s="283">
        <v>14700.0</v>
      </c>
      <c r="Q24" s="283">
        <v>17155.81</v>
      </c>
      <c r="R24" s="51">
        <f t="shared" si="8"/>
        <v>2455.81</v>
      </c>
      <c r="S24" s="214">
        <v>0.0</v>
      </c>
      <c r="T24" s="211">
        <f t="shared" si="9"/>
        <v>0</v>
      </c>
      <c r="U24" s="214">
        <v>0.0</v>
      </c>
      <c r="V24" s="214">
        <v>0.0</v>
      </c>
      <c r="W24" s="214">
        <v>0.0</v>
      </c>
      <c r="X24" s="57">
        <f t="shared" si="10"/>
        <v>0</v>
      </c>
      <c r="Z24" s="74"/>
      <c r="AA24" s="79">
        <f>AA23/AA18</f>
        <v>0.879890411</v>
      </c>
      <c r="AC24" s="80">
        <f>AC23/AC18</f>
        <v>0</v>
      </c>
    </row>
    <row r="25" ht="15.75" customHeight="1">
      <c r="C25" s="207">
        <v>45886.0</v>
      </c>
      <c r="D25" s="208" t="str">
        <f t="shared" si="3"/>
        <v>dom.</v>
      </c>
      <c r="E25" s="282">
        <v>20500.0</v>
      </c>
      <c r="F25" s="282">
        <v>18740.1</v>
      </c>
      <c r="G25" s="51">
        <f t="shared" si="4"/>
        <v>-1759.9</v>
      </c>
      <c r="H25" s="210">
        <v>0.0</v>
      </c>
      <c r="I25" s="211">
        <f t="shared" si="5"/>
        <v>0</v>
      </c>
      <c r="J25" s="57"/>
      <c r="K25" s="57"/>
      <c r="L25" s="57"/>
      <c r="M25" s="57">
        <f t="shared" si="6"/>
        <v>0</v>
      </c>
      <c r="N25" s="212">
        <f t="shared" ref="N25:O25" si="26">C25</f>
        <v>45886</v>
      </c>
      <c r="O25" s="204" t="str">
        <f t="shared" si="26"/>
        <v>dom.</v>
      </c>
      <c r="P25" s="283">
        <v>22000.0</v>
      </c>
      <c r="Q25" s="283">
        <v>20758.04</v>
      </c>
      <c r="R25" s="51">
        <f t="shared" si="8"/>
        <v>-1241.96</v>
      </c>
      <c r="S25" s="214">
        <v>0.0</v>
      </c>
      <c r="T25" s="211">
        <f t="shared" si="9"/>
        <v>0</v>
      </c>
      <c r="U25" s="214">
        <v>0.0</v>
      </c>
      <c r="V25" s="214">
        <v>0.0</v>
      </c>
      <c r="W25" s="214">
        <v>0.0</v>
      </c>
      <c r="X25" s="57">
        <f t="shared" si="10"/>
        <v>0</v>
      </c>
      <c r="Z25" s="74"/>
      <c r="AA25" s="81"/>
      <c r="AC25" s="77"/>
    </row>
    <row r="26" ht="19.5" customHeight="1">
      <c r="C26" s="207">
        <v>45887.0</v>
      </c>
      <c r="D26" s="208" t="str">
        <f t="shared" si="3"/>
        <v>seg.</v>
      </c>
      <c r="E26" s="282">
        <v>4500.0</v>
      </c>
      <c r="F26" s="282">
        <v>7254.7</v>
      </c>
      <c r="G26" s="51">
        <f t="shared" si="4"/>
        <v>2754.7</v>
      </c>
      <c r="H26" s="210">
        <v>0.0</v>
      </c>
      <c r="I26" s="211">
        <f t="shared" si="5"/>
        <v>0</v>
      </c>
      <c r="J26" s="57"/>
      <c r="K26" s="57"/>
      <c r="L26" s="57"/>
      <c r="M26" s="57">
        <f t="shared" si="6"/>
        <v>0</v>
      </c>
      <c r="N26" s="212">
        <f t="shared" ref="N26:O26" si="27">C26</f>
        <v>45887</v>
      </c>
      <c r="O26" s="204" t="str">
        <f t="shared" si="27"/>
        <v>seg.</v>
      </c>
      <c r="P26" s="283">
        <v>5000.0</v>
      </c>
      <c r="Q26" s="283">
        <v>4599.400000000001</v>
      </c>
      <c r="R26" s="51">
        <f t="shared" si="8"/>
        <v>-400.6</v>
      </c>
      <c r="S26" s="214">
        <v>0.0</v>
      </c>
      <c r="T26" s="211">
        <f t="shared" si="9"/>
        <v>0</v>
      </c>
      <c r="U26" s="214">
        <v>0.0</v>
      </c>
      <c r="V26" s="214">
        <v>0.0</v>
      </c>
      <c r="W26" s="214">
        <v>0.0</v>
      </c>
      <c r="X26" s="57">
        <f t="shared" si="10"/>
        <v>0</v>
      </c>
      <c r="Z26" s="74" t="s">
        <v>63</v>
      </c>
      <c r="AA26" s="75">
        <f>SUM(N23:N29)</f>
        <v>321209</v>
      </c>
      <c r="AB26" s="58" t="s">
        <v>63</v>
      </c>
      <c r="AC26" s="76">
        <f>SUM(T23:T29)</f>
        <v>0</v>
      </c>
    </row>
    <row r="27" ht="15.75" customHeight="1">
      <c r="C27" s="207">
        <v>45888.0</v>
      </c>
      <c r="D27" s="208" t="str">
        <f t="shared" si="3"/>
        <v>ter.</v>
      </c>
      <c r="E27" s="282">
        <v>7000.0</v>
      </c>
      <c r="F27" s="282">
        <v>7984.75</v>
      </c>
      <c r="G27" s="51">
        <f t="shared" si="4"/>
        <v>984.75</v>
      </c>
      <c r="H27" s="210">
        <v>0.0</v>
      </c>
      <c r="I27" s="211">
        <f t="shared" si="5"/>
        <v>0</v>
      </c>
      <c r="J27" s="57"/>
      <c r="K27" s="57"/>
      <c r="L27" s="57"/>
      <c r="M27" s="57">
        <f t="shared" si="6"/>
        <v>0</v>
      </c>
      <c r="N27" s="212">
        <f t="shared" ref="N27:O27" si="28">C27</f>
        <v>45888</v>
      </c>
      <c r="O27" s="204" t="str">
        <f t="shared" si="28"/>
        <v>ter.</v>
      </c>
      <c r="P27" s="283">
        <v>6000.0</v>
      </c>
      <c r="Q27" s="283">
        <v>4538.95</v>
      </c>
      <c r="R27" s="51">
        <f t="shared" si="8"/>
        <v>-1461.05</v>
      </c>
      <c r="S27" s="214">
        <v>0.0</v>
      </c>
      <c r="T27" s="211">
        <f t="shared" si="9"/>
        <v>0</v>
      </c>
      <c r="U27" s="214">
        <v>0.0</v>
      </c>
      <c r="V27" s="214">
        <v>0.0</v>
      </c>
      <c r="W27" s="214">
        <v>0.0</v>
      </c>
      <c r="X27" s="57">
        <f t="shared" si="10"/>
        <v>0</v>
      </c>
      <c r="Z27" s="74"/>
      <c r="AA27" s="79">
        <f>AA26/AA18</f>
        <v>0.8800246575</v>
      </c>
      <c r="AC27" s="80">
        <f>AC26/AC18</f>
        <v>0</v>
      </c>
    </row>
    <row r="28" ht="15.75" customHeight="1">
      <c r="C28" s="207">
        <v>45889.0</v>
      </c>
      <c r="D28" s="208" t="str">
        <f t="shared" si="3"/>
        <v>qua.</v>
      </c>
      <c r="E28" s="282">
        <v>7000.0</v>
      </c>
      <c r="F28" s="282">
        <v>4871.75</v>
      </c>
      <c r="G28" s="51">
        <f t="shared" si="4"/>
        <v>-2128.25</v>
      </c>
      <c r="H28" s="210">
        <v>0.0</v>
      </c>
      <c r="I28" s="211">
        <f t="shared" si="5"/>
        <v>0</v>
      </c>
      <c r="J28" s="57"/>
      <c r="K28" s="57"/>
      <c r="L28" s="57"/>
      <c r="M28" s="57">
        <f t="shared" si="6"/>
        <v>0</v>
      </c>
      <c r="N28" s="212">
        <f t="shared" ref="N28:O28" si="29">C28</f>
        <v>45889</v>
      </c>
      <c r="O28" s="204" t="str">
        <f t="shared" si="29"/>
        <v>qua.</v>
      </c>
      <c r="P28" s="283">
        <v>7000.0</v>
      </c>
      <c r="Q28" s="283">
        <v>6354.540000000001</v>
      </c>
      <c r="R28" s="51">
        <f t="shared" si="8"/>
        <v>-645.46</v>
      </c>
      <c r="S28" s="214">
        <v>0.0</v>
      </c>
      <c r="T28" s="211">
        <f t="shared" si="9"/>
        <v>0</v>
      </c>
      <c r="U28" s="214">
        <v>0.0</v>
      </c>
      <c r="V28" s="214">
        <v>0.0</v>
      </c>
      <c r="W28" s="214">
        <v>0.0</v>
      </c>
      <c r="X28" s="57">
        <f t="shared" si="10"/>
        <v>0</v>
      </c>
      <c r="Z28" s="74"/>
      <c r="AC28" s="82"/>
    </row>
    <row r="29" ht="15.75" customHeight="1">
      <c r="C29" s="207">
        <v>45890.0</v>
      </c>
      <c r="D29" s="208" t="str">
        <f t="shared" si="3"/>
        <v>qui.</v>
      </c>
      <c r="E29" s="282">
        <v>7500.0</v>
      </c>
      <c r="F29" s="282">
        <v>9636.18</v>
      </c>
      <c r="G29" s="51">
        <f t="shared" si="4"/>
        <v>2136.18</v>
      </c>
      <c r="H29" s="210">
        <v>0.0</v>
      </c>
      <c r="I29" s="211">
        <f t="shared" si="5"/>
        <v>0</v>
      </c>
      <c r="J29" s="57"/>
      <c r="K29" s="57"/>
      <c r="L29" s="57"/>
      <c r="M29" s="57">
        <f t="shared" si="6"/>
        <v>0</v>
      </c>
      <c r="N29" s="212">
        <f t="shared" ref="N29:O29" si="30">C29</f>
        <v>45890</v>
      </c>
      <c r="O29" s="204" t="str">
        <f t="shared" si="30"/>
        <v>qui.</v>
      </c>
      <c r="P29" s="283">
        <v>8000.0</v>
      </c>
      <c r="Q29" s="283">
        <v>5571.800000000001</v>
      </c>
      <c r="R29" s="51">
        <f t="shared" si="8"/>
        <v>-2428.2</v>
      </c>
      <c r="S29" s="214">
        <v>0.0</v>
      </c>
      <c r="T29" s="211">
        <f t="shared" si="9"/>
        <v>0</v>
      </c>
      <c r="U29" s="214">
        <v>0.0</v>
      </c>
      <c r="V29" s="214">
        <v>0.0</v>
      </c>
      <c r="W29" s="214">
        <v>0.0</v>
      </c>
      <c r="X29" s="57">
        <f t="shared" si="10"/>
        <v>0</v>
      </c>
      <c r="Z29" s="74" t="s">
        <v>64</v>
      </c>
      <c r="AA29" s="61">
        <f>SUM(N30:N36)</f>
        <v>321258</v>
      </c>
      <c r="AB29" s="58" t="s">
        <v>64</v>
      </c>
      <c r="AC29" s="83">
        <f>SUM(T30:T36)</f>
        <v>0</v>
      </c>
    </row>
    <row r="30" ht="19.5" customHeight="1">
      <c r="C30" s="207">
        <v>45891.0</v>
      </c>
      <c r="D30" s="208" t="str">
        <f t="shared" si="3"/>
        <v>sex.</v>
      </c>
      <c r="E30" s="282">
        <v>14000.0</v>
      </c>
      <c r="F30" s="282">
        <v>13217.1</v>
      </c>
      <c r="G30" s="51">
        <f t="shared" si="4"/>
        <v>-782.9</v>
      </c>
      <c r="H30" s="210">
        <v>0.0</v>
      </c>
      <c r="I30" s="211">
        <f t="shared" si="5"/>
        <v>0</v>
      </c>
      <c r="J30" s="57"/>
      <c r="K30" s="57"/>
      <c r="L30" s="57"/>
      <c r="M30" s="57">
        <f t="shared" si="6"/>
        <v>0</v>
      </c>
      <c r="N30" s="212">
        <f t="shared" ref="N30:O30" si="31">C30</f>
        <v>45891</v>
      </c>
      <c r="O30" s="204" t="str">
        <f t="shared" si="31"/>
        <v>sex.</v>
      </c>
      <c r="P30" s="283">
        <v>12500.0</v>
      </c>
      <c r="Q30" s="283">
        <v>12533.83</v>
      </c>
      <c r="R30" s="51">
        <f t="shared" si="8"/>
        <v>33.83</v>
      </c>
      <c r="S30" s="214">
        <v>0.0</v>
      </c>
      <c r="T30" s="211">
        <f t="shared" si="9"/>
        <v>0</v>
      </c>
      <c r="U30" s="214">
        <v>0.0</v>
      </c>
      <c r="V30" s="214">
        <v>0.0</v>
      </c>
      <c r="W30" s="214">
        <v>0.0</v>
      </c>
      <c r="X30" s="57">
        <f t="shared" si="10"/>
        <v>0</v>
      </c>
      <c r="Z30" s="74"/>
      <c r="AA30" s="79">
        <f>AA29/AA18</f>
        <v>0.8801589041</v>
      </c>
      <c r="AC30" s="80">
        <f>AC29/AC18</f>
        <v>0</v>
      </c>
    </row>
    <row r="31" ht="18.0" customHeight="1">
      <c r="C31" s="207">
        <v>45892.0</v>
      </c>
      <c r="D31" s="208" t="str">
        <f t="shared" si="3"/>
        <v>sáb.</v>
      </c>
      <c r="E31" s="282">
        <v>18000.0</v>
      </c>
      <c r="F31" s="282">
        <v>19527.42</v>
      </c>
      <c r="G31" s="51">
        <f t="shared" si="4"/>
        <v>1527.42</v>
      </c>
      <c r="H31" s="210">
        <v>0.0</v>
      </c>
      <c r="I31" s="211">
        <f t="shared" si="5"/>
        <v>0</v>
      </c>
      <c r="J31" s="57"/>
      <c r="K31" s="57"/>
      <c r="L31" s="57"/>
      <c r="M31" s="57">
        <f t="shared" si="6"/>
        <v>0</v>
      </c>
      <c r="N31" s="212">
        <f t="shared" ref="N31:O31" si="32">C31</f>
        <v>45892</v>
      </c>
      <c r="O31" s="204" t="str">
        <f t="shared" si="32"/>
        <v>sáb.</v>
      </c>
      <c r="P31" s="283">
        <v>14700.0</v>
      </c>
      <c r="Q31" s="283">
        <v>15511.57</v>
      </c>
      <c r="R31" s="51">
        <f t="shared" si="8"/>
        <v>811.57</v>
      </c>
      <c r="S31" s="214">
        <v>0.0</v>
      </c>
      <c r="T31" s="211">
        <f t="shared" si="9"/>
        <v>0</v>
      </c>
      <c r="U31" s="214">
        <v>0.0</v>
      </c>
      <c r="V31" s="214">
        <v>0.0</v>
      </c>
      <c r="W31" s="214">
        <v>0.0</v>
      </c>
      <c r="X31" s="57">
        <f t="shared" si="10"/>
        <v>0</v>
      </c>
      <c r="Z31" s="74" t="s">
        <v>65</v>
      </c>
      <c r="AA31" s="61">
        <f>SUM(N37:N39)</f>
        <v>137697</v>
      </c>
      <c r="AB31" s="58" t="s">
        <v>65</v>
      </c>
      <c r="AC31" s="83">
        <f>SUM(T37:T39)</f>
        <v>0</v>
      </c>
    </row>
    <row r="32" ht="15.75" customHeight="1">
      <c r="C32" s="207">
        <v>45893.0</v>
      </c>
      <c r="D32" s="208" t="str">
        <f t="shared" si="3"/>
        <v>dom.</v>
      </c>
      <c r="E32" s="282">
        <v>20500.0</v>
      </c>
      <c r="F32" s="282">
        <v>21734.13</v>
      </c>
      <c r="G32" s="51">
        <f t="shared" si="4"/>
        <v>1234.13</v>
      </c>
      <c r="H32" s="210">
        <v>0.0</v>
      </c>
      <c r="I32" s="211">
        <f t="shared" si="5"/>
        <v>0</v>
      </c>
      <c r="J32" s="57"/>
      <c r="K32" s="57"/>
      <c r="L32" s="57"/>
      <c r="M32" s="57">
        <f t="shared" si="6"/>
        <v>0</v>
      </c>
      <c r="N32" s="212">
        <f t="shared" ref="N32:O32" si="33">C32</f>
        <v>45893</v>
      </c>
      <c r="O32" s="204" t="str">
        <f t="shared" si="33"/>
        <v>dom.</v>
      </c>
      <c r="P32" s="283">
        <v>22000.0</v>
      </c>
      <c r="Q32" s="283">
        <v>22181.95</v>
      </c>
      <c r="R32" s="51">
        <f t="shared" si="8"/>
        <v>181.95</v>
      </c>
      <c r="S32" s="214">
        <v>0.0</v>
      </c>
      <c r="T32" s="211">
        <f t="shared" si="9"/>
        <v>0</v>
      </c>
      <c r="U32" s="214">
        <v>0.0</v>
      </c>
      <c r="V32" s="214">
        <v>0.0</v>
      </c>
      <c r="W32" s="214">
        <v>0.0</v>
      </c>
      <c r="X32" s="57">
        <f t="shared" si="10"/>
        <v>0</v>
      </c>
      <c r="Z32" s="84" t="s">
        <v>206</v>
      </c>
      <c r="AA32" s="85">
        <f>AA31/AA18</f>
        <v>0.3772520548</v>
      </c>
      <c r="AB32" s="84" t="s">
        <v>206</v>
      </c>
      <c r="AC32" s="87">
        <f>AC31/AC18</f>
        <v>0</v>
      </c>
    </row>
    <row r="33" ht="15.75" customHeight="1">
      <c r="C33" s="207">
        <v>45894.0</v>
      </c>
      <c r="D33" s="208" t="str">
        <f t="shared" si="3"/>
        <v>seg.</v>
      </c>
      <c r="E33" s="282">
        <v>4500.0</v>
      </c>
      <c r="F33" s="282">
        <v>4301.05</v>
      </c>
      <c r="G33" s="51">
        <f t="shared" si="4"/>
        <v>-198.95</v>
      </c>
      <c r="H33" s="210">
        <v>0.0</v>
      </c>
      <c r="I33" s="211">
        <f t="shared" si="5"/>
        <v>0</v>
      </c>
      <c r="J33" s="57"/>
      <c r="K33" s="57"/>
      <c r="L33" s="57"/>
      <c r="M33" s="57">
        <f t="shared" si="6"/>
        <v>0</v>
      </c>
      <c r="N33" s="212">
        <f t="shared" ref="N33:O33" si="34">C33</f>
        <v>45894</v>
      </c>
      <c r="O33" s="204" t="str">
        <f t="shared" si="34"/>
        <v>seg.</v>
      </c>
      <c r="P33" s="283">
        <v>5000.0</v>
      </c>
      <c r="Q33" s="283">
        <v>4489.25</v>
      </c>
      <c r="R33" s="51">
        <f t="shared" si="8"/>
        <v>-510.75</v>
      </c>
      <c r="S33" s="214">
        <v>0.0</v>
      </c>
      <c r="T33" s="211">
        <f t="shared" si="9"/>
        <v>0</v>
      </c>
      <c r="U33" s="214">
        <v>0.0</v>
      </c>
      <c r="V33" s="214">
        <v>0.0</v>
      </c>
      <c r="W33" s="214">
        <v>0.0</v>
      </c>
      <c r="X33" s="57">
        <f t="shared" si="10"/>
        <v>0</v>
      </c>
    </row>
    <row r="34" ht="15.75" customHeight="1">
      <c r="C34" s="207">
        <v>45895.0</v>
      </c>
      <c r="D34" s="208" t="str">
        <f t="shared" si="3"/>
        <v>ter.</v>
      </c>
      <c r="E34" s="282">
        <v>6500.0</v>
      </c>
      <c r="F34" s="282">
        <v>6843.85</v>
      </c>
      <c r="G34" s="51">
        <f t="shared" si="4"/>
        <v>343.85</v>
      </c>
      <c r="H34" s="210">
        <v>0.0</v>
      </c>
      <c r="I34" s="211">
        <f t="shared" si="5"/>
        <v>0</v>
      </c>
      <c r="J34" s="57"/>
      <c r="K34" s="57"/>
      <c r="L34" s="57"/>
      <c r="M34" s="57">
        <f t="shared" si="6"/>
        <v>0</v>
      </c>
      <c r="N34" s="212">
        <f t="shared" ref="N34:O34" si="35">C34</f>
        <v>45895</v>
      </c>
      <c r="O34" s="204" t="str">
        <f t="shared" si="35"/>
        <v>ter.</v>
      </c>
      <c r="P34" s="283">
        <v>6000.0</v>
      </c>
      <c r="Q34" s="283">
        <v>4159.51</v>
      </c>
      <c r="R34" s="51">
        <f t="shared" si="8"/>
        <v>-1840.49</v>
      </c>
      <c r="S34" s="214">
        <v>0.0</v>
      </c>
      <c r="T34" s="211">
        <f t="shared" si="9"/>
        <v>0</v>
      </c>
      <c r="U34" s="214">
        <v>0.0</v>
      </c>
      <c r="V34" s="214">
        <v>0.0</v>
      </c>
      <c r="W34" s="214">
        <v>0.0</v>
      </c>
      <c r="X34" s="57">
        <f t="shared" si="10"/>
        <v>0</v>
      </c>
      <c r="Y34" s="92" t="s">
        <v>72</v>
      </c>
      <c r="Z34" s="93" t="s">
        <v>73</v>
      </c>
      <c r="AA34" s="94" t="str">
        <f>N40</f>
        <v/>
      </c>
      <c r="AB34" s="164" t="s">
        <v>74</v>
      </c>
      <c r="AC34" s="96" t="str">
        <f>T40</f>
        <v/>
      </c>
      <c r="AD34" s="259" t="s">
        <v>72</v>
      </c>
    </row>
    <row r="35" ht="19.5" customHeight="1">
      <c r="C35" s="207">
        <v>45896.0</v>
      </c>
      <c r="D35" s="208" t="str">
        <f t="shared" si="3"/>
        <v>qua.</v>
      </c>
      <c r="E35" s="282">
        <v>7000.0</v>
      </c>
      <c r="F35" s="282">
        <v>8107.35</v>
      </c>
      <c r="G35" s="51">
        <f t="shared" si="4"/>
        <v>1107.35</v>
      </c>
      <c r="H35" s="210">
        <v>0.0</v>
      </c>
      <c r="I35" s="211">
        <f t="shared" si="5"/>
        <v>0</v>
      </c>
      <c r="J35" s="57"/>
      <c r="K35" s="57"/>
      <c r="L35" s="57"/>
      <c r="M35" s="57">
        <f t="shared" si="6"/>
        <v>0</v>
      </c>
      <c r="N35" s="212">
        <f t="shared" ref="N35:O35" si="36">C35</f>
        <v>45896</v>
      </c>
      <c r="O35" s="204" t="str">
        <f t="shared" si="36"/>
        <v>qua.</v>
      </c>
      <c r="P35" s="283">
        <v>7000.0</v>
      </c>
      <c r="Q35" s="283">
        <v>5870.91</v>
      </c>
      <c r="R35" s="51">
        <f t="shared" si="8"/>
        <v>-1129.09</v>
      </c>
      <c r="S35" s="214">
        <v>0.0</v>
      </c>
      <c r="T35" s="211">
        <f t="shared" si="9"/>
        <v>0</v>
      </c>
      <c r="U35" s="214">
        <v>0.0</v>
      </c>
      <c r="V35" s="214">
        <v>0.0</v>
      </c>
      <c r="W35" s="214">
        <v>0.0</v>
      </c>
      <c r="X35" s="57">
        <f t="shared" si="10"/>
        <v>0</v>
      </c>
      <c r="Y35" s="97">
        <f>AA35-AB35</f>
        <v>-1</v>
      </c>
      <c r="Z35" s="98"/>
      <c r="AA35" s="99">
        <f>AA34/AA18</f>
        <v>0</v>
      </c>
      <c r="AB35" s="181">
        <f>31/31</f>
        <v>1</v>
      </c>
      <c r="AC35" s="100">
        <f>AC34/AC18</f>
        <v>0</v>
      </c>
      <c r="AD35" s="260">
        <f>AC35-AB35</f>
        <v>-1</v>
      </c>
    </row>
    <row r="36" ht="15.75" customHeight="1">
      <c r="C36" s="207">
        <v>45897.0</v>
      </c>
      <c r="D36" s="208" t="str">
        <f t="shared" si="3"/>
        <v>qui.</v>
      </c>
      <c r="E36" s="282">
        <v>7500.0</v>
      </c>
      <c r="F36" s="282">
        <v>10322.65</v>
      </c>
      <c r="G36" s="51">
        <f t="shared" si="4"/>
        <v>2822.65</v>
      </c>
      <c r="H36" s="210">
        <v>0.0</v>
      </c>
      <c r="I36" s="211">
        <f t="shared" si="5"/>
        <v>0</v>
      </c>
      <c r="J36" s="57"/>
      <c r="K36" s="57"/>
      <c r="L36" s="57"/>
      <c r="M36" s="57">
        <f t="shared" si="6"/>
        <v>0</v>
      </c>
      <c r="N36" s="212">
        <f t="shared" ref="N36:O36" si="37">C36</f>
        <v>45897</v>
      </c>
      <c r="O36" s="204" t="str">
        <f t="shared" si="37"/>
        <v>qui.</v>
      </c>
      <c r="P36" s="283">
        <v>8000.0</v>
      </c>
      <c r="Q36" s="283">
        <v>4001.86</v>
      </c>
      <c r="R36" s="51">
        <f t="shared" si="8"/>
        <v>-3998.14</v>
      </c>
      <c r="S36" s="214">
        <v>0.0</v>
      </c>
      <c r="T36" s="211">
        <f t="shared" si="9"/>
        <v>0</v>
      </c>
      <c r="U36" s="214">
        <v>0.0</v>
      </c>
      <c r="V36" s="214">
        <v>0.0</v>
      </c>
      <c r="W36" s="214">
        <v>0.0</v>
      </c>
      <c r="X36" s="57">
        <f t="shared" si="10"/>
        <v>0</v>
      </c>
      <c r="Z36" s="98" t="s">
        <v>76</v>
      </c>
      <c r="AA36" s="104">
        <f>AA18-AA34</f>
        <v>365000</v>
      </c>
      <c r="AB36" s="99"/>
      <c r="AC36" s="106">
        <f>AC18-AC34</f>
        <v>350000</v>
      </c>
    </row>
    <row r="37" ht="15.75" customHeight="1">
      <c r="C37" s="207">
        <v>45898.0</v>
      </c>
      <c r="D37" s="208" t="str">
        <f t="shared" si="3"/>
        <v>sex.</v>
      </c>
      <c r="E37" s="282">
        <v>14000.0</v>
      </c>
      <c r="F37" s="282">
        <v>12112.1</v>
      </c>
      <c r="G37" s="51">
        <f t="shared" si="4"/>
        <v>-1887.9</v>
      </c>
      <c r="H37" s="210">
        <v>0.0</v>
      </c>
      <c r="I37" s="211">
        <f t="shared" si="5"/>
        <v>0</v>
      </c>
      <c r="J37" s="57"/>
      <c r="K37" s="57"/>
      <c r="L37" s="57"/>
      <c r="M37" s="57">
        <f t="shared" si="6"/>
        <v>0</v>
      </c>
      <c r="N37" s="212">
        <f t="shared" ref="N37:O37" si="38">C37</f>
        <v>45898</v>
      </c>
      <c r="O37" s="204" t="str">
        <f t="shared" si="38"/>
        <v>sex.</v>
      </c>
      <c r="P37" s="283">
        <v>12500.0</v>
      </c>
      <c r="Q37" s="283">
        <v>12682.76</v>
      </c>
      <c r="R37" s="51">
        <f t="shared" si="8"/>
        <v>182.76</v>
      </c>
      <c r="S37" s="214">
        <v>0.0</v>
      </c>
      <c r="T37" s="211">
        <f t="shared" si="9"/>
        <v>0</v>
      </c>
      <c r="U37" s="214">
        <v>0.0</v>
      </c>
      <c r="V37" s="214">
        <v>0.0</v>
      </c>
      <c r="W37" s="214">
        <v>0.0</v>
      </c>
      <c r="X37" s="57">
        <f t="shared" si="10"/>
        <v>0</v>
      </c>
      <c r="Z37" s="110"/>
      <c r="AA37" s="112">
        <f>AA36/AA18</f>
        <v>1</v>
      </c>
      <c r="AB37" s="112"/>
      <c r="AC37" s="113">
        <f>AC36/AC18</f>
        <v>1</v>
      </c>
    </row>
    <row r="38" ht="15.75" customHeight="1">
      <c r="C38" s="207">
        <v>45899.0</v>
      </c>
      <c r="D38" s="208" t="str">
        <f t="shared" si="3"/>
        <v>sáb.</v>
      </c>
      <c r="E38" s="282">
        <v>18000.0</v>
      </c>
      <c r="F38" s="282">
        <v>20554.35</v>
      </c>
      <c r="G38" s="51">
        <f t="shared" si="4"/>
        <v>2554.35</v>
      </c>
      <c r="H38" s="210">
        <v>0.0</v>
      </c>
      <c r="I38" s="211">
        <f t="shared" si="5"/>
        <v>0</v>
      </c>
      <c r="J38" s="57"/>
      <c r="K38" s="57"/>
      <c r="L38" s="57"/>
      <c r="M38" s="57">
        <f t="shared" si="6"/>
        <v>0</v>
      </c>
      <c r="N38" s="212">
        <f t="shared" ref="N38:O38" si="39">C38</f>
        <v>45899</v>
      </c>
      <c r="O38" s="204" t="str">
        <f t="shared" si="39"/>
        <v>sáb.</v>
      </c>
      <c r="P38" s="283">
        <v>14700.0</v>
      </c>
      <c r="Q38" s="283">
        <v>15581.28</v>
      </c>
      <c r="R38" s="51">
        <f t="shared" si="8"/>
        <v>881.28</v>
      </c>
      <c r="S38" s="214">
        <v>0.0</v>
      </c>
      <c r="T38" s="211">
        <f t="shared" si="9"/>
        <v>0</v>
      </c>
      <c r="U38" s="214">
        <v>0.0</v>
      </c>
      <c r="V38" s="214">
        <v>0.0</v>
      </c>
      <c r="W38" s="214">
        <v>0.0</v>
      </c>
      <c r="X38" s="57">
        <f t="shared" si="10"/>
        <v>0</v>
      </c>
    </row>
    <row r="39" ht="15.75" customHeight="1">
      <c r="C39" s="207">
        <v>45900.0</v>
      </c>
      <c r="D39" s="208" t="str">
        <f t="shared" si="3"/>
        <v>dom.</v>
      </c>
      <c r="E39" s="282">
        <v>20500.0</v>
      </c>
      <c r="F39" s="282">
        <v>22517.6</v>
      </c>
      <c r="G39" s="51">
        <f t="shared" si="4"/>
        <v>2017.6</v>
      </c>
      <c r="H39" s="210">
        <v>0.0</v>
      </c>
      <c r="I39" s="211">
        <f t="shared" si="5"/>
        <v>0</v>
      </c>
      <c r="J39" s="57"/>
      <c r="K39" s="57"/>
      <c r="L39" s="57"/>
      <c r="M39" s="57">
        <f t="shared" si="6"/>
        <v>0</v>
      </c>
      <c r="N39" s="212">
        <f t="shared" ref="N39:O39" si="40">C39</f>
        <v>45900</v>
      </c>
      <c r="O39" s="204" t="str">
        <f t="shared" si="40"/>
        <v>dom.</v>
      </c>
      <c r="P39" s="283">
        <v>22000.0</v>
      </c>
      <c r="Q39" s="283">
        <v>23027.55</v>
      </c>
      <c r="R39" s="51">
        <f t="shared" si="8"/>
        <v>1027.55</v>
      </c>
      <c r="S39" s="217">
        <v>0.0</v>
      </c>
      <c r="T39" s="211">
        <f t="shared" si="9"/>
        <v>0</v>
      </c>
      <c r="U39" s="214">
        <v>0.0</v>
      </c>
      <c r="V39" s="214">
        <v>0.0</v>
      </c>
      <c r="W39" s="214">
        <v>0.0</v>
      </c>
      <c r="X39" s="57">
        <f t="shared" si="10"/>
        <v>0</v>
      </c>
    </row>
    <row r="40" ht="15.75" customHeight="1">
      <c r="C40" s="218"/>
      <c r="D40" s="218"/>
      <c r="E40" s="219">
        <f t="shared" ref="E40:G40" si="41">SUM(E9:E39)</f>
        <v>365000</v>
      </c>
      <c r="F40" s="219">
        <f t="shared" si="41"/>
        <v>376142.99</v>
      </c>
      <c r="G40" s="105">
        <f t="shared" si="41"/>
        <v>11142.99</v>
      </c>
      <c r="H40" s="105"/>
      <c r="I40" s="105"/>
      <c r="J40" s="105">
        <f t="shared" ref="J40:M40" si="42">SUM(J9:J39)</f>
        <v>0</v>
      </c>
      <c r="K40" s="105">
        <f t="shared" si="42"/>
        <v>0</v>
      </c>
      <c r="L40" s="105">
        <f t="shared" si="42"/>
        <v>0</v>
      </c>
      <c r="M40" s="105">
        <f t="shared" si="42"/>
        <v>0</v>
      </c>
      <c r="N40" s="286"/>
      <c r="O40" s="287"/>
      <c r="P40" s="222">
        <f>SUM(P9:P39)</f>
        <v>350000</v>
      </c>
      <c r="Q40" s="222">
        <f>SUM(Q9:Q39)-12-24</f>
        <v>342661.89</v>
      </c>
      <c r="R40" s="105">
        <f t="shared" ref="R40:S40" si="43">SUM(R9:R39)</f>
        <v>-7302.11</v>
      </c>
      <c r="S40" s="223">
        <f t="shared" si="43"/>
        <v>0</v>
      </c>
      <c r="T40" s="224"/>
      <c r="U40" s="223">
        <f t="shared" ref="U40:X40" si="44">SUM(U9:U39)</f>
        <v>0</v>
      </c>
      <c r="V40" s="223">
        <f t="shared" si="44"/>
        <v>0</v>
      </c>
      <c r="W40" s="223">
        <f t="shared" si="44"/>
        <v>0</v>
      </c>
      <c r="X40" s="223">
        <f t="shared" si="44"/>
        <v>0</v>
      </c>
      <c r="AA40" s="61" t="str">
        <f>AA34</f>
        <v/>
      </c>
      <c r="AB40" s="61">
        <f>AA40*0.008</f>
        <v>0</v>
      </c>
      <c r="AC40" s="61"/>
      <c r="AD40" s="61"/>
    </row>
    <row r="41" ht="15.75" customHeight="1">
      <c r="D41" s="61"/>
      <c r="E41" s="61"/>
      <c r="F41" s="225"/>
      <c r="G41" s="114"/>
      <c r="H41" s="226"/>
      <c r="I41" s="226"/>
      <c r="N41" s="61"/>
      <c r="P41" s="61"/>
      <c r="Q41" s="275"/>
      <c r="R41" s="114"/>
      <c r="S41" s="199"/>
      <c r="T41" s="200"/>
    </row>
    <row r="42" ht="15.75" customHeight="1"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200"/>
    </row>
    <row r="43" ht="15.75" customHeight="1">
      <c r="C43" s="2"/>
      <c r="D43" s="2"/>
      <c r="E43" s="115" t="s">
        <v>77</v>
      </c>
      <c r="F43" s="118">
        <f>E40+G40</f>
        <v>376142.99</v>
      </c>
      <c r="P43" s="115" t="s">
        <v>77</v>
      </c>
      <c r="Q43" s="118">
        <f>P40+R40</f>
        <v>342697.89</v>
      </c>
      <c r="S43" s="199"/>
      <c r="T43" s="200"/>
    </row>
    <row r="44" ht="15.75" customHeight="1">
      <c r="C44" s="122" t="s">
        <v>29</v>
      </c>
      <c r="D44" s="124">
        <f>E40</f>
        <v>365000</v>
      </c>
      <c r="E44" s="2"/>
      <c r="F44" s="2"/>
      <c r="N44" s="126" t="s">
        <v>29</v>
      </c>
      <c r="O44" s="124">
        <f>P40</f>
        <v>350000</v>
      </c>
      <c r="P44" s="2"/>
      <c r="Q44" s="2"/>
      <c r="S44" s="199"/>
      <c r="T44" s="200"/>
    </row>
    <row r="45" ht="15.75" customHeight="1">
      <c r="C45" s="61"/>
      <c r="D45" s="175"/>
      <c r="E45" s="61"/>
      <c r="F45" s="61"/>
      <c r="N45" s="175"/>
      <c r="O45" s="61"/>
      <c r="S45" s="199"/>
      <c r="T45" s="200"/>
    </row>
    <row r="46" ht="16.5" customHeight="1">
      <c r="C46" s="61"/>
      <c r="D46" s="175"/>
      <c r="E46" s="61"/>
      <c r="F46" s="61"/>
      <c r="N46" s="175"/>
      <c r="O46" s="61"/>
      <c r="S46" s="199"/>
      <c r="T46" s="200"/>
    </row>
    <row r="47" ht="16.5" customHeight="1">
      <c r="C47" s="61"/>
      <c r="D47" s="175"/>
      <c r="E47" s="61"/>
      <c r="F47" s="61"/>
      <c r="N47" s="175"/>
      <c r="O47" s="61"/>
      <c r="S47" s="199"/>
      <c r="T47" s="200"/>
    </row>
    <row r="48" ht="16.5" customHeight="1">
      <c r="C48" s="61"/>
      <c r="D48" s="175"/>
      <c r="E48" s="61"/>
      <c r="F48" s="61"/>
      <c r="N48" s="175"/>
      <c r="O48" s="61"/>
      <c r="S48" s="199"/>
      <c r="T48" s="200"/>
    </row>
    <row r="49" ht="16.5" customHeight="1">
      <c r="C49" s="61"/>
      <c r="D49" s="175"/>
      <c r="E49" s="61"/>
      <c r="F49" s="61"/>
      <c r="N49" s="175"/>
      <c r="O49" s="61"/>
      <c r="S49" s="199"/>
      <c r="T49" s="200"/>
    </row>
    <row r="50" ht="16.5" customHeight="1">
      <c r="C50" s="61"/>
      <c r="D50" s="175"/>
      <c r="E50" s="61"/>
      <c r="F50" s="61"/>
      <c r="N50" s="175"/>
      <c r="O50" s="61"/>
      <c r="S50" s="199"/>
      <c r="T50" s="200"/>
    </row>
    <row r="51" ht="16.5" customHeight="1">
      <c r="C51" s="61"/>
      <c r="D51" s="175"/>
      <c r="E51" s="61"/>
      <c r="F51" s="61"/>
      <c r="N51" s="175"/>
      <c r="O51" s="61"/>
      <c r="S51" s="199"/>
      <c r="T51" s="200"/>
    </row>
    <row r="52" ht="16.5" customHeight="1">
      <c r="C52" s="61"/>
      <c r="D52" s="175"/>
      <c r="E52" s="61"/>
      <c r="F52" s="61"/>
      <c r="N52" s="175"/>
      <c r="O52" s="61"/>
      <c r="S52" s="199"/>
      <c r="T52" s="200"/>
    </row>
    <row r="53" ht="16.5" customHeight="1">
      <c r="C53" s="61"/>
      <c r="D53" s="175"/>
      <c r="E53" s="61"/>
      <c r="F53" s="61"/>
      <c r="N53" s="175"/>
      <c r="O53" s="61"/>
      <c r="S53" s="199"/>
      <c r="T53" s="200"/>
    </row>
    <row r="54" ht="16.5" customHeight="1">
      <c r="C54" s="61"/>
      <c r="D54" s="175"/>
      <c r="E54" s="61"/>
      <c r="F54" s="61"/>
      <c r="N54" s="175"/>
      <c r="O54" s="61"/>
      <c r="S54" s="199"/>
      <c r="T54" s="200"/>
    </row>
    <row r="55" ht="16.5" customHeight="1">
      <c r="C55" s="61"/>
      <c r="D55" s="175"/>
      <c r="E55" s="61"/>
      <c r="F55" s="61"/>
      <c r="N55" s="175"/>
      <c r="O55" s="61"/>
      <c r="S55" s="199"/>
      <c r="T55" s="200"/>
    </row>
    <row r="56" ht="16.5" customHeight="1">
      <c r="C56" s="61"/>
      <c r="D56" s="175"/>
      <c r="E56" s="61"/>
      <c r="F56" s="61"/>
      <c r="N56" s="175"/>
      <c r="O56" s="61"/>
      <c r="S56" s="199"/>
      <c r="T56" s="200"/>
    </row>
    <row r="57" ht="16.5" customHeight="1">
      <c r="C57" s="61"/>
      <c r="D57" s="175"/>
      <c r="E57" s="61"/>
      <c r="F57" s="61"/>
      <c r="N57" s="175"/>
      <c r="O57" s="61"/>
      <c r="S57" s="199"/>
      <c r="T57" s="200"/>
    </row>
    <row r="58" ht="16.5" customHeight="1">
      <c r="C58" s="61"/>
      <c r="D58" s="175"/>
      <c r="E58" s="61"/>
      <c r="F58" s="61"/>
      <c r="N58" s="175"/>
      <c r="O58" s="61"/>
      <c r="S58" s="199"/>
      <c r="T58" s="200"/>
    </row>
    <row r="59" ht="16.5" customHeight="1">
      <c r="C59" s="61"/>
      <c r="D59" s="175"/>
      <c r="E59" s="61"/>
      <c r="F59" s="61"/>
      <c r="N59" s="175"/>
      <c r="O59" s="61"/>
      <c r="S59" s="199"/>
      <c r="T59" s="200"/>
    </row>
    <row r="60" ht="16.5" customHeight="1">
      <c r="C60" s="61"/>
      <c r="D60" s="175"/>
      <c r="E60" s="61"/>
      <c r="F60" s="61"/>
      <c r="N60" s="175"/>
      <c r="O60" s="61"/>
      <c r="S60" s="199"/>
      <c r="T60" s="200"/>
    </row>
    <row r="61" ht="16.5" customHeight="1">
      <c r="C61" s="61"/>
      <c r="D61" s="175"/>
      <c r="E61" s="61"/>
      <c r="F61" s="61"/>
      <c r="N61" s="175"/>
      <c r="O61" s="61"/>
      <c r="S61" s="199"/>
      <c r="T61" s="200"/>
    </row>
    <row r="62" ht="16.5" customHeight="1">
      <c r="C62" s="61"/>
      <c r="D62" s="175"/>
      <c r="E62" s="61"/>
      <c r="F62" s="61"/>
      <c r="N62" s="175"/>
      <c r="O62" s="61"/>
      <c r="S62" s="199"/>
      <c r="T62" s="200"/>
    </row>
    <row r="63" ht="16.5" customHeight="1">
      <c r="C63" s="61"/>
      <c r="D63" s="175"/>
      <c r="E63" s="61"/>
      <c r="F63" s="61"/>
      <c r="N63" s="175"/>
      <c r="O63" s="61"/>
      <c r="S63" s="199"/>
      <c r="T63" s="200"/>
    </row>
    <row r="64" ht="16.5" customHeight="1">
      <c r="C64" s="61"/>
      <c r="D64" s="175"/>
      <c r="E64" s="61"/>
      <c r="F64" s="61"/>
      <c r="N64" s="175"/>
      <c r="O64" s="61"/>
      <c r="S64" s="199"/>
      <c r="T64" s="200"/>
    </row>
    <row r="65" ht="16.5" customHeight="1">
      <c r="C65" s="61"/>
      <c r="D65" s="175"/>
      <c r="E65" s="61"/>
      <c r="F65" s="61"/>
      <c r="N65" s="175"/>
      <c r="O65" s="61"/>
      <c r="S65" s="199"/>
      <c r="T65" s="200"/>
    </row>
    <row r="66" ht="16.5" customHeight="1">
      <c r="C66" s="61"/>
      <c r="D66" s="175"/>
      <c r="E66" s="61"/>
      <c r="F66" s="61"/>
      <c r="N66" s="175"/>
      <c r="O66" s="61"/>
      <c r="S66" s="199"/>
      <c r="T66" s="200"/>
    </row>
    <row r="67" ht="16.5" customHeight="1">
      <c r="C67" s="61"/>
      <c r="D67" s="175"/>
      <c r="E67" s="61"/>
      <c r="F67" s="61"/>
      <c r="N67" s="175"/>
      <c r="O67" s="61"/>
      <c r="S67" s="199"/>
      <c r="T67" s="200"/>
    </row>
    <row r="68" ht="16.5" customHeight="1">
      <c r="C68" s="61"/>
      <c r="D68" s="175"/>
      <c r="E68" s="61"/>
      <c r="F68" s="61"/>
      <c r="N68" s="175"/>
      <c r="O68" s="61"/>
      <c r="S68" s="199"/>
      <c r="T68" s="200"/>
    </row>
    <row r="69" ht="16.5" customHeight="1">
      <c r="C69" s="61"/>
      <c r="D69" s="175"/>
      <c r="E69" s="61"/>
      <c r="F69" s="61"/>
      <c r="N69" s="175"/>
      <c r="O69" s="61"/>
      <c r="S69" s="199"/>
      <c r="T69" s="200"/>
    </row>
    <row r="70" ht="16.5" customHeight="1">
      <c r="C70" s="61"/>
      <c r="D70" s="175"/>
      <c r="E70" s="61"/>
      <c r="F70" s="61"/>
      <c r="N70" s="175"/>
      <c r="O70" s="61"/>
      <c r="S70" s="199"/>
      <c r="T70" s="200"/>
    </row>
    <row r="71" ht="16.5" customHeight="1">
      <c r="C71" s="61"/>
      <c r="D71" s="175"/>
      <c r="E71" s="61"/>
      <c r="F71" s="61"/>
      <c r="N71" s="175"/>
      <c r="O71" s="61"/>
      <c r="S71" s="199"/>
      <c r="T71" s="200"/>
    </row>
    <row r="72" ht="16.5" customHeight="1">
      <c r="C72" s="61"/>
      <c r="D72" s="175"/>
      <c r="E72" s="61"/>
      <c r="F72" s="61"/>
      <c r="N72" s="175"/>
      <c r="O72" s="61"/>
      <c r="S72" s="199"/>
      <c r="T72" s="200"/>
    </row>
    <row r="73" ht="16.5" customHeight="1">
      <c r="C73" s="61"/>
      <c r="D73" s="175"/>
      <c r="E73" s="61"/>
      <c r="F73" s="61"/>
      <c r="N73" s="175"/>
      <c r="O73" s="61"/>
      <c r="S73" s="199"/>
      <c r="T73" s="200"/>
    </row>
    <row r="74" ht="16.5" customHeight="1">
      <c r="C74" s="61"/>
      <c r="D74" s="175"/>
      <c r="E74" s="61"/>
      <c r="F74" s="61"/>
      <c r="N74" s="175"/>
      <c r="O74" s="61"/>
      <c r="S74" s="199"/>
      <c r="T74" s="200"/>
    </row>
    <row r="75" ht="16.5" customHeight="1">
      <c r="C75" s="61"/>
      <c r="D75" s="175"/>
      <c r="E75" s="61"/>
      <c r="F75" s="61"/>
      <c r="N75" s="175"/>
      <c r="O75" s="61"/>
      <c r="S75" s="199"/>
      <c r="T75" s="200"/>
    </row>
    <row r="76" ht="16.5" customHeight="1">
      <c r="C76" s="61"/>
      <c r="D76" s="175"/>
      <c r="E76" s="61"/>
      <c r="F76" s="61"/>
      <c r="N76" s="175"/>
      <c r="O76" s="61"/>
      <c r="S76" s="199"/>
      <c r="T76" s="200"/>
    </row>
    <row r="77" ht="16.5" customHeight="1">
      <c r="C77" s="61"/>
      <c r="D77" s="175"/>
      <c r="E77" s="61"/>
      <c r="F77" s="61"/>
      <c r="N77" s="175"/>
      <c r="O77" s="61"/>
      <c r="S77" s="199"/>
      <c r="T77" s="200"/>
    </row>
    <row r="78" ht="16.5" customHeight="1">
      <c r="C78" s="61"/>
      <c r="D78" s="175"/>
      <c r="E78" s="61"/>
      <c r="F78" s="61"/>
      <c r="N78" s="175"/>
      <c r="O78" s="61"/>
      <c r="S78" s="199"/>
      <c r="T78" s="200"/>
    </row>
    <row r="79" ht="16.5" customHeight="1">
      <c r="C79" s="61"/>
      <c r="D79" s="175"/>
      <c r="E79" s="61"/>
      <c r="F79" s="61"/>
      <c r="N79" s="175"/>
      <c r="O79" s="61"/>
      <c r="S79" s="199"/>
      <c r="T79" s="200"/>
    </row>
    <row r="80" ht="16.5" customHeight="1">
      <c r="C80" s="61"/>
      <c r="D80" s="175"/>
      <c r="E80" s="61"/>
      <c r="F80" s="61"/>
      <c r="N80" s="175"/>
      <c r="O80" s="61"/>
      <c r="S80" s="199"/>
      <c r="T80" s="200"/>
    </row>
    <row r="81" ht="16.5" customHeight="1">
      <c r="C81" s="61"/>
      <c r="D81" s="175"/>
      <c r="E81" s="61"/>
      <c r="F81" s="61"/>
      <c r="N81" s="175"/>
      <c r="O81" s="61"/>
      <c r="S81" s="199"/>
      <c r="T81" s="200"/>
    </row>
    <row r="82" ht="16.5" customHeight="1">
      <c r="C82" s="61"/>
      <c r="D82" s="175"/>
      <c r="E82" s="61"/>
      <c r="F82" s="61"/>
      <c r="N82" s="175"/>
      <c r="O82" s="61"/>
      <c r="S82" s="199"/>
      <c r="T82" s="200"/>
    </row>
    <row r="83" ht="16.5" customHeight="1">
      <c r="C83" s="61"/>
      <c r="D83" s="175"/>
      <c r="E83" s="61"/>
      <c r="F83" s="61"/>
      <c r="N83" s="175"/>
      <c r="O83" s="61"/>
      <c r="S83" s="199"/>
      <c r="T83" s="200"/>
    </row>
    <row r="84" ht="16.5" customHeight="1">
      <c r="C84" s="61"/>
      <c r="D84" s="175"/>
      <c r="E84" s="61"/>
      <c r="F84" s="61"/>
      <c r="N84" s="175"/>
      <c r="O84" s="61"/>
      <c r="S84" s="199"/>
      <c r="T84" s="200"/>
    </row>
    <row r="85" ht="16.5" customHeight="1">
      <c r="C85" s="61"/>
      <c r="D85" s="175"/>
      <c r="E85" s="61"/>
      <c r="F85" s="61"/>
      <c r="N85" s="175"/>
      <c r="O85" s="61"/>
      <c r="S85" s="199"/>
      <c r="T85" s="200"/>
    </row>
    <row r="86" ht="16.5" customHeight="1">
      <c r="C86" s="61"/>
      <c r="D86" s="175"/>
      <c r="E86" s="61"/>
      <c r="F86" s="61"/>
      <c r="N86" s="175"/>
      <c r="O86" s="61"/>
      <c r="S86" s="199"/>
      <c r="T86" s="200"/>
    </row>
    <row r="87" ht="16.5" customHeight="1">
      <c r="C87" s="61"/>
      <c r="D87" s="175"/>
      <c r="E87" s="61"/>
      <c r="F87" s="61"/>
      <c r="N87" s="175"/>
      <c r="O87" s="61"/>
      <c r="S87" s="199"/>
      <c r="T87" s="200"/>
    </row>
    <row r="88" ht="16.5" customHeight="1">
      <c r="C88" s="61"/>
      <c r="D88" s="175"/>
      <c r="E88" s="61"/>
      <c r="F88" s="61"/>
      <c r="N88" s="175"/>
      <c r="O88" s="61"/>
      <c r="S88" s="199"/>
      <c r="T88" s="200"/>
    </row>
    <row r="89" ht="16.5" customHeight="1">
      <c r="C89" s="61"/>
      <c r="D89" s="175"/>
      <c r="E89" s="61"/>
      <c r="F89" s="61"/>
      <c r="N89" s="175"/>
      <c r="O89" s="61"/>
      <c r="S89" s="199"/>
      <c r="T89" s="200"/>
    </row>
    <row r="90" ht="16.5" customHeight="1">
      <c r="C90" s="61"/>
      <c r="D90" s="175"/>
      <c r="E90" s="61"/>
      <c r="F90" s="61"/>
      <c r="N90" s="175"/>
      <c r="O90" s="61"/>
      <c r="S90" s="199"/>
      <c r="T90" s="200"/>
    </row>
    <row r="91" ht="16.5" customHeight="1">
      <c r="C91" s="61"/>
      <c r="D91" s="175"/>
      <c r="E91" s="61"/>
      <c r="F91" s="61"/>
      <c r="N91" s="175"/>
      <c r="O91" s="61"/>
      <c r="S91" s="199"/>
      <c r="T91" s="200"/>
    </row>
    <row r="92" ht="16.5" customHeight="1">
      <c r="C92" s="61"/>
      <c r="D92" s="175"/>
      <c r="E92" s="61"/>
      <c r="F92" s="61"/>
      <c r="N92" s="175"/>
      <c r="O92" s="61"/>
      <c r="S92" s="199"/>
      <c r="T92" s="200"/>
    </row>
    <row r="93" ht="16.5" customHeight="1">
      <c r="C93" s="61"/>
      <c r="D93" s="175"/>
      <c r="E93" s="61"/>
      <c r="F93" s="61"/>
      <c r="N93" s="175"/>
      <c r="O93" s="61"/>
      <c r="S93" s="199"/>
      <c r="T93" s="200"/>
    </row>
    <row r="94" ht="16.5" customHeight="1">
      <c r="C94" s="61"/>
      <c r="D94" s="175"/>
      <c r="E94" s="61"/>
      <c r="F94" s="61"/>
      <c r="N94" s="175"/>
      <c r="O94" s="61"/>
      <c r="S94" s="199"/>
      <c r="T94" s="200"/>
    </row>
    <row r="95" ht="16.5" customHeight="1">
      <c r="C95" s="61"/>
      <c r="D95" s="175"/>
      <c r="E95" s="61"/>
      <c r="F95" s="61"/>
      <c r="N95" s="175"/>
      <c r="O95" s="61"/>
      <c r="S95" s="199"/>
      <c r="T95" s="200"/>
    </row>
    <row r="96" ht="16.5" customHeight="1">
      <c r="C96" s="61"/>
      <c r="D96" s="175"/>
      <c r="E96" s="61"/>
      <c r="F96" s="61"/>
      <c r="N96" s="175"/>
      <c r="O96" s="61"/>
      <c r="S96" s="199"/>
      <c r="T96" s="200"/>
    </row>
    <row r="97" ht="16.5" customHeight="1">
      <c r="C97" s="61"/>
      <c r="D97" s="175"/>
      <c r="E97" s="61"/>
      <c r="F97" s="61"/>
      <c r="N97" s="175"/>
      <c r="O97" s="61"/>
      <c r="S97" s="199"/>
      <c r="T97" s="200"/>
    </row>
    <row r="98" ht="16.5" customHeight="1">
      <c r="C98" s="61"/>
      <c r="D98" s="175"/>
      <c r="E98" s="61"/>
      <c r="F98" s="61"/>
      <c r="N98" s="175"/>
      <c r="O98" s="61"/>
      <c r="S98" s="199"/>
      <c r="T98" s="200"/>
    </row>
    <row r="99" ht="16.5" customHeight="1">
      <c r="C99" s="61"/>
      <c r="D99" s="175"/>
      <c r="E99" s="61"/>
      <c r="F99" s="61"/>
      <c r="N99" s="175"/>
      <c r="O99" s="61"/>
      <c r="S99" s="199"/>
      <c r="T99" s="200"/>
    </row>
    <row r="100" ht="16.5" customHeight="1">
      <c r="C100" s="61"/>
      <c r="D100" s="175"/>
      <c r="E100" s="61"/>
      <c r="F100" s="61"/>
      <c r="N100" s="175"/>
      <c r="O100" s="61"/>
      <c r="S100" s="199"/>
      <c r="T100" s="200"/>
    </row>
    <row r="101" ht="16.5" customHeight="1">
      <c r="C101" s="61"/>
      <c r="D101" s="175"/>
      <c r="E101" s="61"/>
      <c r="F101" s="61"/>
      <c r="N101" s="175"/>
      <c r="O101" s="61"/>
      <c r="S101" s="199"/>
      <c r="T101" s="200"/>
    </row>
    <row r="102" ht="16.5" customHeight="1">
      <c r="C102" s="61"/>
      <c r="D102" s="175"/>
      <c r="E102" s="61"/>
      <c r="F102" s="61"/>
      <c r="N102" s="175"/>
      <c r="O102" s="61"/>
      <c r="S102" s="199"/>
      <c r="T102" s="200"/>
    </row>
    <row r="103" ht="16.5" customHeight="1">
      <c r="C103" s="61"/>
      <c r="D103" s="175"/>
      <c r="E103" s="61"/>
      <c r="F103" s="61"/>
      <c r="N103" s="175"/>
      <c r="O103" s="61"/>
      <c r="S103" s="199"/>
      <c r="T103" s="200"/>
    </row>
    <row r="104" ht="16.5" customHeight="1">
      <c r="C104" s="61"/>
      <c r="D104" s="175"/>
      <c r="E104" s="61"/>
      <c r="F104" s="61"/>
      <c r="N104" s="175"/>
      <c r="O104" s="61"/>
      <c r="S104" s="199"/>
      <c r="T104" s="200"/>
    </row>
    <row r="105" ht="16.5" customHeight="1">
      <c r="C105" s="61"/>
      <c r="D105" s="175"/>
      <c r="E105" s="61"/>
      <c r="F105" s="61"/>
      <c r="N105" s="175"/>
      <c r="O105" s="61"/>
      <c r="S105" s="199"/>
      <c r="T105" s="200"/>
    </row>
    <row r="106" ht="16.5" customHeight="1">
      <c r="C106" s="61"/>
      <c r="D106" s="175"/>
      <c r="E106" s="61"/>
      <c r="F106" s="61"/>
      <c r="N106" s="175"/>
      <c r="O106" s="61"/>
      <c r="S106" s="199"/>
      <c r="T106" s="200"/>
    </row>
    <row r="107" ht="16.5" customHeight="1">
      <c r="C107" s="61"/>
      <c r="D107" s="175"/>
      <c r="E107" s="61"/>
      <c r="F107" s="61"/>
      <c r="N107" s="175"/>
      <c r="O107" s="61"/>
      <c r="S107" s="199"/>
      <c r="T107" s="200"/>
    </row>
    <row r="108" ht="16.5" customHeight="1">
      <c r="C108" s="61"/>
      <c r="D108" s="175"/>
      <c r="E108" s="61"/>
      <c r="F108" s="61"/>
      <c r="N108" s="175"/>
      <c r="O108" s="61"/>
      <c r="S108" s="199"/>
      <c r="T108" s="200"/>
    </row>
    <row r="109" ht="16.5" customHeight="1">
      <c r="C109" s="61"/>
      <c r="D109" s="175"/>
      <c r="E109" s="61"/>
      <c r="F109" s="61"/>
      <c r="N109" s="175"/>
      <c r="O109" s="61"/>
      <c r="S109" s="199"/>
      <c r="T109" s="200"/>
    </row>
    <row r="110" ht="16.5" customHeight="1">
      <c r="C110" s="61"/>
      <c r="D110" s="175"/>
      <c r="E110" s="61"/>
      <c r="F110" s="61"/>
      <c r="N110" s="175"/>
      <c r="O110" s="61"/>
      <c r="S110" s="199"/>
      <c r="T110" s="200"/>
    </row>
    <row r="111" ht="16.5" customHeight="1">
      <c r="C111" s="61"/>
      <c r="D111" s="175"/>
      <c r="E111" s="61"/>
      <c r="F111" s="61"/>
      <c r="N111" s="175"/>
      <c r="O111" s="61"/>
      <c r="S111" s="199"/>
      <c r="T111" s="200"/>
    </row>
    <row r="112" ht="16.5" customHeight="1">
      <c r="C112" s="61"/>
      <c r="D112" s="175"/>
      <c r="E112" s="61"/>
      <c r="F112" s="61"/>
      <c r="N112" s="175"/>
      <c r="O112" s="61"/>
      <c r="S112" s="199"/>
      <c r="T112" s="200"/>
    </row>
    <row r="113" ht="16.5" customHeight="1">
      <c r="C113" s="61"/>
      <c r="D113" s="175"/>
      <c r="E113" s="61"/>
      <c r="F113" s="61"/>
      <c r="N113" s="175"/>
      <c r="O113" s="61"/>
      <c r="S113" s="199"/>
      <c r="T113" s="200"/>
    </row>
    <row r="114" ht="16.5" customHeight="1">
      <c r="C114" s="61"/>
      <c r="D114" s="175"/>
      <c r="E114" s="61"/>
      <c r="F114" s="61"/>
      <c r="N114" s="175"/>
      <c r="O114" s="61"/>
      <c r="S114" s="199"/>
      <c r="T114" s="200"/>
    </row>
    <row r="115" ht="16.5" customHeight="1">
      <c r="C115" s="61"/>
      <c r="D115" s="175"/>
      <c r="E115" s="61"/>
      <c r="F115" s="61"/>
      <c r="N115" s="175"/>
      <c r="O115" s="61"/>
      <c r="S115" s="199"/>
      <c r="T115" s="200"/>
    </row>
    <row r="116" ht="16.5" customHeight="1">
      <c r="C116" s="61"/>
      <c r="D116" s="175"/>
      <c r="E116" s="61"/>
      <c r="F116" s="61"/>
      <c r="N116" s="175"/>
      <c r="O116" s="61"/>
      <c r="S116" s="199"/>
      <c r="T116" s="200"/>
    </row>
    <row r="117" ht="16.5" customHeight="1">
      <c r="C117" s="61"/>
      <c r="D117" s="175"/>
      <c r="E117" s="61"/>
      <c r="F117" s="61"/>
      <c r="N117" s="175"/>
      <c r="O117" s="61"/>
      <c r="S117" s="199"/>
      <c r="T117" s="200"/>
    </row>
    <row r="118" ht="16.5" customHeight="1">
      <c r="C118" s="61"/>
      <c r="D118" s="175"/>
      <c r="E118" s="61"/>
      <c r="F118" s="61"/>
      <c r="N118" s="175"/>
      <c r="O118" s="61"/>
      <c r="S118" s="199"/>
      <c r="T118" s="200"/>
    </row>
    <row r="119" ht="16.5" customHeight="1">
      <c r="C119" s="61"/>
      <c r="D119" s="175"/>
      <c r="E119" s="61"/>
      <c r="F119" s="61"/>
      <c r="N119" s="175"/>
      <c r="O119" s="61"/>
      <c r="S119" s="199"/>
      <c r="T119" s="200"/>
    </row>
    <row r="120" ht="16.5" customHeight="1">
      <c r="C120" s="61"/>
      <c r="D120" s="175"/>
      <c r="E120" s="61"/>
      <c r="F120" s="61"/>
      <c r="N120" s="175"/>
      <c r="O120" s="61"/>
      <c r="S120" s="199"/>
      <c r="T120" s="200"/>
    </row>
    <row r="121" ht="16.5" customHeight="1">
      <c r="C121" s="61"/>
      <c r="D121" s="175"/>
      <c r="E121" s="61"/>
      <c r="F121" s="61"/>
      <c r="N121" s="175"/>
      <c r="O121" s="61"/>
      <c r="S121" s="199"/>
      <c r="T121" s="200"/>
    </row>
    <row r="122" ht="16.5" customHeight="1">
      <c r="C122" s="61"/>
      <c r="D122" s="175"/>
      <c r="E122" s="61"/>
      <c r="F122" s="61"/>
      <c r="N122" s="175"/>
      <c r="O122" s="61"/>
      <c r="S122" s="199"/>
      <c r="T122" s="200"/>
    </row>
    <row r="123" ht="16.5" customHeight="1">
      <c r="C123" s="61"/>
      <c r="D123" s="175"/>
      <c r="E123" s="61"/>
      <c r="F123" s="61"/>
      <c r="N123" s="175"/>
      <c r="O123" s="61"/>
      <c r="S123" s="199"/>
      <c r="T123" s="200"/>
    </row>
    <row r="124" ht="16.5" customHeight="1">
      <c r="C124" s="61"/>
      <c r="D124" s="175"/>
      <c r="E124" s="61"/>
      <c r="F124" s="61"/>
      <c r="N124" s="175"/>
      <c r="O124" s="61"/>
      <c r="S124" s="199"/>
      <c r="T124" s="200"/>
    </row>
    <row r="125" ht="16.5" customHeight="1">
      <c r="C125" s="61"/>
      <c r="D125" s="175"/>
      <c r="E125" s="61"/>
      <c r="F125" s="61"/>
      <c r="N125" s="175"/>
      <c r="O125" s="61"/>
      <c r="S125" s="199"/>
      <c r="T125" s="200"/>
    </row>
    <row r="126" ht="16.5" customHeight="1">
      <c r="C126" s="61"/>
      <c r="D126" s="175"/>
      <c r="E126" s="61"/>
      <c r="F126" s="61"/>
      <c r="N126" s="175"/>
      <c r="O126" s="61"/>
      <c r="S126" s="199"/>
      <c r="T126" s="200"/>
    </row>
    <row r="127" ht="16.5" customHeight="1">
      <c r="C127" s="61"/>
      <c r="D127" s="175"/>
      <c r="E127" s="61"/>
      <c r="F127" s="61"/>
      <c r="N127" s="175"/>
      <c r="O127" s="61"/>
      <c r="S127" s="199"/>
      <c r="T127" s="200"/>
    </row>
    <row r="128" ht="16.5" customHeight="1">
      <c r="C128" s="61"/>
      <c r="D128" s="175"/>
      <c r="E128" s="61"/>
      <c r="F128" s="61"/>
      <c r="N128" s="175"/>
      <c r="O128" s="61"/>
      <c r="S128" s="199"/>
      <c r="T128" s="200"/>
    </row>
    <row r="129" ht="16.5" customHeight="1">
      <c r="C129" s="61"/>
      <c r="D129" s="175"/>
      <c r="E129" s="61"/>
      <c r="F129" s="61"/>
      <c r="N129" s="175"/>
      <c r="O129" s="61"/>
      <c r="S129" s="199"/>
      <c r="T129" s="200"/>
    </row>
    <row r="130" ht="16.5" customHeight="1">
      <c r="C130" s="61"/>
      <c r="D130" s="175"/>
      <c r="E130" s="61"/>
      <c r="F130" s="61"/>
      <c r="N130" s="175"/>
      <c r="O130" s="61"/>
      <c r="S130" s="199"/>
      <c r="T130" s="200"/>
    </row>
    <row r="131" ht="16.5" customHeight="1">
      <c r="C131" s="61"/>
      <c r="D131" s="175"/>
      <c r="E131" s="61"/>
      <c r="F131" s="61"/>
      <c r="N131" s="175"/>
      <c r="O131" s="61"/>
      <c r="S131" s="199"/>
      <c r="T131" s="200"/>
    </row>
    <row r="132" ht="16.5" customHeight="1">
      <c r="C132" s="61"/>
      <c r="D132" s="175"/>
      <c r="E132" s="61"/>
      <c r="F132" s="61"/>
      <c r="N132" s="175"/>
      <c r="O132" s="61"/>
      <c r="S132" s="199"/>
      <c r="T132" s="200"/>
    </row>
    <row r="133" ht="16.5" customHeight="1">
      <c r="C133" s="61"/>
      <c r="D133" s="175"/>
      <c r="E133" s="61"/>
      <c r="F133" s="61"/>
      <c r="N133" s="175"/>
      <c r="O133" s="61"/>
      <c r="S133" s="199"/>
      <c r="T133" s="200"/>
    </row>
    <row r="134" ht="16.5" customHeight="1">
      <c r="C134" s="61"/>
      <c r="D134" s="175"/>
      <c r="E134" s="61"/>
      <c r="F134" s="61"/>
      <c r="N134" s="175"/>
      <c r="O134" s="61"/>
      <c r="S134" s="199"/>
      <c r="T134" s="200"/>
    </row>
    <row r="135" ht="16.5" customHeight="1">
      <c r="C135" s="61"/>
      <c r="D135" s="175"/>
      <c r="E135" s="61"/>
      <c r="F135" s="61"/>
      <c r="N135" s="175"/>
      <c r="O135" s="61"/>
      <c r="S135" s="199"/>
      <c r="T135" s="200"/>
    </row>
    <row r="136" ht="16.5" customHeight="1">
      <c r="C136" s="61"/>
      <c r="D136" s="175"/>
      <c r="E136" s="61"/>
      <c r="F136" s="61"/>
      <c r="N136" s="175"/>
      <c r="O136" s="61"/>
      <c r="S136" s="199"/>
      <c r="T136" s="200"/>
    </row>
    <row r="137" ht="16.5" customHeight="1">
      <c r="C137" s="61"/>
      <c r="D137" s="175"/>
      <c r="E137" s="61"/>
      <c r="F137" s="61"/>
      <c r="N137" s="175"/>
      <c r="O137" s="61"/>
      <c r="S137" s="199"/>
      <c r="T137" s="200"/>
    </row>
    <row r="138" ht="16.5" customHeight="1">
      <c r="C138" s="61"/>
      <c r="D138" s="175"/>
      <c r="E138" s="61"/>
      <c r="F138" s="61"/>
      <c r="N138" s="175"/>
      <c r="O138" s="61"/>
      <c r="S138" s="199"/>
      <c r="T138" s="200"/>
    </row>
    <row r="139" ht="16.5" customHeight="1">
      <c r="C139" s="61"/>
      <c r="D139" s="175"/>
      <c r="E139" s="61"/>
      <c r="F139" s="61"/>
      <c r="N139" s="175"/>
      <c r="O139" s="61"/>
      <c r="S139" s="199"/>
      <c r="T139" s="200"/>
    </row>
    <row r="140" ht="16.5" customHeight="1">
      <c r="C140" s="61"/>
      <c r="D140" s="175"/>
      <c r="E140" s="61"/>
      <c r="F140" s="61"/>
      <c r="N140" s="175"/>
      <c r="O140" s="61"/>
      <c r="S140" s="199"/>
      <c r="T140" s="200"/>
    </row>
    <row r="141" ht="16.5" customHeight="1">
      <c r="C141" s="61"/>
      <c r="D141" s="175"/>
      <c r="E141" s="61"/>
      <c r="F141" s="61"/>
      <c r="N141" s="175"/>
      <c r="O141" s="61"/>
      <c r="S141" s="199"/>
      <c r="T141" s="200"/>
    </row>
    <row r="142" ht="16.5" customHeight="1">
      <c r="C142" s="61"/>
      <c r="D142" s="175"/>
      <c r="E142" s="61"/>
      <c r="F142" s="61"/>
      <c r="N142" s="175"/>
      <c r="O142" s="61"/>
      <c r="S142" s="199"/>
      <c r="T142" s="200"/>
    </row>
    <row r="143" ht="16.5" customHeight="1">
      <c r="C143" s="61"/>
      <c r="D143" s="175"/>
      <c r="E143" s="61"/>
      <c r="F143" s="61"/>
      <c r="N143" s="175"/>
      <c r="O143" s="61"/>
      <c r="S143" s="199"/>
      <c r="T143" s="200"/>
    </row>
    <row r="144" ht="16.5" customHeight="1">
      <c r="C144" s="61"/>
      <c r="D144" s="175"/>
      <c r="E144" s="61"/>
      <c r="F144" s="61"/>
      <c r="N144" s="175"/>
      <c r="O144" s="61"/>
      <c r="S144" s="199"/>
      <c r="T144" s="200"/>
    </row>
    <row r="145" ht="16.5" customHeight="1">
      <c r="C145" s="61"/>
      <c r="D145" s="175"/>
      <c r="E145" s="61"/>
      <c r="F145" s="61"/>
      <c r="N145" s="175"/>
      <c r="O145" s="61"/>
      <c r="S145" s="199"/>
      <c r="T145" s="200"/>
    </row>
    <row r="146" ht="16.5" customHeight="1">
      <c r="C146" s="61"/>
      <c r="D146" s="175"/>
      <c r="E146" s="61"/>
      <c r="F146" s="61"/>
      <c r="N146" s="175"/>
      <c r="O146" s="61"/>
      <c r="S146" s="199"/>
      <c r="T146" s="200"/>
    </row>
    <row r="147" ht="16.5" customHeight="1">
      <c r="C147" s="61"/>
      <c r="D147" s="175"/>
      <c r="E147" s="61"/>
      <c r="F147" s="61"/>
      <c r="N147" s="175"/>
      <c r="O147" s="61"/>
      <c r="S147" s="199"/>
      <c r="T147" s="200"/>
    </row>
    <row r="148" ht="16.5" customHeight="1">
      <c r="C148" s="61"/>
      <c r="D148" s="175"/>
      <c r="E148" s="61"/>
      <c r="F148" s="61"/>
      <c r="N148" s="175"/>
      <c r="O148" s="61"/>
      <c r="S148" s="199"/>
      <c r="T148" s="200"/>
    </row>
    <row r="149" ht="16.5" customHeight="1">
      <c r="C149" s="61"/>
      <c r="D149" s="175"/>
      <c r="E149" s="61"/>
      <c r="F149" s="61"/>
      <c r="N149" s="175"/>
      <c r="O149" s="61"/>
      <c r="S149" s="199"/>
      <c r="T149" s="200"/>
    </row>
    <row r="150" ht="16.5" customHeight="1">
      <c r="C150" s="61"/>
      <c r="D150" s="175"/>
      <c r="E150" s="61"/>
      <c r="F150" s="61"/>
      <c r="N150" s="175"/>
      <c r="O150" s="61"/>
      <c r="S150" s="199"/>
      <c r="T150" s="200"/>
    </row>
    <row r="151" ht="16.5" customHeight="1">
      <c r="C151" s="61"/>
      <c r="D151" s="175"/>
      <c r="E151" s="61"/>
      <c r="F151" s="61"/>
      <c r="N151" s="175"/>
      <c r="O151" s="61"/>
      <c r="S151" s="199"/>
      <c r="T151" s="200"/>
    </row>
    <row r="152" ht="16.5" customHeight="1">
      <c r="C152" s="61"/>
      <c r="D152" s="175"/>
      <c r="E152" s="61"/>
      <c r="F152" s="61"/>
      <c r="N152" s="175"/>
      <c r="O152" s="61"/>
      <c r="S152" s="199"/>
      <c r="T152" s="200"/>
    </row>
    <row r="153" ht="16.5" customHeight="1">
      <c r="C153" s="61"/>
      <c r="D153" s="175"/>
      <c r="E153" s="61"/>
      <c r="F153" s="61"/>
      <c r="N153" s="175"/>
      <c r="O153" s="61"/>
      <c r="S153" s="199"/>
      <c r="T153" s="200"/>
    </row>
    <row r="154" ht="16.5" customHeight="1">
      <c r="C154" s="61"/>
      <c r="D154" s="175"/>
      <c r="E154" s="61"/>
      <c r="F154" s="61"/>
      <c r="N154" s="175"/>
      <c r="O154" s="61"/>
      <c r="S154" s="199"/>
      <c r="T154" s="200"/>
    </row>
    <row r="155" ht="16.5" customHeight="1">
      <c r="C155" s="61"/>
      <c r="D155" s="175"/>
      <c r="E155" s="61"/>
      <c r="F155" s="61"/>
      <c r="N155" s="175"/>
      <c r="O155" s="61"/>
      <c r="S155" s="199"/>
      <c r="T155" s="200"/>
    </row>
    <row r="156" ht="16.5" customHeight="1">
      <c r="C156" s="61"/>
      <c r="D156" s="175"/>
      <c r="E156" s="61"/>
      <c r="F156" s="61"/>
      <c r="N156" s="175"/>
      <c r="O156" s="61"/>
      <c r="S156" s="199"/>
      <c r="T156" s="200"/>
    </row>
    <row r="157" ht="16.5" customHeight="1">
      <c r="C157" s="61"/>
      <c r="D157" s="175"/>
      <c r="E157" s="61"/>
      <c r="F157" s="61"/>
      <c r="N157" s="175"/>
      <c r="O157" s="61"/>
      <c r="S157" s="199"/>
      <c r="T157" s="200"/>
    </row>
    <row r="158" ht="16.5" customHeight="1">
      <c r="C158" s="61"/>
      <c r="D158" s="175"/>
      <c r="E158" s="61"/>
      <c r="F158" s="61"/>
      <c r="N158" s="175"/>
      <c r="O158" s="61"/>
      <c r="S158" s="199"/>
      <c r="T158" s="200"/>
    </row>
    <row r="159" ht="16.5" customHeight="1">
      <c r="C159" s="61"/>
      <c r="D159" s="175"/>
      <c r="E159" s="61"/>
      <c r="F159" s="61"/>
      <c r="N159" s="175"/>
      <c r="O159" s="61"/>
      <c r="S159" s="199"/>
      <c r="T159" s="200"/>
    </row>
    <row r="160" ht="16.5" customHeight="1">
      <c r="C160" s="61"/>
      <c r="D160" s="175"/>
      <c r="E160" s="61"/>
      <c r="F160" s="61"/>
      <c r="N160" s="175"/>
      <c r="O160" s="61"/>
      <c r="S160" s="199"/>
      <c r="T160" s="200"/>
    </row>
    <row r="161" ht="16.5" customHeight="1">
      <c r="C161" s="61"/>
      <c r="D161" s="175"/>
      <c r="E161" s="61"/>
      <c r="F161" s="61"/>
      <c r="N161" s="175"/>
      <c r="O161" s="61"/>
      <c r="S161" s="199"/>
      <c r="T161" s="200"/>
    </row>
    <row r="162" ht="16.5" customHeight="1">
      <c r="C162" s="61"/>
      <c r="D162" s="175"/>
      <c r="E162" s="61"/>
      <c r="F162" s="61"/>
      <c r="N162" s="175"/>
      <c r="O162" s="61"/>
      <c r="S162" s="199"/>
      <c r="T162" s="200"/>
    </row>
    <row r="163" ht="16.5" customHeight="1">
      <c r="C163" s="61"/>
      <c r="D163" s="175"/>
      <c r="E163" s="61"/>
      <c r="F163" s="61"/>
      <c r="N163" s="175"/>
      <c r="O163" s="61"/>
      <c r="S163" s="199"/>
      <c r="T163" s="200"/>
    </row>
    <row r="164" ht="16.5" customHeight="1">
      <c r="C164" s="61"/>
      <c r="D164" s="175"/>
      <c r="E164" s="61"/>
      <c r="F164" s="61"/>
      <c r="N164" s="175"/>
      <c r="O164" s="61"/>
      <c r="S164" s="199"/>
      <c r="T164" s="200"/>
    </row>
    <row r="165" ht="16.5" customHeight="1">
      <c r="C165" s="61"/>
      <c r="D165" s="175"/>
      <c r="E165" s="61"/>
      <c r="F165" s="61"/>
      <c r="N165" s="175"/>
      <c r="O165" s="61"/>
      <c r="S165" s="199"/>
      <c r="T165" s="200"/>
    </row>
    <row r="166" ht="16.5" customHeight="1">
      <c r="C166" s="61"/>
      <c r="D166" s="175"/>
      <c r="E166" s="61"/>
      <c r="F166" s="61"/>
      <c r="N166" s="175"/>
      <c r="O166" s="61"/>
      <c r="S166" s="199"/>
      <c r="T166" s="200"/>
    </row>
    <row r="167" ht="16.5" customHeight="1">
      <c r="C167" s="61"/>
      <c r="D167" s="175"/>
      <c r="E167" s="61"/>
      <c r="F167" s="61"/>
      <c r="N167" s="175"/>
      <c r="O167" s="61"/>
      <c r="S167" s="199"/>
      <c r="T167" s="200"/>
    </row>
    <row r="168" ht="16.5" customHeight="1">
      <c r="C168" s="61"/>
      <c r="D168" s="175"/>
      <c r="E168" s="61"/>
      <c r="F168" s="61"/>
      <c r="N168" s="175"/>
      <c r="O168" s="61"/>
      <c r="S168" s="199"/>
      <c r="T168" s="200"/>
    </row>
    <row r="169" ht="16.5" customHeight="1">
      <c r="C169" s="61"/>
      <c r="D169" s="175"/>
      <c r="E169" s="61"/>
      <c r="F169" s="61"/>
      <c r="N169" s="175"/>
      <c r="O169" s="61"/>
      <c r="S169" s="199"/>
      <c r="T169" s="200"/>
    </row>
    <row r="170" ht="16.5" customHeight="1">
      <c r="C170" s="61"/>
      <c r="D170" s="175"/>
      <c r="E170" s="61"/>
      <c r="F170" s="61"/>
      <c r="N170" s="175"/>
      <c r="O170" s="61"/>
      <c r="S170" s="199"/>
      <c r="T170" s="200"/>
    </row>
    <row r="171" ht="16.5" customHeight="1">
      <c r="C171" s="61"/>
      <c r="D171" s="175"/>
      <c r="E171" s="61"/>
      <c r="F171" s="61"/>
      <c r="N171" s="175"/>
      <c r="O171" s="61"/>
      <c r="S171" s="199"/>
      <c r="T171" s="200"/>
    </row>
    <row r="172" ht="16.5" customHeight="1">
      <c r="C172" s="61"/>
      <c r="D172" s="175"/>
      <c r="E172" s="61"/>
      <c r="F172" s="61"/>
      <c r="N172" s="175"/>
      <c r="O172" s="61"/>
      <c r="S172" s="199"/>
      <c r="T172" s="200"/>
    </row>
    <row r="173" ht="16.5" customHeight="1">
      <c r="C173" s="61"/>
      <c r="D173" s="175"/>
      <c r="E173" s="61"/>
      <c r="F173" s="61"/>
      <c r="N173" s="175"/>
      <c r="O173" s="61"/>
      <c r="S173" s="199"/>
      <c r="T173" s="200"/>
    </row>
    <row r="174" ht="16.5" customHeight="1">
      <c r="C174" s="61"/>
      <c r="D174" s="175"/>
      <c r="E174" s="61"/>
      <c r="F174" s="61"/>
      <c r="N174" s="175"/>
      <c r="O174" s="61"/>
      <c r="S174" s="199"/>
      <c r="T174" s="200"/>
    </row>
    <row r="175" ht="16.5" customHeight="1">
      <c r="C175" s="61"/>
      <c r="D175" s="175"/>
      <c r="E175" s="61"/>
      <c r="F175" s="61"/>
      <c r="N175" s="175"/>
      <c r="O175" s="61"/>
      <c r="S175" s="199"/>
      <c r="T175" s="200"/>
    </row>
    <row r="176" ht="16.5" customHeight="1">
      <c r="C176" s="61"/>
      <c r="D176" s="175"/>
      <c r="E176" s="61"/>
      <c r="F176" s="61"/>
      <c r="N176" s="175"/>
      <c r="O176" s="61"/>
      <c r="S176" s="199"/>
      <c r="T176" s="200"/>
    </row>
    <row r="177" ht="16.5" customHeight="1">
      <c r="C177" s="61"/>
      <c r="D177" s="175"/>
      <c r="E177" s="61"/>
      <c r="F177" s="61"/>
      <c r="N177" s="175"/>
      <c r="O177" s="61"/>
      <c r="S177" s="199"/>
      <c r="T177" s="200"/>
    </row>
    <row r="178" ht="16.5" customHeight="1">
      <c r="C178" s="61"/>
      <c r="D178" s="175"/>
      <c r="E178" s="61"/>
      <c r="F178" s="61"/>
      <c r="N178" s="175"/>
      <c r="O178" s="61"/>
      <c r="S178" s="199"/>
      <c r="T178" s="200"/>
    </row>
    <row r="179" ht="16.5" customHeight="1">
      <c r="C179" s="61"/>
      <c r="D179" s="175"/>
      <c r="E179" s="61"/>
      <c r="F179" s="61"/>
      <c r="N179" s="175"/>
      <c r="O179" s="61"/>
      <c r="S179" s="199"/>
      <c r="T179" s="200"/>
    </row>
    <row r="180" ht="16.5" customHeight="1">
      <c r="C180" s="61"/>
      <c r="D180" s="175"/>
      <c r="E180" s="61"/>
      <c r="F180" s="61"/>
      <c r="N180" s="175"/>
      <c r="O180" s="61"/>
      <c r="S180" s="199"/>
      <c r="T180" s="200"/>
    </row>
    <row r="181" ht="16.5" customHeight="1">
      <c r="C181" s="61"/>
      <c r="D181" s="175"/>
      <c r="E181" s="61"/>
      <c r="F181" s="61"/>
      <c r="N181" s="175"/>
      <c r="O181" s="61"/>
      <c r="S181" s="199"/>
      <c r="T181" s="200"/>
    </row>
    <row r="182" ht="16.5" customHeight="1">
      <c r="C182" s="61"/>
      <c r="D182" s="175"/>
      <c r="E182" s="61"/>
      <c r="F182" s="61"/>
      <c r="N182" s="175"/>
      <c r="O182" s="61"/>
      <c r="S182" s="199"/>
      <c r="T182" s="200"/>
    </row>
    <row r="183" ht="16.5" customHeight="1">
      <c r="C183" s="61"/>
      <c r="D183" s="175"/>
      <c r="E183" s="61"/>
      <c r="F183" s="61"/>
      <c r="N183" s="175"/>
      <c r="O183" s="61"/>
      <c r="S183" s="199"/>
      <c r="T183" s="200"/>
    </row>
    <row r="184" ht="16.5" customHeight="1">
      <c r="C184" s="61"/>
      <c r="D184" s="175"/>
      <c r="E184" s="61"/>
      <c r="F184" s="61"/>
      <c r="N184" s="175"/>
      <c r="O184" s="61"/>
      <c r="S184" s="199"/>
      <c r="T184" s="200"/>
    </row>
    <row r="185" ht="16.5" customHeight="1">
      <c r="C185" s="61"/>
      <c r="D185" s="175"/>
      <c r="E185" s="61"/>
      <c r="F185" s="61"/>
      <c r="N185" s="175"/>
      <c r="O185" s="61"/>
      <c r="S185" s="199"/>
      <c r="T185" s="200"/>
    </row>
    <row r="186" ht="16.5" customHeight="1">
      <c r="C186" s="61"/>
      <c r="D186" s="175"/>
      <c r="E186" s="61"/>
      <c r="F186" s="61"/>
      <c r="N186" s="175"/>
      <c r="O186" s="61"/>
      <c r="S186" s="199"/>
      <c r="T186" s="200"/>
    </row>
    <row r="187" ht="16.5" customHeight="1">
      <c r="C187" s="61"/>
      <c r="D187" s="175"/>
      <c r="E187" s="61"/>
      <c r="F187" s="61"/>
      <c r="N187" s="175"/>
      <c r="O187" s="61"/>
      <c r="S187" s="199"/>
      <c r="T187" s="200"/>
    </row>
    <row r="188" ht="16.5" customHeight="1">
      <c r="C188" s="61"/>
      <c r="D188" s="175"/>
      <c r="E188" s="61"/>
      <c r="F188" s="61"/>
      <c r="N188" s="175"/>
      <c r="O188" s="61"/>
      <c r="S188" s="199"/>
      <c r="T188" s="200"/>
    </row>
    <row r="189" ht="16.5" customHeight="1">
      <c r="C189" s="61"/>
      <c r="D189" s="175"/>
      <c r="E189" s="61"/>
      <c r="F189" s="61"/>
      <c r="N189" s="175"/>
      <c r="O189" s="61"/>
      <c r="S189" s="199"/>
      <c r="T189" s="200"/>
    </row>
    <row r="190" ht="16.5" customHeight="1">
      <c r="C190" s="61"/>
      <c r="D190" s="175"/>
      <c r="E190" s="61"/>
      <c r="F190" s="61"/>
      <c r="N190" s="175"/>
      <c r="O190" s="61"/>
      <c r="S190" s="199"/>
      <c r="T190" s="200"/>
    </row>
    <row r="191" ht="16.5" customHeight="1">
      <c r="C191" s="61"/>
      <c r="D191" s="175"/>
      <c r="E191" s="61"/>
      <c r="F191" s="61"/>
      <c r="N191" s="175"/>
      <c r="O191" s="61"/>
      <c r="S191" s="199"/>
      <c r="T191" s="200"/>
    </row>
    <row r="192" ht="16.5" customHeight="1">
      <c r="C192" s="61"/>
      <c r="D192" s="175"/>
      <c r="E192" s="61"/>
      <c r="F192" s="61"/>
      <c r="N192" s="175"/>
      <c r="O192" s="61"/>
      <c r="S192" s="199"/>
      <c r="T192" s="200"/>
    </row>
    <row r="193" ht="16.5" customHeight="1">
      <c r="C193" s="61"/>
      <c r="D193" s="175"/>
      <c r="E193" s="61"/>
      <c r="F193" s="61"/>
      <c r="N193" s="175"/>
      <c r="O193" s="61"/>
      <c r="S193" s="199"/>
      <c r="T193" s="200"/>
    </row>
    <row r="194" ht="16.5" customHeight="1">
      <c r="C194" s="61"/>
      <c r="D194" s="175"/>
      <c r="E194" s="61"/>
      <c r="F194" s="61"/>
      <c r="N194" s="175"/>
      <c r="O194" s="61"/>
      <c r="S194" s="199"/>
      <c r="T194" s="200"/>
    </row>
    <row r="195" ht="16.5" customHeight="1">
      <c r="C195" s="61"/>
      <c r="D195" s="175"/>
      <c r="E195" s="61"/>
      <c r="F195" s="61"/>
      <c r="N195" s="175"/>
      <c r="O195" s="61"/>
      <c r="S195" s="199"/>
      <c r="T195" s="200"/>
    </row>
    <row r="196" ht="16.5" customHeight="1">
      <c r="C196" s="61"/>
      <c r="D196" s="175"/>
      <c r="E196" s="61"/>
      <c r="F196" s="61"/>
      <c r="N196" s="175"/>
      <c r="O196" s="61"/>
      <c r="S196" s="199"/>
      <c r="T196" s="200"/>
    </row>
    <row r="197" ht="16.5" customHeight="1">
      <c r="C197" s="61"/>
      <c r="D197" s="175"/>
      <c r="E197" s="61"/>
      <c r="F197" s="61"/>
      <c r="N197" s="175"/>
      <c r="O197" s="61"/>
      <c r="S197" s="199"/>
      <c r="T197" s="200"/>
    </row>
    <row r="198" ht="16.5" customHeight="1">
      <c r="C198" s="61"/>
      <c r="D198" s="175"/>
      <c r="E198" s="61"/>
      <c r="F198" s="61"/>
      <c r="N198" s="175"/>
      <c r="O198" s="61"/>
      <c r="S198" s="199"/>
      <c r="T198" s="200"/>
    </row>
    <row r="199" ht="16.5" customHeight="1">
      <c r="C199" s="61"/>
      <c r="D199" s="175"/>
      <c r="E199" s="61"/>
      <c r="F199" s="61"/>
      <c r="N199" s="175"/>
      <c r="O199" s="61"/>
      <c r="S199" s="199"/>
      <c r="T199" s="200"/>
    </row>
    <row r="200" ht="16.5" customHeight="1">
      <c r="C200" s="61"/>
      <c r="D200" s="175"/>
      <c r="E200" s="61"/>
      <c r="F200" s="61"/>
      <c r="N200" s="175"/>
      <c r="O200" s="61"/>
      <c r="S200" s="199"/>
      <c r="T200" s="200"/>
    </row>
    <row r="201" ht="16.5" customHeight="1">
      <c r="C201" s="61"/>
      <c r="D201" s="175"/>
      <c r="E201" s="61"/>
      <c r="F201" s="61"/>
      <c r="N201" s="175"/>
      <c r="O201" s="61"/>
      <c r="S201" s="199"/>
      <c r="T201" s="200"/>
    </row>
    <row r="202" ht="16.5" customHeight="1">
      <c r="C202" s="61"/>
      <c r="D202" s="175"/>
      <c r="E202" s="61"/>
      <c r="F202" s="61"/>
      <c r="N202" s="175"/>
      <c r="O202" s="61"/>
      <c r="S202" s="199"/>
      <c r="T202" s="200"/>
    </row>
    <row r="203" ht="16.5" customHeight="1">
      <c r="C203" s="61"/>
      <c r="D203" s="175"/>
      <c r="E203" s="61"/>
      <c r="F203" s="61"/>
      <c r="N203" s="175"/>
      <c r="O203" s="61"/>
      <c r="S203" s="199"/>
      <c r="T203" s="200"/>
    </row>
    <row r="204" ht="16.5" customHeight="1">
      <c r="C204" s="61"/>
      <c r="D204" s="175"/>
      <c r="E204" s="61"/>
      <c r="F204" s="61"/>
      <c r="N204" s="175"/>
      <c r="O204" s="61"/>
      <c r="S204" s="199"/>
      <c r="T204" s="200"/>
    </row>
    <row r="205" ht="16.5" customHeight="1">
      <c r="C205" s="61"/>
      <c r="D205" s="175"/>
      <c r="E205" s="61"/>
      <c r="F205" s="61"/>
      <c r="N205" s="175"/>
      <c r="O205" s="61"/>
      <c r="S205" s="199"/>
      <c r="T205" s="200"/>
    </row>
    <row r="206" ht="16.5" customHeight="1">
      <c r="C206" s="61"/>
      <c r="D206" s="175"/>
      <c r="E206" s="61"/>
      <c r="F206" s="61"/>
      <c r="N206" s="175"/>
      <c r="O206" s="61"/>
      <c r="S206" s="199"/>
      <c r="T206" s="200"/>
    </row>
    <row r="207" ht="16.5" customHeight="1">
      <c r="C207" s="61"/>
      <c r="D207" s="175"/>
      <c r="E207" s="61"/>
      <c r="F207" s="61"/>
      <c r="N207" s="175"/>
      <c r="O207" s="61"/>
      <c r="S207" s="199"/>
      <c r="T207" s="200"/>
    </row>
    <row r="208" ht="16.5" customHeight="1">
      <c r="C208" s="61"/>
      <c r="D208" s="175"/>
      <c r="E208" s="61"/>
      <c r="F208" s="61"/>
      <c r="N208" s="175"/>
      <c r="O208" s="61"/>
      <c r="S208" s="199"/>
      <c r="T208" s="200"/>
    </row>
    <row r="209" ht="16.5" customHeight="1">
      <c r="C209" s="61"/>
      <c r="D209" s="175"/>
      <c r="E209" s="61"/>
      <c r="F209" s="61"/>
      <c r="N209" s="175"/>
      <c r="O209" s="61"/>
      <c r="S209" s="199"/>
      <c r="T209" s="200"/>
    </row>
    <row r="210" ht="16.5" customHeight="1">
      <c r="C210" s="61"/>
      <c r="D210" s="175"/>
      <c r="E210" s="61"/>
      <c r="F210" s="61"/>
      <c r="N210" s="175"/>
      <c r="O210" s="61"/>
      <c r="S210" s="199"/>
      <c r="T210" s="200"/>
    </row>
    <row r="211" ht="16.5" customHeight="1">
      <c r="C211" s="61"/>
      <c r="D211" s="175"/>
      <c r="E211" s="61"/>
      <c r="F211" s="61"/>
      <c r="N211" s="175"/>
      <c r="O211" s="61"/>
      <c r="S211" s="199"/>
      <c r="T211" s="200"/>
    </row>
    <row r="212" ht="16.5" customHeight="1">
      <c r="C212" s="61"/>
      <c r="D212" s="175"/>
      <c r="E212" s="61"/>
      <c r="F212" s="61"/>
      <c r="N212" s="175"/>
      <c r="O212" s="61"/>
      <c r="S212" s="199"/>
      <c r="T212" s="200"/>
    </row>
    <row r="213" ht="16.5" customHeight="1">
      <c r="C213" s="61"/>
      <c r="D213" s="175"/>
      <c r="E213" s="61"/>
      <c r="F213" s="61"/>
      <c r="N213" s="175"/>
      <c r="O213" s="61"/>
      <c r="S213" s="199"/>
      <c r="T213" s="200"/>
    </row>
    <row r="214" ht="16.5" customHeight="1">
      <c r="C214" s="61"/>
      <c r="D214" s="175"/>
      <c r="E214" s="61"/>
      <c r="F214" s="61"/>
      <c r="N214" s="175"/>
      <c r="O214" s="61"/>
      <c r="S214" s="199"/>
      <c r="T214" s="200"/>
    </row>
    <row r="215" ht="16.5" customHeight="1">
      <c r="C215" s="61"/>
      <c r="D215" s="175"/>
      <c r="E215" s="61"/>
      <c r="F215" s="61"/>
      <c r="N215" s="175"/>
      <c r="O215" s="61"/>
      <c r="S215" s="199"/>
      <c r="T215" s="200"/>
    </row>
    <row r="216" ht="16.5" customHeight="1">
      <c r="C216" s="61"/>
      <c r="D216" s="175"/>
      <c r="E216" s="61"/>
      <c r="F216" s="61"/>
      <c r="N216" s="175"/>
      <c r="O216" s="61"/>
      <c r="S216" s="199"/>
      <c r="T216" s="200"/>
    </row>
    <row r="217" ht="16.5" customHeight="1">
      <c r="C217" s="61"/>
      <c r="D217" s="175"/>
      <c r="E217" s="61"/>
      <c r="F217" s="61"/>
      <c r="N217" s="175"/>
      <c r="O217" s="61"/>
      <c r="S217" s="199"/>
      <c r="T217" s="200"/>
    </row>
    <row r="218" ht="16.5" customHeight="1">
      <c r="C218" s="61"/>
      <c r="D218" s="175"/>
      <c r="E218" s="61"/>
      <c r="F218" s="61"/>
      <c r="N218" s="175"/>
      <c r="O218" s="61"/>
      <c r="S218" s="199"/>
      <c r="T218" s="200"/>
    </row>
    <row r="219" ht="16.5" customHeight="1">
      <c r="C219" s="61"/>
      <c r="D219" s="175"/>
      <c r="E219" s="61"/>
      <c r="F219" s="61"/>
      <c r="N219" s="175"/>
      <c r="O219" s="61"/>
      <c r="S219" s="199"/>
      <c r="T219" s="200"/>
    </row>
    <row r="220" ht="16.5" customHeight="1">
      <c r="C220" s="61"/>
      <c r="D220" s="175"/>
      <c r="E220" s="61"/>
      <c r="F220" s="61"/>
      <c r="N220" s="175"/>
      <c r="O220" s="61"/>
      <c r="S220" s="199"/>
      <c r="T220" s="200"/>
    </row>
    <row r="221" ht="16.5" customHeight="1">
      <c r="C221" s="61"/>
      <c r="D221" s="175"/>
      <c r="E221" s="61"/>
      <c r="F221" s="61"/>
      <c r="N221" s="175"/>
      <c r="O221" s="61"/>
      <c r="S221" s="199"/>
      <c r="T221" s="200"/>
    </row>
    <row r="222" ht="16.5" customHeight="1">
      <c r="C222" s="61"/>
      <c r="D222" s="175"/>
      <c r="E222" s="61"/>
      <c r="F222" s="61"/>
      <c r="N222" s="175"/>
      <c r="O222" s="61"/>
      <c r="S222" s="199"/>
      <c r="T222" s="200"/>
    </row>
    <row r="223" ht="16.5" customHeight="1">
      <c r="C223" s="61"/>
      <c r="D223" s="175"/>
      <c r="E223" s="61"/>
      <c r="F223" s="61"/>
      <c r="N223" s="175"/>
      <c r="O223" s="61"/>
      <c r="S223" s="199"/>
      <c r="T223" s="200"/>
    </row>
    <row r="224" ht="16.5" customHeight="1">
      <c r="C224" s="61"/>
      <c r="D224" s="175"/>
      <c r="E224" s="61"/>
      <c r="F224" s="61"/>
      <c r="N224" s="175"/>
      <c r="O224" s="61"/>
      <c r="S224" s="199"/>
      <c r="T224" s="200"/>
    </row>
    <row r="225" ht="16.5" customHeight="1">
      <c r="C225" s="61"/>
      <c r="D225" s="175"/>
      <c r="E225" s="61"/>
      <c r="F225" s="61"/>
      <c r="N225" s="175"/>
      <c r="O225" s="61"/>
      <c r="S225" s="199"/>
      <c r="T225" s="200"/>
    </row>
    <row r="226" ht="16.5" customHeight="1">
      <c r="C226" s="61"/>
      <c r="D226" s="175"/>
      <c r="E226" s="61"/>
      <c r="F226" s="61"/>
      <c r="N226" s="175"/>
      <c r="O226" s="61"/>
      <c r="S226" s="199"/>
      <c r="T226" s="200"/>
    </row>
    <row r="227" ht="16.5" customHeight="1">
      <c r="C227" s="61"/>
      <c r="D227" s="175"/>
      <c r="E227" s="61"/>
      <c r="F227" s="61"/>
      <c r="N227" s="175"/>
      <c r="O227" s="61"/>
      <c r="S227" s="199"/>
      <c r="T227" s="200"/>
    </row>
    <row r="228" ht="16.5" customHeight="1">
      <c r="C228" s="61"/>
      <c r="D228" s="175"/>
      <c r="E228" s="61"/>
      <c r="F228" s="61"/>
      <c r="N228" s="175"/>
      <c r="O228" s="61"/>
      <c r="S228" s="199"/>
      <c r="T228" s="200"/>
    </row>
    <row r="229" ht="16.5" customHeight="1">
      <c r="C229" s="61"/>
      <c r="D229" s="175"/>
      <c r="E229" s="61"/>
      <c r="F229" s="61"/>
      <c r="N229" s="175"/>
      <c r="O229" s="61"/>
      <c r="S229" s="199"/>
      <c r="T229" s="200"/>
    </row>
    <row r="230" ht="16.5" customHeight="1">
      <c r="C230" s="61"/>
      <c r="D230" s="175"/>
      <c r="E230" s="61"/>
      <c r="F230" s="61"/>
      <c r="N230" s="175"/>
      <c r="O230" s="61"/>
      <c r="S230" s="199"/>
      <c r="T230" s="200"/>
    </row>
    <row r="231" ht="16.5" customHeight="1">
      <c r="C231" s="61"/>
      <c r="D231" s="175"/>
      <c r="E231" s="61"/>
      <c r="F231" s="61"/>
      <c r="N231" s="175"/>
      <c r="O231" s="61"/>
      <c r="S231" s="199"/>
      <c r="T231" s="200"/>
    </row>
    <row r="232" ht="16.5" customHeight="1">
      <c r="C232" s="61"/>
      <c r="D232" s="175"/>
      <c r="E232" s="61"/>
      <c r="F232" s="61"/>
      <c r="N232" s="175"/>
      <c r="O232" s="61"/>
      <c r="S232" s="199"/>
      <c r="T232" s="200"/>
    </row>
    <row r="233" ht="16.5" customHeight="1">
      <c r="C233" s="61"/>
      <c r="D233" s="175"/>
      <c r="E233" s="61"/>
      <c r="F233" s="61"/>
      <c r="N233" s="175"/>
      <c r="O233" s="61"/>
      <c r="S233" s="199"/>
      <c r="T233" s="200"/>
    </row>
    <row r="234" ht="16.5" customHeight="1">
      <c r="C234" s="61"/>
      <c r="D234" s="175"/>
      <c r="E234" s="61"/>
      <c r="F234" s="61"/>
      <c r="N234" s="175"/>
      <c r="O234" s="61"/>
      <c r="S234" s="199"/>
      <c r="T234" s="200"/>
    </row>
    <row r="235" ht="16.5" customHeight="1">
      <c r="C235" s="61"/>
      <c r="D235" s="175"/>
      <c r="E235" s="61"/>
      <c r="F235" s="61"/>
      <c r="N235" s="175"/>
      <c r="O235" s="61"/>
      <c r="S235" s="199"/>
      <c r="T235" s="200"/>
    </row>
    <row r="236" ht="16.5" customHeight="1">
      <c r="C236" s="61"/>
      <c r="D236" s="175"/>
      <c r="E236" s="61"/>
      <c r="F236" s="61"/>
      <c r="N236" s="175"/>
      <c r="O236" s="61"/>
      <c r="S236" s="199"/>
      <c r="T236" s="200"/>
    </row>
    <row r="237" ht="16.5" customHeight="1">
      <c r="C237" s="61"/>
      <c r="D237" s="175"/>
      <c r="E237" s="61"/>
      <c r="F237" s="61"/>
      <c r="N237" s="175"/>
      <c r="O237" s="61"/>
      <c r="S237" s="199"/>
      <c r="T237" s="200"/>
    </row>
    <row r="238" ht="16.5" customHeight="1">
      <c r="C238" s="61"/>
      <c r="D238" s="175"/>
      <c r="E238" s="61"/>
      <c r="F238" s="61"/>
      <c r="N238" s="175"/>
      <c r="O238" s="61"/>
      <c r="S238" s="199"/>
      <c r="T238" s="200"/>
    </row>
    <row r="239" ht="16.5" customHeight="1">
      <c r="C239" s="61"/>
      <c r="D239" s="175"/>
      <c r="E239" s="61"/>
      <c r="F239" s="61"/>
      <c r="N239" s="175"/>
      <c r="O239" s="61"/>
      <c r="S239" s="199"/>
      <c r="T239" s="200"/>
    </row>
    <row r="240" ht="16.5" customHeight="1">
      <c r="C240" s="61"/>
      <c r="D240" s="175"/>
      <c r="E240" s="61"/>
      <c r="F240" s="61"/>
      <c r="N240" s="175"/>
      <c r="O240" s="61"/>
      <c r="S240" s="199"/>
      <c r="T240" s="200"/>
    </row>
    <row r="241" ht="16.5" customHeight="1">
      <c r="C241" s="61"/>
      <c r="D241" s="175"/>
      <c r="E241" s="61"/>
      <c r="F241" s="61"/>
      <c r="N241" s="175"/>
      <c r="O241" s="61"/>
      <c r="S241" s="199"/>
      <c r="T241" s="200"/>
    </row>
    <row r="242" ht="16.5" customHeight="1">
      <c r="C242" s="61"/>
      <c r="D242" s="175"/>
      <c r="E242" s="61"/>
      <c r="F242" s="61"/>
      <c r="N242" s="175"/>
      <c r="O242" s="61"/>
      <c r="S242" s="199"/>
      <c r="T242" s="200"/>
    </row>
    <row r="243" ht="16.5" customHeight="1">
      <c r="C243" s="61"/>
      <c r="D243" s="175"/>
      <c r="E243" s="61"/>
      <c r="F243" s="61"/>
      <c r="N243" s="175"/>
      <c r="O243" s="61"/>
      <c r="S243" s="199"/>
      <c r="T243" s="200"/>
    </row>
    <row r="244" ht="16.5" customHeight="1">
      <c r="C244" s="61"/>
      <c r="D244" s="175"/>
      <c r="E244" s="61"/>
      <c r="F244" s="61"/>
      <c r="N244" s="175"/>
      <c r="O244" s="61"/>
      <c r="S244" s="199"/>
      <c r="T244" s="200"/>
    </row>
    <row r="245" ht="16.5" customHeight="1">
      <c r="C245" s="61"/>
      <c r="D245" s="175"/>
      <c r="E245" s="61"/>
      <c r="F245" s="61"/>
      <c r="N245" s="175"/>
      <c r="O245" s="61"/>
      <c r="S245" s="199"/>
      <c r="T245" s="200"/>
    </row>
    <row r="246" ht="16.5" customHeight="1">
      <c r="C246" s="61"/>
      <c r="D246" s="175"/>
      <c r="E246" s="61"/>
      <c r="F246" s="61"/>
      <c r="N246" s="175"/>
      <c r="O246" s="61"/>
      <c r="S246" s="199"/>
      <c r="T246" s="200"/>
    </row>
    <row r="247" ht="16.5" customHeight="1">
      <c r="C247" s="61"/>
      <c r="D247" s="175"/>
      <c r="E247" s="61"/>
      <c r="F247" s="61"/>
      <c r="N247" s="175"/>
      <c r="O247" s="61"/>
      <c r="S247" s="199"/>
      <c r="T247" s="200"/>
    </row>
    <row r="248" ht="16.5" customHeight="1">
      <c r="C248" s="61"/>
      <c r="D248" s="175"/>
      <c r="E248" s="61"/>
      <c r="F248" s="61"/>
      <c r="N248" s="175"/>
      <c r="O248" s="61"/>
      <c r="S248" s="199"/>
      <c r="T248" s="200"/>
    </row>
    <row r="249" ht="16.5" customHeight="1">
      <c r="C249" s="61"/>
      <c r="D249" s="175"/>
      <c r="E249" s="61"/>
      <c r="F249" s="61"/>
      <c r="N249" s="175"/>
      <c r="O249" s="61"/>
      <c r="S249" s="199"/>
      <c r="T249" s="200"/>
    </row>
    <row r="250" ht="16.5" customHeight="1">
      <c r="C250" s="61"/>
      <c r="D250" s="175"/>
      <c r="E250" s="61"/>
      <c r="F250" s="61"/>
      <c r="N250" s="175"/>
      <c r="O250" s="61"/>
      <c r="S250" s="199"/>
      <c r="T250" s="200"/>
    </row>
    <row r="251" ht="16.5" customHeight="1">
      <c r="C251" s="61"/>
      <c r="D251" s="175"/>
      <c r="E251" s="61"/>
      <c r="F251" s="61"/>
      <c r="N251" s="175"/>
      <c r="O251" s="61"/>
      <c r="S251" s="199"/>
      <c r="T251" s="200"/>
    </row>
    <row r="252" ht="16.5" customHeight="1">
      <c r="C252" s="61"/>
      <c r="D252" s="175"/>
      <c r="E252" s="61"/>
      <c r="F252" s="61"/>
      <c r="N252" s="175"/>
      <c r="O252" s="61"/>
      <c r="S252" s="199"/>
      <c r="T252" s="200"/>
    </row>
    <row r="253" ht="16.5" customHeight="1">
      <c r="C253" s="61"/>
      <c r="D253" s="175"/>
      <c r="E253" s="61"/>
      <c r="F253" s="61"/>
      <c r="N253" s="175"/>
      <c r="O253" s="61"/>
      <c r="S253" s="199"/>
      <c r="T253" s="200"/>
    </row>
    <row r="254" ht="16.5" customHeight="1">
      <c r="C254" s="61"/>
      <c r="D254" s="175"/>
      <c r="E254" s="61"/>
      <c r="F254" s="61"/>
      <c r="N254" s="175"/>
      <c r="O254" s="61"/>
      <c r="S254" s="199"/>
      <c r="T254" s="200"/>
    </row>
    <row r="255" ht="16.5" customHeight="1">
      <c r="C255" s="61"/>
      <c r="D255" s="175"/>
      <c r="E255" s="61"/>
      <c r="F255" s="61"/>
      <c r="N255" s="175"/>
      <c r="O255" s="61"/>
      <c r="S255" s="199"/>
      <c r="T255" s="200"/>
    </row>
    <row r="256" ht="16.5" customHeight="1">
      <c r="C256" s="61"/>
      <c r="D256" s="175"/>
      <c r="E256" s="61"/>
      <c r="F256" s="61"/>
      <c r="N256" s="175"/>
      <c r="O256" s="61"/>
      <c r="S256" s="199"/>
      <c r="T256" s="200"/>
    </row>
    <row r="257" ht="16.5" customHeight="1">
      <c r="C257" s="61"/>
      <c r="D257" s="175"/>
      <c r="E257" s="61"/>
      <c r="F257" s="61"/>
      <c r="N257" s="175"/>
      <c r="O257" s="61"/>
      <c r="S257" s="199"/>
      <c r="T257" s="200"/>
    </row>
    <row r="258" ht="16.5" customHeight="1">
      <c r="C258" s="61"/>
      <c r="D258" s="175"/>
      <c r="E258" s="61"/>
      <c r="F258" s="61"/>
      <c r="N258" s="175"/>
      <c r="O258" s="61"/>
      <c r="S258" s="199"/>
      <c r="T258" s="200"/>
    </row>
    <row r="259" ht="16.5" customHeight="1">
      <c r="C259" s="61"/>
      <c r="D259" s="175"/>
      <c r="E259" s="61"/>
      <c r="F259" s="61"/>
      <c r="N259" s="175"/>
      <c r="O259" s="61"/>
      <c r="S259" s="199"/>
      <c r="T259" s="200"/>
    </row>
    <row r="260" ht="16.5" customHeight="1">
      <c r="C260" s="61"/>
      <c r="D260" s="175"/>
      <c r="E260" s="61"/>
      <c r="F260" s="61"/>
      <c r="N260" s="175"/>
      <c r="O260" s="61"/>
      <c r="S260" s="199"/>
      <c r="T260" s="200"/>
    </row>
    <row r="261" ht="16.5" customHeight="1">
      <c r="C261" s="61"/>
      <c r="D261" s="175"/>
      <c r="E261" s="61"/>
      <c r="F261" s="61"/>
      <c r="N261" s="175"/>
      <c r="O261" s="61"/>
      <c r="S261" s="199"/>
      <c r="T261" s="200"/>
    </row>
    <row r="262" ht="16.5" customHeight="1">
      <c r="C262" s="61"/>
      <c r="D262" s="175"/>
      <c r="E262" s="61"/>
      <c r="F262" s="61"/>
      <c r="N262" s="175"/>
      <c r="O262" s="61"/>
      <c r="S262" s="199"/>
      <c r="T262" s="200"/>
    </row>
    <row r="263" ht="16.5" customHeight="1">
      <c r="C263" s="61"/>
      <c r="D263" s="175"/>
      <c r="E263" s="61"/>
      <c r="F263" s="61"/>
      <c r="N263" s="175"/>
      <c r="O263" s="61"/>
      <c r="S263" s="199"/>
      <c r="T263" s="200"/>
    </row>
    <row r="264" ht="16.5" customHeight="1">
      <c r="C264" s="61"/>
      <c r="D264" s="175"/>
      <c r="E264" s="61"/>
      <c r="F264" s="61"/>
      <c r="N264" s="175"/>
      <c r="O264" s="61"/>
      <c r="S264" s="199"/>
      <c r="T264" s="200"/>
    </row>
    <row r="265" ht="16.5" customHeight="1">
      <c r="C265" s="61"/>
      <c r="D265" s="175"/>
      <c r="E265" s="61"/>
      <c r="F265" s="61"/>
      <c r="N265" s="175"/>
      <c r="O265" s="61"/>
      <c r="S265" s="199"/>
      <c r="T265" s="200"/>
    </row>
    <row r="266" ht="16.5" customHeight="1">
      <c r="C266" s="61"/>
      <c r="D266" s="175"/>
      <c r="E266" s="61"/>
      <c r="F266" s="61"/>
      <c r="N266" s="175"/>
      <c r="O266" s="61"/>
      <c r="S266" s="199"/>
      <c r="T266" s="200"/>
    </row>
    <row r="267" ht="16.5" customHeight="1">
      <c r="C267" s="61"/>
      <c r="D267" s="175"/>
      <c r="E267" s="61"/>
      <c r="F267" s="61"/>
      <c r="N267" s="175"/>
      <c r="O267" s="61"/>
      <c r="S267" s="199"/>
      <c r="T267" s="200"/>
    </row>
    <row r="268" ht="16.5" customHeight="1">
      <c r="C268" s="61"/>
      <c r="D268" s="175"/>
      <c r="E268" s="61"/>
      <c r="F268" s="61"/>
      <c r="N268" s="175"/>
      <c r="O268" s="61"/>
      <c r="S268" s="199"/>
      <c r="T268" s="200"/>
    </row>
    <row r="269" ht="16.5" customHeight="1">
      <c r="C269" s="61"/>
      <c r="D269" s="175"/>
      <c r="E269" s="61"/>
      <c r="F269" s="61"/>
      <c r="N269" s="175"/>
      <c r="O269" s="61"/>
      <c r="S269" s="199"/>
      <c r="T269" s="200"/>
    </row>
    <row r="270" ht="16.5" customHeight="1">
      <c r="C270" s="61"/>
      <c r="D270" s="175"/>
      <c r="E270" s="61"/>
      <c r="F270" s="61"/>
      <c r="N270" s="175"/>
      <c r="O270" s="61"/>
      <c r="S270" s="199"/>
      <c r="T270" s="200"/>
    </row>
    <row r="271" ht="16.5" customHeight="1">
      <c r="C271" s="61"/>
      <c r="D271" s="175"/>
      <c r="E271" s="61"/>
      <c r="F271" s="61"/>
      <c r="N271" s="175"/>
      <c r="O271" s="61"/>
      <c r="S271" s="199"/>
      <c r="T271" s="200"/>
    </row>
    <row r="272" ht="16.5" customHeight="1">
      <c r="C272" s="61"/>
      <c r="D272" s="175"/>
      <c r="E272" s="61"/>
      <c r="F272" s="61"/>
      <c r="N272" s="175"/>
      <c r="O272" s="61"/>
      <c r="S272" s="199"/>
      <c r="T272" s="200"/>
    </row>
    <row r="273" ht="16.5" customHeight="1">
      <c r="C273" s="61"/>
      <c r="D273" s="175"/>
      <c r="E273" s="61"/>
      <c r="F273" s="61"/>
      <c r="N273" s="175"/>
      <c r="O273" s="61"/>
      <c r="S273" s="199"/>
      <c r="T273" s="200"/>
    </row>
    <row r="274" ht="16.5" customHeight="1">
      <c r="C274" s="61"/>
      <c r="D274" s="175"/>
      <c r="E274" s="61"/>
      <c r="F274" s="61"/>
      <c r="N274" s="175"/>
      <c r="O274" s="61"/>
      <c r="S274" s="199"/>
      <c r="T274" s="200"/>
    </row>
    <row r="275" ht="16.5" customHeight="1">
      <c r="C275" s="61"/>
      <c r="D275" s="175"/>
      <c r="E275" s="61"/>
      <c r="F275" s="61"/>
      <c r="N275" s="175"/>
      <c r="O275" s="61"/>
      <c r="S275" s="199"/>
      <c r="T275" s="200"/>
    </row>
    <row r="276" ht="16.5" customHeight="1">
      <c r="C276" s="61"/>
      <c r="D276" s="175"/>
      <c r="E276" s="61"/>
      <c r="F276" s="61"/>
      <c r="N276" s="175"/>
      <c r="O276" s="61"/>
      <c r="S276" s="199"/>
      <c r="T276" s="200"/>
    </row>
    <row r="277" ht="16.5" customHeight="1">
      <c r="C277" s="61"/>
      <c r="D277" s="175"/>
      <c r="E277" s="61"/>
      <c r="F277" s="61"/>
      <c r="N277" s="175"/>
      <c r="O277" s="61"/>
      <c r="S277" s="199"/>
      <c r="T277" s="200"/>
    </row>
    <row r="278" ht="16.5" customHeight="1">
      <c r="C278" s="61"/>
      <c r="D278" s="175"/>
      <c r="E278" s="61"/>
      <c r="F278" s="61"/>
      <c r="N278" s="175"/>
      <c r="O278" s="61"/>
      <c r="S278" s="199"/>
      <c r="T278" s="200"/>
    </row>
    <row r="279" ht="16.5" customHeight="1">
      <c r="C279" s="61"/>
      <c r="D279" s="175"/>
      <c r="E279" s="61"/>
      <c r="F279" s="61"/>
      <c r="N279" s="175"/>
      <c r="O279" s="61"/>
      <c r="S279" s="199"/>
      <c r="T279" s="200"/>
    </row>
    <row r="280" ht="16.5" customHeight="1">
      <c r="C280" s="61"/>
      <c r="D280" s="175"/>
      <c r="E280" s="61"/>
      <c r="F280" s="61"/>
      <c r="N280" s="175"/>
      <c r="O280" s="61"/>
      <c r="S280" s="199"/>
      <c r="T280" s="200"/>
    </row>
    <row r="281" ht="16.5" customHeight="1">
      <c r="C281" s="61"/>
      <c r="D281" s="175"/>
      <c r="E281" s="61"/>
      <c r="F281" s="61"/>
      <c r="N281" s="175"/>
      <c r="O281" s="61"/>
      <c r="S281" s="199"/>
      <c r="T281" s="200"/>
    </row>
    <row r="282" ht="16.5" customHeight="1">
      <c r="C282" s="61"/>
      <c r="D282" s="175"/>
      <c r="E282" s="61"/>
      <c r="F282" s="61"/>
      <c r="N282" s="175"/>
      <c r="O282" s="61"/>
      <c r="S282" s="199"/>
      <c r="T282" s="200"/>
    </row>
    <row r="283" ht="16.5" customHeight="1">
      <c r="C283" s="61"/>
      <c r="D283" s="175"/>
      <c r="E283" s="61"/>
      <c r="F283" s="61"/>
      <c r="N283" s="175"/>
      <c r="O283" s="61"/>
      <c r="S283" s="199"/>
      <c r="T283" s="200"/>
    </row>
    <row r="284" ht="16.5" customHeight="1">
      <c r="C284" s="61"/>
      <c r="D284" s="175"/>
      <c r="E284" s="61"/>
      <c r="F284" s="61"/>
      <c r="N284" s="175"/>
      <c r="O284" s="61"/>
      <c r="S284" s="199"/>
      <c r="T284" s="200"/>
    </row>
    <row r="285" ht="16.5" customHeight="1">
      <c r="C285" s="61"/>
      <c r="D285" s="175"/>
      <c r="E285" s="61"/>
      <c r="F285" s="61"/>
      <c r="N285" s="175"/>
      <c r="O285" s="61"/>
      <c r="S285" s="199"/>
      <c r="T285" s="200"/>
    </row>
    <row r="286" ht="16.5" customHeight="1">
      <c r="C286" s="61"/>
      <c r="D286" s="175"/>
      <c r="E286" s="61"/>
      <c r="F286" s="61"/>
      <c r="N286" s="175"/>
      <c r="O286" s="61"/>
      <c r="S286" s="199"/>
      <c r="T286" s="200"/>
    </row>
    <row r="287" ht="16.5" customHeight="1">
      <c r="C287" s="61"/>
      <c r="D287" s="175"/>
      <c r="E287" s="61"/>
      <c r="F287" s="61"/>
      <c r="N287" s="175"/>
      <c r="O287" s="61"/>
      <c r="S287" s="199"/>
      <c r="T287" s="200"/>
    </row>
    <row r="288" ht="16.5" customHeight="1">
      <c r="C288" s="61"/>
      <c r="D288" s="175"/>
      <c r="E288" s="61"/>
      <c r="F288" s="61"/>
      <c r="N288" s="175"/>
      <c r="O288" s="61"/>
      <c r="S288" s="199"/>
      <c r="T288" s="200"/>
    </row>
    <row r="289" ht="16.5" customHeight="1">
      <c r="C289" s="61"/>
      <c r="D289" s="175"/>
      <c r="E289" s="61"/>
      <c r="F289" s="61"/>
      <c r="N289" s="175"/>
      <c r="O289" s="61"/>
      <c r="S289" s="199"/>
      <c r="T289" s="200"/>
    </row>
    <row r="290" ht="16.5" customHeight="1">
      <c r="C290" s="61"/>
      <c r="D290" s="175"/>
      <c r="E290" s="61"/>
      <c r="F290" s="61"/>
      <c r="N290" s="175"/>
      <c r="O290" s="61"/>
      <c r="S290" s="199"/>
      <c r="T290" s="200"/>
    </row>
    <row r="291" ht="16.5" customHeight="1">
      <c r="C291" s="61"/>
      <c r="D291" s="175"/>
      <c r="E291" s="61"/>
      <c r="F291" s="61"/>
      <c r="N291" s="175"/>
      <c r="O291" s="61"/>
      <c r="S291" s="199"/>
      <c r="T291" s="200"/>
    </row>
    <row r="292" ht="16.5" customHeight="1">
      <c r="C292" s="61"/>
      <c r="D292" s="175"/>
      <c r="E292" s="61"/>
      <c r="F292" s="61"/>
      <c r="N292" s="175"/>
      <c r="O292" s="61"/>
      <c r="S292" s="199"/>
      <c r="T292" s="200"/>
    </row>
    <row r="293" ht="16.5" customHeight="1">
      <c r="C293" s="61"/>
      <c r="D293" s="175"/>
      <c r="E293" s="61"/>
      <c r="F293" s="61"/>
      <c r="N293" s="175"/>
      <c r="O293" s="61"/>
      <c r="S293" s="199"/>
      <c r="T293" s="200"/>
    </row>
    <row r="294" ht="16.5" customHeight="1">
      <c r="C294" s="61"/>
      <c r="D294" s="175"/>
      <c r="E294" s="61"/>
      <c r="F294" s="61"/>
      <c r="N294" s="175"/>
      <c r="O294" s="61"/>
      <c r="S294" s="199"/>
      <c r="T294" s="200"/>
    </row>
    <row r="295" ht="16.5" customHeight="1">
      <c r="C295" s="61"/>
      <c r="D295" s="175"/>
      <c r="E295" s="61"/>
      <c r="F295" s="61"/>
      <c r="N295" s="175"/>
      <c r="O295" s="61"/>
      <c r="S295" s="199"/>
      <c r="T295" s="200"/>
    </row>
    <row r="296" ht="16.5" customHeight="1">
      <c r="C296" s="61"/>
      <c r="D296" s="175"/>
      <c r="E296" s="61"/>
      <c r="F296" s="61"/>
      <c r="N296" s="175"/>
      <c r="O296" s="61"/>
      <c r="S296" s="199"/>
      <c r="T296" s="200"/>
    </row>
    <row r="297" ht="16.5" customHeight="1">
      <c r="C297" s="61"/>
      <c r="D297" s="175"/>
      <c r="E297" s="61"/>
      <c r="F297" s="61"/>
      <c r="N297" s="175"/>
      <c r="O297" s="61"/>
      <c r="S297" s="199"/>
      <c r="T297" s="200"/>
    </row>
    <row r="298" ht="16.5" customHeight="1">
      <c r="C298" s="61"/>
      <c r="D298" s="175"/>
      <c r="E298" s="61"/>
      <c r="F298" s="61"/>
      <c r="N298" s="175"/>
      <c r="O298" s="61"/>
      <c r="S298" s="199"/>
      <c r="T298" s="200"/>
    </row>
    <row r="299" ht="16.5" customHeight="1">
      <c r="C299" s="61"/>
      <c r="D299" s="175"/>
      <c r="E299" s="61"/>
      <c r="F299" s="61"/>
      <c r="N299" s="175"/>
      <c r="O299" s="61"/>
      <c r="S299" s="199"/>
      <c r="T299" s="200"/>
    </row>
    <row r="300" ht="16.5" customHeight="1">
      <c r="C300" s="61"/>
      <c r="D300" s="175"/>
      <c r="E300" s="61"/>
      <c r="F300" s="61"/>
      <c r="N300" s="175"/>
      <c r="O300" s="61"/>
      <c r="S300" s="199"/>
      <c r="T300" s="200"/>
    </row>
    <row r="301" ht="16.5" customHeight="1">
      <c r="C301" s="61"/>
      <c r="D301" s="175"/>
      <c r="E301" s="61"/>
      <c r="F301" s="61"/>
      <c r="N301" s="175"/>
      <c r="O301" s="61"/>
      <c r="S301" s="199"/>
      <c r="T301" s="200"/>
    </row>
    <row r="302" ht="16.5" customHeight="1">
      <c r="C302" s="61"/>
      <c r="D302" s="175"/>
      <c r="E302" s="61"/>
      <c r="F302" s="61"/>
      <c r="N302" s="175"/>
      <c r="O302" s="61"/>
      <c r="S302" s="199"/>
      <c r="T302" s="200"/>
    </row>
    <row r="303" ht="16.5" customHeight="1">
      <c r="C303" s="61"/>
      <c r="D303" s="175"/>
      <c r="E303" s="61"/>
      <c r="F303" s="61"/>
      <c r="N303" s="175"/>
      <c r="O303" s="61"/>
      <c r="S303" s="199"/>
      <c r="T303" s="200"/>
    </row>
    <row r="304" ht="16.5" customHeight="1">
      <c r="C304" s="61"/>
      <c r="D304" s="175"/>
      <c r="E304" s="61"/>
      <c r="F304" s="61"/>
      <c r="N304" s="175"/>
      <c r="O304" s="61"/>
      <c r="S304" s="199"/>
      <c r="T304" s="200"/>
    </row>
    <row r="305" ht="16.5" customHeight="1">
      <c r="C305" s="61"/>
      <c r="D305" s="175"/>
      <c r="E305" s="61"/>
      <c r="F305" s="61"/>
      <c r="N305" s="175"/>
      <c r="O305" s="61"/>
      <c r="S305" s="199"/>
      <c r="T305" s="200"/>
    </row>
    <row r="306" ht="16.5" customHeight="1">
      <c r="C306" s="61"/>
      <c r="D306" s="175"/>
      <c r="E306" s="61"/>
      <c r="F306" s="61"/>
      <c r="N306" s="175"/>
      <c r="O306" s="61"/>
      <c r="S306" s="199"/>
      <c r="T306" s="200"/>
    </row>
    <row r="307" ht="16.5" customHeight="1">
      <c r="C307" s="61"/>
      <c r="D307" s="175"/>
      <c r="E307" s="61"/>
      <c r="F307" s="61"/>
      <c r="N307" s="175"/>
      <c r="O307" s="61"/>
      <c r="S307" s="199"/>
      <c r="T307" s="200"/>
    </row>
    <row r="308" ht="16.5" customHeight="1">
      <c r="C308" s="61"/>
      <c r="D308" s="175"/>
      <c r="E308" s="61"/>
      <c r="F308" s="61"/>
      <c r="N308" s="175"/>
      <c r="O308" s="61"/>
      <c r="S308" s="199"/>
      <c r="T308" s="200"/>
    </row>
    <row r="309" ht="16.5" customHeight="1">
      <c r="C309" s="61"/>
      <c r="D309" s="175"/>
      <c r="E309" s="61"/>
      <c r="F309" s="61"/>
      <c r="N309" s="175"/>
      <c r="O309" s="61"/>
      <c r="S309" s="199"/>
      <c r="T309" s="200"/>
    </row>
    <row r="310" ht="16.5" customHeight="1">
      <c r="C310" s="61"/>
      <c r="D310" s="175"/>
      <c r="E310" s="61"/>
      <c r="F310" s="61"/>
      <c r="N310" s="175"/>
      <c r="O310" s="61"/>
      <c r="S310" s="199"/>
      <c r="T310" s="200"/>
    </row>
    <row r="311" ht="16.5" customHeight="1">
      <c r="C311" s="61"/>
      <c r="D311" s="175"/>
      <c r="E311" s="61"/>
      <c r="F311" s="61"/>
      <c r="N311" s="175"/>
      <c r="O311" s="61"/>
      <c r="S311" s="199"/>
      <c r="T311" s="200"/>
    </row>
    <row r="312" ht="16.5" customHeight="1">
      <c r="C312" s="61"/>
      <c r="D312" s="175"/>
      <c r="E312" s="61"/>
      <c r="F312" s="61"/>
      <c r="N312" s="175"/>
      <c r="O312" s="61"/>
      <c r="S312" s="199"/>
      <c r="T312" s="200"/>
    </row>
    <row r="313" ht="16.5" customHeight="1">
      <c r="C313" s="61"/>
      <c r="D313" s="175"/>
      <c r="E313" s="61"/>
      <c r="F313" s="61"/>
      <c r="N313" s="175"/>
      <c r="O313" s="61"/>
      <c r="S313" s="199"/>
      <c r="T313" s="200"/>
    </row>
    <row r="314" ht="16.5" customHeight="1">
      <c r="C314" s="61"/>
      <c r="D314" s="175"/>
      <c r="E314" s="61"/>
      <c r="F314" s="61"/>
      <c r="N314" s="175"/>
      <c r="O314" s="61"/>
      <c r="S314" s="199"/>
      <c r="T314" s="200"/>
    </row>
    <row r="315" ht="16.5" customHeight="1">
      <c r="C315" s="61"/>
      <c r="D315" s="175"/>
      <c r="E315" s="61"/>
      <c r="F315" s="61"/>
      <c r="N315" s="175"/>
      <c r="O315" s="61"/>
      <c r="S315" s="199"/>
      <c r="T315" s="200"/>
    </row>
    <row r="316" ht="16.5" customHeight="1">
      <c r="C316" s="61"/>
      <c r="D316" s="175"/>
      <c r="E316" s="61"/>
      <c r="F316" s="61"/>
      <c r="N316" s="175"/>
      <c r="O316" s="61"/>
      <c r="S316" s="199"/>
      <c r="T316" s="200"/>
    </row>
    <row r="317" ht="16.5" customHeight="1">
      <c r="C317" s="61"/>
      <c r="D317" s="175"/>
      <c r="E317" s="61"/>
      <c r="F317" s="61"/>
      <c r="N317" s="175"/>
      <c r="O317" s="61"/>
      <c r="S317" s="199"/>
      <c r="T317" s="200"/>
    </row>
    <row r="318" ht="16.5" customHeight="1">
      <c r="C318" s="61"/>
      <c r="D318" s="175"/>
      <c r="E318" s="61"/>
      <c r="F318" s="61"/>
      <c r="N318" s="175"/>
      <c r="O318" s="61"/>
      <c r="S318" s="199"/>
      <c r="T318" s="200"/>
    </row>
    <row r="319" ht="16.5" customHeight="1">
      <c r="C319" s="61"/>
      <c r="D319" s="175"/>
      <c r="E319" s="61"/>
      <c r="F319" s="61"/>
      <c r="N319" s="175"/>
      <c r="O319" s="61"/>
      <c r="S319" s="199"/>
      <c r="T319" s="200"/>
    </row>
    <row r="320" ht="16.5" customHeight="1">
      <c r="C320" s="61"/>
      <c r="D320" s="175"/>
      <c r="E320" s="61"/>
      <c r="F320" s="61"/>
      <c r="N320" s="175"/>
      <c r="O320" s="61"/>
      <c r="S320" s="199"/>
      <c r="T320" s="200"/>
    </row>
    <row r="321" ht="16.5" customHeight="1">
      <c r="C321" s="61"/>
      <c r="D321" s="175"/>
      <c r="E321" s="61"/>
      <c r="F321" s="61"/>
      <c r="N321" s="175"/>
      <c r="O321" s="61"/>
      <c r="S321" s="199"/>
      <c r="T321" s="200"/>
    </row>
    <row r="322" ht="16.5" customHeight="1">
      <c r="C322" s="61"/>
      <c r="D322" s="175"/>
      <c r="E322" s="61"/>
      <c r="F322" s="61"/>
      <c r="N322" s="175"/>
      <c r="O322" s="61"/>
      <c r="S322" s="199"/>
      <c r="T322" s="200"/>
    </row>
    <row r="323" ht="16.5" customHeight="1">
      <c r="C323" s="61"/>
      <c r="D323" s="175"/>
      <c r="E323" s="61"/>
      <c r="F323" s="61"/>
      <c r="N323" s="175"/>
      <c r="O323" s="61"/>
      <c r="S323" s="199"/>
      <c r="T323" s="200"/>
    </row>
    <row r="324" ht="16.5" customHeight="1">
      <c r="C324" s="61"/>
      <c r="D324" s="175"/>
      <c r="E324" s="61"/>
      <c r="F324" s="61"/>
      <c r="N324" s="175"/>
      <c r="O324" s="61"/>
      <c r="S324" s="199"/>
      <c r="T324" s="200"/>
    </row>
    <row r="325" ht="16.5" customHeight="1">
      <c r="C325" s="61"/>
      <c r="D325" s="175"/>
      <c r="E325" s="61"/>
      <c r="F325" s="61"/>
      <c r="N325" s="175"/>
      <c r="O325" s="61"/>
      <c r="S325" s="199"/>
      <c r="T325" s="200"/>
    </row>
    <row r="326" ht="16.5" customHeight="1">
      <c r="C326" s="61"/>
      <c r="D326" s="175"/>
      <c r="E326" s="61"/>
      <c r="F326" s="61"/>
      <c r="N326" s="175"/>
      <c r="O326" s="61"/>
      <c r="S326" s="199"/>
      <c r="T326" s="200"/>
    </row>
    <row r="327" ht="16.5" customHeight="1">
      <c r="C327" s="61"/>
      <c r="D327" s="175"/>
      <c r="E327" s="61"/>
      <c r="F327" s="61"/>
      <c r="N327" s="175"/>
      <c r="O327" s="61"/>
      <c r="S327" s="199"/>
      <c r="T327" s="200"/>
    </row>
    <row r="328" ht="16.5" customHeight="1">
      <c r="C328" s="61"/>
      <c r="D328" s="175"/>
      <c r="E328" s="61"/>
      <c r="F328" s="61"/>
      <c r="N328" s="175"/>
      <c r="O328" s="61"/>
      <c r="S328" s="199"/>
      <c r="T328" s="200"/>
    </row>
    <row r="329" ht="16.5" customHeight="1">
      <c r="C329" s="61"/>
      <c r="D329" s="175"/>
      <c r="E329" s="61"/>
      <c r="F329" s="61"/>
      <c r="N329" s="175"/>
      <c r="O329" s="61"/>
      <c r="S329" s="199"/>
      <c r="T329" s="200"/>
    </row>
    <row r="330" ht="16.5" customHeight="1">
      <c r="C330" s="61"/>
      <c r="D330" s="175"/>
      <c r="E330" s="61"/>
      <c r="F330" s="61"/>
      <c r="N330" s="175"/>
      <c r="O330" s="61"/>
      <c r="S330" s="199"/>
      <c r="T330" s="200"/>
    </row>
    <row r="331" ht="16.5" customHeight="1">
      <c r="C331" s="61"/>
      <c r="D331" s="175"/>
      <c r="E331" s="61"/>
      <c r="F331" s="61"/>
      <c r="N331" s="175"/>
      <c r="O331" s="61"/>
      <c r="S331" s="199"/>
      <c r="T331" s="200"/>
    </row>
    <row r="332" ht="16.5" customHeight="1">
      <c r="C332" s="61"/>
      <c r="D332" s="175"/>
      <c r="E332" s="61"/>
      <c r="F332" s="61"/>
      <c r="N332" s="175"/>
      <c r="O332" s="61"/>
      <c r="S332" s="199"/>
      <c r="T332" s="200"/>
    </row>
    <row r="333" ht="16.5" customHeight="1">
      <c r="C333" s="61"/>
      <c r="D333" s="175"/>
      <c r="E333" s="61"/>
      <c r="F333" s="61"/>
      <c r="N333" s="175"/>
      <c r="O333" s="61"/>
      <c r="S333" s="199"/>
      <c r="T333" s="200"/>
    </row>
    <row r="334" ht="16.5" customHeight="1">
      <c r="C334" s="61"/>
      <c r="D334" s="175"/>
      <c r="E334" s="61"/>
      <c r="F334" s="61"/>
      <c r="N334" s="175"/>
      <c r="O334" s="61"/>
      <c r="S334" s="199"/>
      <c r="T334" s="200"/>
    </row>
    <row r="335" ht="16.5" customHeight="1">
      <c r="C335" s="61"/>
      <c r="D335" s="175"/>
      <c r="E335" s="61"/>
      <c r="F335" s="61"/>
      <c r="N335" s="175"/>
      <c r="O335" s="61"/>
      <c r="S335" s="199"/>
      <c r="T335" s="200"/>
    </row>
    <row r="336" ht="16.5" customHeight="1">
      <c r="C336" s="61"/>
      <c r="D336" s="175"/>
      <c r="E336" s="61"/>
      <c r="F336" s="61"/>
      <c r="N336" s="175"/>
      <c r="O336" s="61"/>
      <c r="S336" s="199"/>
      <c r="T336" s="200"/>
    </row>
    <row r="337" ht="16.5" customHeight="1">
      <c r="C337" s="61"/>
      <c r="D337" s="175"/>
      <c r="E337" s="61"/>
      <c r="F337" s="61"/>
      <c r="N337" s="175"/>
      <c r="O337" s="61"/>
      <c r="S337" s="199"/>
      <c r="T337" s="200"/>
    </row>
    <row r="338" ht="16.5" customHeight="1">
      <c r="C338" s="61"/>
      <c r="D338" s="175"/>
      <c r="E338" s="61"/>
      <c r="F338" s="61"/>
      <c r="N338" s="175"/>
      <c r="O338" s="61"/>
      <c r="S338" s="199"/>
      <c r="T338" s="200"/>
    </row>
    <row r="339" ht="16.5" customHeight="1">
      <c r="C339" s="61"/>
      <c r="D339" s="175"/>
      <c r="E339" s="61"/>
      <c r="F339" s="61"/>
      <c r="N339" s="175"/>
      <c r="O339" s="61"/>
      <c r="S339" s="199"/>
      <c r="T339" s="200"/>
    </row>
    <row r="340" ht="16.5" customHeight="1">
      <c r="C340" s="61"/>
      <c r="D340" s="175"/>
      <c r="E340" s="61"/>
      <c r="F340" s="61"/>
      <c r="N340" s="175"/>
      <c r="O340" s="61"/>
      <c r="S340" s="199"/>
      <c r="T340" s="200"/>
    </row>
    <row r="341" ht="16.5" customHeight="1">
      <c r="C341" s="61"/>
      <c r="D341" s="175"/>
      <c r="E341" s="61"/>
      <c r="F341" s="61"/>
      <c r="N341" s="175"/>
      <c r="O341" s="61"/>
      <c r="S341" s="199"/>
      <c r="T341" s="200"/>
    </row>
    <row r="342" ht="16.5" customHeight="1">
      <c r="C342" s="61"/>
      <c r="D342" s="175"/>
      <c r="E342" s="61"/>
      <c r="F342" s="61"/>
      <c r="N342" s="175"/>
      <c r="O342" s="61"/>
      <c r="S342" s="199"/>
      <c r="T342" s="200"/>
    </row>
    <row r="343" ht="16.5" customHeight="1">
      <c r="C343" s="61"/>
      <c r="D343" s="175"/>
      <c r="E343" s="61"/>
      <c r="F343" s="61"/>
      <c r="N343" s="175"/>
      <c r="O343" s="61"/>
      <c r="S343" s="199"/>
      <c r="T343" s="200"/>
    </row>
    <row r="344" ht="16.5" customHeight="1">
      <c r="C344" s="61"/>
      <c r="D344" s="175"/>
      <c r="E344" s="61"/>
      <c r="F344" s="61"/>
      <c r="N344" s="175"/>
      <c r="O344" s="61"/>
      <c r="S344" s="199"/>
      <c r="T344" s="200"/>
    </row>
    <row r="345" ht="16.5" customHeight="1">
      <c r="C345" s="61"/>
      <c r="D345" s="175"/>
      <c r="E345" s="61"/>
      <c r="F345" s="61"/>
      <c r="N345" s="175"/>
      <c r="O345" s="61"/>
      <c r="S345" s="199"/>
      <c r="T345" s="200"/>
    </row>
    <row r="346" ht="16.5" customHeight="1">
      <c r="C346" s="61"/>
      <c r="D346" s="175"/>
      <c r="E346" s="61"/>
      <c r="F346" s="61"/>
      <c r="N346" s="175"/>
      <c r="O346" s="61"/>
      <c r="S346" s="199"/>
      <c r="T346" s="200"/>
    </row>
    <row r="347" ht="16.5" customHeight="1">
      <c r="C347" s="61"/>
      <c r="D347" s="175"/>
      <c r="E347" s="61"/>
      <c r="F347" s="61"/>
      <c r="N347" s="175"/>
      <c r="O347" s="61"/>
      <c r="S347" s="199"/>
      <c r="T347" s="200"/>
    </row>
    <row r="348" ht="16.5" customHeight="1">
      <c r="C348" s="61"/>
      <c r="D348" s="175"/>
      <c r="E348" s="61"/>
      <c r="F348" s="61"/>
      <c r="N348" s="175"/>
      <c r="O348" s="61"/>
      <c r="S348" s="199"/>
      <c r="T348" s="200"/>
    </row>
    <row r="349" ht="16.5" customHeight="1">
      <c r="C349" s="61"/>
      <c r="D349" s="175"/>
      <c r="E349" s="61"/>
      <c r="F349" s="61"/>
      <c r="N349" s="175"/>
      <c r="O349" s="61"/>
      <c r="S349" s="199"/>
      <c r="T349" s="200"/>
    </row>
    <row r="350" ht="16.5" customHeight="1">
      <c r="C350" s="61"/>
      <c r="D350" s="175"/>
      <c r="E350" s="61"/>
      <c r="F350" s="61"/>
      <c r="N350" s="175"/>
      <c r="O350" s="61"/>
      <c r="S350" s="199"/>
      <c r="T350" s="200"/>
    </row>
    <row r="351" ht="16.5" customHeight="1">
      <c r="C351" s="61"/>
      <c r="D351" s="175"/>
      <c r="E351" s="61"/>
      <c r="F351" s="61"/>
      <c r="N351" s="175"/>
      <c r="O351" s="61"/>
      <c r="S351" s="199"/>
      <c r="T351" s="200"/>
    </row>
    <row r="352" ht="16.5" customHeight="1">
      <c r="C352" s="61"/>
      <c r="D352" s="175"/>
      <c r="E352" s="61"/>
      <c r="F352" s="61"/>
      <c r="N352" s="175"/>
      <c r="O352" s="61"/>
      <c r="S352" s="199"/>
      <c r="T352" s="200"/>
    </row>
    <row r="353" ht="16.5" customHeight="1">
      <c r="C353" s="61"/>
      <c r="D353" s="175"/>
      <c r="E353" s="61"/>
      <c r="F353" s="61"/>
      <c r="N353" s="175"/>
      <c r="O353" s="61"/>
      <c r="S353" s="199"/>
      <c r="T353" s="200"/>
    </row>
    <row r="354" ht="16.5" customHeight="1">
      <c r="C354" s="61"/>
      <c r="D354" s="175"/>
      <c r="E354" s="61"/>
      <c r="F354" s="61"/>
      <c r="N354" s="175"/>
      <c r="O354" s="61"/>
      <c r="S354" s="199"/>
      <c r="T354" s="200"/>
    </row>
    <row r="355" ht="16.5" customHeight="1">
      <c r="C355" s="61"/>
      <c r="D355" s="175"/>
      <c r="E355" s="61"/>
      <c r="F355" s="61"/>
      <c r="N355" s="175"/>
      <c r="O355" s="61"/>
      <c r="S355" s="199"/>
      <c r="T355" s="200"/>
    </row>
    <row r="356" ht="16.5" customHeight="1">
      <c r="C356" s="61"/>
      <c r="D356" s="175"/>
      <c r="E356" s="61"/>
      <c r="F356" s="61"/>
      <c r="N356" s="175"/>
      <c r="O356" s="61"/>
      <c r="S356" s="199"/>
      <c r="T356" s="200"/>
    </row>
    <row r="357" ht="16.5" customHeight="1">
      <c r="C357" s="61"/>
      <c r="D357" s="175"/>
      <c r="E357" s="61"/>
      <c r="F357" s="61"/>
      <c r="N357" s="175"/>
      <c r="O357" s="61"/>
      <c r="S357" s="199"/>
      <c r="T357" s="200"/>
    </row>
    <row r="358" ht="16.5" customHeight="1">
      <c r="C358" s="61"/>
      <c r="D358" s="175"/>
      <c r="E358" s="61"/>
      <c r="F358" s="61"/>
      <c r="N358" s="175"/>
      <c r="O358" s="61"/>
      <c r="S358" s="199"/>
      <c r="T358" s="200"/>
    </row>
    <row r="359" ht="16.5" customHeight="1">
      <c r="C359" s="61"/>
      <c r="D359" s="175"/>
      <c r="E359" s="61"/>
      <c r="F359" s="61"/>
      <c r="N359" s="175"/>
      <c r="O359" s="61"/>
      <c r="S359" s="199"/>
      <c r="T359" s="200"/>
    </row>
    <row r="360" ht="16.5" customHeight="1">
      <c r="C360" s="61"/>
      <c r="D360" s="175"/>
      <c r="E360" s="61"/>
      <c r="F360" s="61"/>
      <c r="N360" s="175"/>
      <c r="O360" s="61"/>
      <c r="S360" s="199"/>
      <c r="T360" s="200"/>
    </row>
    <row r="361" ht="16.5" customHeight="1">
      <c r="C361" s="61"/>
      <c r="D361" s="175"/>
      <c r="E361" s="61"/>
      <c r="F361" s="61"/>
      <c r="N361" s="175"/>
      <c r="O361" s="61"/>
      <c r="S361" s="199"/>
      <c r="T361" s="200"/>
    </row>
    <row r="362" ht="16.5" customHeight="1">
      <c r="C362" s="61"/>
      <c r="D362" s="175"/>
      <c r="E362" s="61"/>
      <c r="F362" s="61"/>
      <c r="N362" s="175"/>
      <c r="O362" s="61"/>
      <c r="S362" s="199"/>
      <c r="T362" s="200"/>
    </row>
    <row r="363" ht="16.5" customHeight="1">
      <c r="C363" s="61"/>
      <c r="D363" s="175"/>
      <c r="E363" s="61"/>
      <c r="F363" s="61"/>
      <c r="N363" s="175"/>
      <c r="O363" s="61"/>
      <c r="S363" s="199"/>
      <c r="T363" s="200"/>
    </row>
    <row r="364" ht="16.5" customHeight="1">
      <c r="C364" s="61"/>
      <c r="D364" s="175"/>
      <c r="E364" s="61"/>
      <c r="F364" s="61"/>
      <c r="N364" s="175"/>
      <c r="O364" s="61"/>
      <c r="S364" s="199"/>
      <c r="T364" s="200"/>
    </row>
    <row r="365" ht="16.5" customHeight="1">
      <c r="C365" s="61"/>
      <c r="D365" s="175"/>
      <c r="E365" s="61"/>
      <c r="F365" s="61"/>
      <c r="N365" s="175"/>
      <c r="O365" s="61"/>
      <c r="S365" s="199"/>
      <c r="T365" s="200"/>
    </row>
    <row r="366" ht="16.5" customHeight="1">
      <c r="C366" s="61"/>
      <c r="D366" s="175"/>
      <c r="E366" s="61"/>
      <c r="F366" s="61"/>
      <c r="N366" s="175"/>
      <c r="O366" s="61"/>
      <c r="S366" s="199"/>
      <c r="T366" s="200"/>
    </row>
    <row r="367" ht="16.5" customHeight="1">
      <c r="C367" s="61"/>
      <c r="D367" s="175"/>
      <c r="E367" s="61"/>
      <c r="F367" s="61"/>
      <c r="N367" s="175"/>
      <c r="O367" s="61"/>
      <c r="S367" s="199"/>
      <c r="T367" s="200"/>
    </row>
    <row r="368" ht="16.5" customHeight="1">
      <c r="C368" s="61"/>
      <c r="D368" s="175"/>
      <c r="E368" s="61"/>
      <c r="F368" s="61"/>
      <c r="N368" s="175"/>
      <c r="O368" s="61"/>
      <c r="S368" s="199"/>
      <c r="T368" s="200"/>
    </row>
    <row r="369" ht="16.5" customHeight="1">
      <c r="C369" s="61"/>
      <c r="D369" s="175"/>
      <c r="E369" s="61"/>
      <c r="F369" s="61"/>
      <c r="N369" s="175"/>
      <c r="O369" s="61"/>
      <c r="S369" s="199"/>
      <c r="T369" s="200"/>
    </row>
    <row r="370" ht="16.5" customHeight="1">
      <c r="C370" s="61"/>
      <c r="D370" s="175"/>
      <c r="E370" s="61"/>
      <c r="F370" s="61"/>
      <c r="N370" s="175"/>
      <c r="O370" s="61"/>
      <c r="S370" s="199"/>
      <c r="T370" s="200"/>
    </row>
    <row r="371" ht="16.5" customHeight="1">
      <c r="C371" s="61"/>
      <c r="D371" s="175"/>
      <c r="E371" s="61"/>
      <c r="F371" s="61"/>
      <c r="N371" s="175"/>
      <c r="O371" s="61"/>
      <c r="S371" s="199"/>
      <c r="T371" s="200"/>
    </row>
    <row r="372" ht="16.5" customHeight="1">
      <c r="C372" s="61"/>
      <c r="D372" s="175"/>
      <c r="E372" s="61"/>
      <c r="F372" s="61"/>
      <c r="N372" s="175"/>
      <c r="O372" s="61"/>
      <c r="S372" s="199"/>
      <c r="T372" s="200"/>
    </row>
    <row r="373" ht="16.5" customHeight="1">
      <c r="C373" s="61"/>
      <c r="D373" s="175"/>
      <c r="E373" s="61"/>
      <c r="F373" s="61"/>
      <c r="N373" s="175"/>
      <c r="O373" s="61"/>
      <c r="S373" s="199"/>
      <c r="T373" s="200"/>
    </row>
    <row r="374" ht="16.5" customHeight="1">
      <c r="C374" s="61"/>
      <c r="D374" s="175"/>
      <c r="E374" s="61"/>
      <c r="F374" s="61"/>
      <c r="N374" s="175"/>
      <c r="O374" s="61"/>
      <c r="S374" s="199"/>
      <c r="T374" s="200"/>
    </row>
    <row r="375" ht="16.5" customHeight="1">
      <c r="C375" s="61"/>
      <c r="D375" s="175"/>
      <c r="E375" s="61"/>
      <c r="F375" s="61"/>
      <c r="N375" s="175"/>
      <c r="O375" s="61"/>
      <c r="S375" s="199"/>
      <c r="T375" s="200"/>
    </row>
    <row r="376" ht="16.5" customHeight="1">
      <c r="C376" s="61"/>
      <c r="D376" s="175"/>
      <c r="E376" s="61"/>
      <c r="F376" s="61"/>
      <c r="N376" s="175"/>
      <c r="O376" s="61"/>
      <c r="S376" s="199"/>
      <c r="T376" s="200"/>
    </row>
    <row r="377" ht="16.5" customHeight="1">
      <c r="C377" s="61"/>
      <c r="D377" s="175"/>
      <c r="E377" s="61"/>
      <c r="F377" s="61"/>
      <c r="N377" s="175"/>
      <c r="O377" s="61"/>
      <c r="S377" s="199"/>
      <c r="T377" s="200"/>
    </row>
    <row r="378" ht="16.5" customHeight="1">
      <c r="C378" s="61"/>
      <c r="D378" s="175"/>
      <c r="E378" s="61"/>
      <c r="F378" s="61"/>
      <c r="N378" s="175"/>
      <c r="O378" s="61"/>
      <c r="S378" s="199"/>
      <c r="T378" s="200"/>
    </row>
    <row r="379" ht="16.5" customHeight="1">
      <c r="C379" s="61"/>
      <c r="D379" s="175"/>
      <c r="E379" s="61"/>
      <c r="F379" s="61"/>
      <c r="N379" s="175"/>
      <c r="O379" s="61"/>
      <c r="S379" s="199"/>
      <c r="T379" s="200"/>
    </row>
    <row r="380" ht="16.5" customHeight="1">
      <c r="C380" s="61"/>
      <c r="D380" s="175"/>
      <c r="E380" s="61"/>
      <c r="F380" s="61"/>
      <c r="N380" s="175"/>
      <c r="O380" s="61"/>
      <c r="S380" s="199"/>
      <c r="T380" s="200"/>
    </row>
    <row r="381" ht="16.5" customHeight="1">
      <c r="C381" s="61"/>
      <c r="D381" s="175"/>
      <c r="E381" s="61"/>
      <c r="F381" s="61"/>
      <c r="N381" s="175"/>
      <c r="O381" s="61"/>
      <c r="S381" s="199"/>
      <c r="T381" s="200"/>
    </row>
    <row r="382" ht="16.5" customHeight="1">
      <c r="C382" s="61"/>
      <c r="D382" s="175"/>
      <c r="E382" s="61"/>
      <c r="F382" s="61"/>
      <c r="N382" s="175"/>
      <c r="O382" s="61"/>
      <c r="S382" s="199"/>
      <c r="T382" s="200"/>
    </row>
    <row r="383" ht="16.5" customHeight="1">
      <c r="C383" s="61"/>
      <c r="D383" s="175"/>
      <c r="E383" s="61"/>
      <c r="F383" s="61"/>
      <c r="N383" s="175"/>
      <c r="O383" s="61"/>
      <c r="S383" s="199"/>
      <c r="T383" s="200"/>
    </row>
    <row r="384" ht="16.5" customHeight="1">
      <c r="C384" s="61"/>
      <c r="D384" s="175"/>
      <c r="E384" s="61"/>
      <c r="F384" s="61"/>
      <c r="N384" s="175"/>
      <c r="O384" s="61"/>
      <c r="S384" s="199"/>
      <c r="T384" s="200"/>
    </row>
    <row r="385" ht="16.5" customHeight="1">
      <c r="C385" s="61"/>
      <c r="D385" s="175"/>
      <c r="E385" s="61"/>
      <c r="F385" s="61"/>
      <c r="N385" s="175"/>
      <c r="O385" s="61"/>
      <c r="S385" s="199"/>
      <c r="T385" s="200"/>
    </row>
    <row r="386" ht="16.5" customHeight="1">
      <c r="C386" s="61"/>
      <c r="D386" s="175"/>
      <c r="E386" s="61"/>
      <c r="F386" s="61"/>
      <c r="N386" s="175"/>
      <c r="O386" s="61"/>
      <c r="S386" s="199"/>
      <c r="T386" s="200"/>
    </row>
    <row r="387" ht="16.5" customHeight="1">
      <c r="C387" s="61"/>
      <c r="D387" s="175"/>
      <c r="E387" s="61"/>
      <c r="F387" s="61"/>
      <c r="N387" s="175"/>
      <c r="O387" s="61"/>
      <c r="S387" s="199"/>
      <c r="T387" s="200"/>
    </row>
    <row r="388" ht="16.5" customHeight="1">
      <c r="C388" s="61"/>
      <c r="D388" s="175"/>
      <c r="E388" s="61"/>
      <c r="F388" s="61"/>
      <c r="N388" s="175"/>
      <c r="O388" s="61"/>
      <c r="S388" s="199"/>
      <c r="T388" s="200"/>
    </row>
    <row r="389" ht="16.5" customHeight="1">
      <c r="C389" s="61"/>
      <c r="D389" s="175"/>
      <c r="E389" s="61"/>
      <c r="F389" s="61"/>
      <c r="N389" s="175"/>
      <c r="O389" s="61"/>
      <c r="S389" s="199"/>
      <c r="T389" s="200"/>
    </row>
    <row r="390" ht="16.5" customHeight="1">
      <c r="C390" s="61"/>
      <c r="D390" s="175"/>
      <c r="E390" s="61"/>
      <c r="F390" s="61"/>
      <c r="N390" s="175"/>
      <c r="O390" s="61"/>
      <c r="S390" s="199"/>
      <c r="T390" s="200"/>
    </row>
    <row r="391" ht="16.5" customHeight="1">
      <c r="C391" s="61"/>
      <c r="D391" s="175"/>
      <c r="E391" s="61"/>
      <c r="F391" s="61"/>
      <c r="N391" s="175"/>
      <c r="O391" s="61"/>
      <c r="S391" s="199"/>
      <c r="T391" s="200"/>
    </row>
    <row r="392" ht="16.5" customHeight="1">
      <c r="C392" s="61"/>
      <c r="D392" s="175"/>
      <c r="E392" s="61"/>
      <c r="F392" s="61"/>
      <c r="N392" s="175"/>
      <c r="O392" s="61"/>
      <c r="S392" s="199"/>
      <c r="T392" s="200"/>
    </row>
    <row r="393" ht="16.5" customHeight="1">
      <c r="C393" s="61"/>
      <c r="D393" s="175"/>
      <c r="E393" s="61"/>
      <c r="F393" s="61"/>
      <c r="N393" s="175"/>
      <c r="O393" s="61"/>
      <c r="S393" s="199"/>
      <c r="T393" s="200"/>
    </row>
    <row r="394" ht="16.5" customHeight="1">
      <c r="C394" s="61"/>
      <c r="D394" s="175"/>
      <c r="E394" s="61"/>
      <c r="F394" s="61"/>
      <c r="N394" s="175"/>
      <c r="O394" s="61"/>
      <c r="S394" s="199"/>
      <c r="T394" s="200"/>
    </row>
    <row r="395" ht="16.5" customHeight="1">
      <c r="C395" s="61"/>
      <c r="D395" s="175"/>
      <c r="E395" s="61"/>
      <c r="F395" s="61"/>
      <c r="N395" s="175"/>
      <c r="O395" s="61"/>
      <c r="S395" s="199"/>
      <c r="T395" s="200"/>
    </row>
    <row r="396" ht="16.5" customHeight="1">
      <c r="C396" s="61"/>
      <c r="D396" s="175"/>
      <c r="E396" s="61"/>
      <c r="F396" s="61"/>
      <c r="N396" s="175"/>
      <c r="O396" s="61"/>
      <c r="S396" s="199"/>
      <c r="T396" s="200"/>
    </row>
    <row r="397" ht="16.5" customHeight="1">
      <c r="C397" s="61"/>
      <c r="D397" s="175"/>
      <c r="E397" s="61"/>
      <c r="F397" s="61"/>
      <c r="N397" s="175"/>
      <c r="O397" s="61"/>
      <c r="S397" s="199"/>
      <c r="T397" s="200"/>
    </row>
    <row r="398" ht="16.5" customHeight="1">
      <c r="C398" s="61"/>
      <c r="D398" s="175"/>
      <c r="E398" s="61"/>
      <c r="F398" s="61"/>
      <c r="N398" s="175"/>
      <c r="O398" s="61"/>
      <c r="S398" s="199"/>
      <c r="T398" s="200"/>
    </row>
    <row r="399" ht="16.5" customHeight="1">
      <c r="C399" s="61"/>
      <c r="D399" s="175"/>
      <c r="E399" s="61"/>
      <c r="F399" s="61"/>
      <c r="N399" s="175"/>
      <c r="O399" s="61"/>
      <c r="S399" s="199"/>
      <c r="T399" s="200"/>
    </row>
    <row r="400" ht="16.5" customHeight="1">
      <c r="C400" s="61"/>
      <c r="D400" s="175"/>
      <c r="E400" s="61"/>
      <c r="F400" s="61"/>
      <c r="N400" s="175"/>
      <c r="O400" s="61"/>
      <c r="S400" s="199"/>
      <c r="T400" s="200"/>
    </row>
    <row r="401" ht="16.5" customHeight="1">
      <c r="C401" s="61"/>
      <c r="D401" s="175"/>
      <c r="E401" s="61"/>
      <c r="F401" s="61"/>
      <c r="N401" s="175"/>
      <c r="O401" s="61"/>
      <c r="S401" s="199"/>
      <c r="T401" s="200"/>
    </row>
    <row r="402" ht="16.5" customHeight="1">
      <c r="C402" s="61"/>
      <c r="D402" s="175"/>
      <c r="E402" s="61"/>
      <c r="F402" s="61"/>
      <c r="N402" s="175"/>
      <c r="O402" s="61"/>
      <c r="S402" s="199"/>
      <c r="T402" s="200"/>
    </row>
    <row r="403" ht="16.5" customHeight="1">
      <c r="C403" s="61"/>
      <c r="D403" s="175"/>
      <c r="E403" s="61"/>
      <c r="F403" s="61"/>
      <c r="N403" s="175"/>
      <c r="O403" s="61"/>
      <c r="S403" s="199"/>
      <c r="T403" s="200"/>
    </row>
    <row r="404" ht="16.5" customHeight="1">
      <c r="C404" s="61"/>
      <c r="D404" s="175"/>
      <c r="E404" s="61"/>
      <c r="F404" s="61"/>
      <c r="N404" s="175"/>
      <c r="O404" s="61"/>
      <c r="S404" s="199"/>
      <c r="T404" s="200"/>
    </row>
    <row r="405" ht="16.5" customHeight="1">
      <c r="C405" s="61"/>
      <c r="D405" s="175"/>
      <c r="E405" s="61"/>
      <c r="F405" s="61"/>
      <c r="N405" s="175"/>
      <c r="O405" s="61"/>
      <c r="S405" s="199"/>
      <c r="T405" s="200"/>
    </row>
    <row r="406" ht="16.5" customHeight="1">
      <c r="C406" s="61"/>
      <c r="D406" s="175"/>
      <c r="E406" s="61"/>
      <c r="F406" s="61"/>
      <c r="N406" s="175"/>
      <c r="O406" s="61"/>
      <c r="S406" s="199"/>
      <c r="T406" s="200"/>
    </row>
    <row r="407" ht="16.5" customHeight="1">
      <c r="C407" s="61"/>
      <c r="D407" s="175"/>
      <c r="E407" s="61"/>
      <c r="F407" s="61"/>
      <c r="N407" s="175"/>
      <c r="O407" s="61"/>
      <c r="S407" s="199"/>
      <c r="T407" s="200"/>
    </row>
    <row r="408" ht="16.5" customHeight="1">
      <c r="C408" s="61"/>
      <c r="D408" s="175"/>
      <c r="E408" s="61"/>
      <c r="F408" s="61"/>
      <c r="N408" s="175"/>
      <c r="O408" s="61"/>
      <c r="S408" s="199"/>
      <c r="T408" s="200"/>
    </row>
    <row r="409" ht="16.5" customHeight="1">
      <c r="C409" s="61"/>
      <c r="D409" s="175"/>
      <c r="E409" s="61"/>
      <c r="F409" s="61"/>
      <c r="N409" s="175"/>
      <c r="O409" s="61"/>
      <c r="S409" s="199"/>
      <c r="T409" s="200"/>
    </row>
    <row r="410" ht="16.5" customHeight="1">
      <c r="C410" s="61"/>
      <c r="D410" s="175"/>
      <c r="E410" s="61"/>
      <c r="F410" s="61"/>
      <c r="N410" s="175"/>
      <c r="O410" s="61"/>
      <c r="S410" s="199"/>
      <c r="T410" s="200"/>
    </row>
    <row r="411" ht="16.5" customHeight="1">
      <c r="C411" s="61"/>
      <c r="D411" s="175"/>
      <c r="E411" s="61"/>
      <c r="F411" s="61"/>
      <c r="N411" s="175"/>
      <c r="O411" s="61"/>
      <c r="S411" s="199"/>
      <c r="T411" s="200"/>
    </row>
    <row r="412" ht="16.5" customHeight="1">
      <c r="C412" s="61"/>
      <c r="D412" s="175"/>
      <c r="E412" s="61"/>
      <c r="F412" s="61"/>
      <c r="N412" s="175"/>
      <c r="O412" s="61"/>
      <c r="S412" s="199"/>
      <c r="T412" s="200"/>
    </row>
    <row r="413" ht="16.5" customHeight="1">
      <c r="C413" s="61"/>
      <c r="D413" s="175"/>
      <c r="E413" s="61"/>
      <c r="F413" s="61"/>
      <c r="N413" s="175"/>
      <c r="O413" s="61"/>
      <c r="S413" s="199"/>
      <c r="T413" s="200"/>
    </row>
    <row r="414" ht="16.5" customHeight="1">
      <c r="C414" s="61"/>
      <c r="D414" s="175"/>
      <c r="E414" s="61"/>
      <c r="F414" s="61"/>
      <c r="N414" s="175"/>
      <c r="O414" s="61"/>
      <c r="S414" s="199"/>
      <c r="T414" s="200"/>
    </row>
    <row r="415" ht="16.5" customHeight="1">
      <c r="C415" s="61"/>
      <c r="D415" s="175"/>
      <c r="E415" s="61"/>
      <c r="F415" s="61"/>
      <c r="N415" s="175"/>
      <c r="O415" s="61"/>
      <c r="S415" s="199"/>
      <c r="T415" s="200"/>
    </row>
    <row r="416" ht="16.5" customHeight="1">
      <c r="C416" s="61"/>
      <c r="D416" s="175"/>
      <c r="E416" s="61"/>
      <c r="F416" s="61"/>
      <c r="N416" s="175"/>
      <c r="O416" s="61"/>
      <c r="S416" s="199"/>
      <c r="T416" s="200"/>
    </row>
    <row r="417" ht="16.5" customHeight="1">
      <c r="C417" s="61"/>
      <c r="D417" s="175"/>
      <c r="E417" s="61"/>
      <c r="F417" s="61"/>
      <c r="N417" s="175"/>
      <c r="O417" s="61"/>
      <c r="S417" s="199"/>
      <c r="T417" s="200"/>
    </row>
    <row r="418" ht="16.5" customHeight="1">
      <c r="C418" s="61"/>
      <c r="D418" s="175"/>
      <c r="E418" s="61"/>
      <c r="F418" s="61"/>
      <c r="N418" s="175"/>
      <c r="O418" s="61"/>
      <c r="S418" s="199"/>
      <c r="T418" s="200"/>
    </row>
    <row r="419" ht="16.5" customHeight="1">
      <c r="C419" s="61"/>
      <c r="D419" s="175"/>
      <c r="E419" s="61"/>
      <c r="F419" s="61"/>
      <c r="N419" s="175"/>
      <c r="O419" s="61"/>
      <c r="S419" s="199"/>
      <c r="T419" s="200"/>
    </row>
    <row r="420" ht="16.5" customHeight="1">
      <c r="C420" s="61"/>
      <c r="D420" s="175"/>
      <c r="E420" s="61"/>
      <c r="F420" s="61"/>
      <c r="N420" s="175"/>
      <c r="O420" s="61"/>
      <c r="S420" s="199"/>
      <c r="T420" s="200"/>
    </row>
    <row r="421" ht="16.5" customHeight="1">
      <c r="C421" s="61"/>
      <c r="D421" s="175"/>
      <c r="E421" s="61"/>
      <c r="F421" s="61"/>
      <c r="N421" s="175"/>
      <c r="O421" s="61"/>
      <c r="S421" s="199"/>
      <c r="T421" s="200"/>
    </row>
    <row r="422" ht="16.5" customHeight="1">
      <c r="C422" s="61"/>
      <c r="D422" s="175"/>
      <c r="E422" s="61"/>
      <c r="F422" s="61"/>
      <c r="N422" s="175"/>
      <c r="O422" s="61"/>
      <c r="S422" s="199"/>
      <c r="T422" s="200"/>
    </row>
    <row r="423" ht="16.5" customHeight="1">
      <c r="C423" s="61"/>
      <c r="D423" s="175"/>
      <c r="E423" s="61"/>
      <c r="F423" s="61"/>
      <c r="N423" s="175"/>
      <c r="O423" s="61"/>
      <c r="S423" s="199"/>
      <c r="T423" s="200"/>
    </row>
    <row r="424" ht="16.5" customHeight="1">
      <c r="C424" s="61"/>
      <c r="D424" s="175"/>
      <c r="E424" s="61"/>
      <c r="F424" s="61"/>
      <c r="N424" s="175"/>
      <c r="O424" s="61"/>
      <c r="S424" s="199"/>
      <c r="T424" s="200"/>
    </row>
    <row r="425" ht="16.5" customHeight="1">
      <c r="C425" s="61"/>
      <c r="D425" s="175"/>
      <c r="E425" s="61"/>
      <c r="F425" s="61"/>
      <c r="N425" s="175"/>
      <c r="O425" s="61"/>
      <c r="S425" s="199"/>
      <c r="T425" s="200"/>
    </row>
    <row r="426" ht="16.5" customHeight="1">
      <c r="C426" s="61"/>
      <c r="D426" s="175"/>
      <c r="E426" s="61"/>
      <c r="F426" s="61"/>
      <c r="N426" s="175"/>
      <c r="O426" s="61"/>
      <c r="S426" s="199"/>
      <c r="T426" s="200"/>
    </row>
    <row r="427" ht="16.5" customHeight="1">
      <c r="C427" s="61"/>
      <c r="D427" s="175"/>
      <c r="E427" s="61"/>
      <c r="F427" s="61"/>
      <c r="N427" s="175"/>
      <c r="O427" s="61"/>
      <c r="S427" s="199"/>
      <c r="T427" s="200"/>
    </row>
    <row r="428" ht="16.5" customHeight="1">
      <c r="C428" s="61"/>
      <c r="D428" s="175"/>
      <c r="E428" s="61"/>
      <c r="F428" s="61"/>
      <c r="N428" s="175"/>
      <c r="O428" s="61"/>
      <c r="S428" s="199"/>
      <c r="T428" s="200"/>
    </row>
    <row r="429" ht="16.5" customHeight="1">
      <c r="C429" s="61"/>
      <c r="D429" s="175"/>
      <c r="E429" s="61"/>
      <c r="F429" s="61"/>
      <c r="N429" s="175"/>
      <c r="O429" s="61"/>
      <c r="S429" s="199"/>
      <c r="T429" s="200"/>
    </row>
    <row r="430" ht="16.5" customHeight="1">
      <c r="C430" s="61"/>
      <c r="D430" s="175"/>
      <c r="E430" s="61"/>
      <c r="F430" s="61"/>
      <c r="N430" s="175"/>
      <c r="O430" s="61"/>
      <c r="S430" s="199"/>
      <c r="T430" s="200"/>
    </row>
    <row r="431" ht="16.5" customHeight="1">
      <c r="C431" s="61"/>
      <c r="D431" s="175"/>
      <c r="E431" s="61"/>
      <c r="F431" s="61"/>
      <c r="N431" s="175"/>
      <c r="O431" s="61"/>
      <c r="S431" s="199"/>
      <c r="T431" s="200"/>
    </row>
    <row r="432" ht="16.5" customHeight="1">
      <c r="C432" s="61"/>
      <c r="D432" s="175"/>
      <c r="E432" s="61"/>
      <c r="F432" s="61"/>
      <c r="N432" s="175"/>
      <c r="O432" s="61"/>
      <c r="S432" s="199"/>
      <c r="T432" s="200"/>
    </row>
    <row r="433" ht="16.5" customHeight="1">
      <c r="C433" s="61"/>
      <c r="D433" s="175"/>
      <c r="E433" s="61"/>
      <c r="F433" s="61"/>
      <c r="N433" s="175"/>
      <c r="O433" s="61"/>
      <c r="S433" s="199"/>
      <c r="T433" s="200"/>
    </row>
    <row r="434" ht="16.5" customHeight="1">
      <c r="C434" s="61"/>
      <c r="D434" s="175"/>
      <c r="E434" s="61"/>
      <c r="F434" s="61"/>
      <c r="N434" s="175"/>
      <c r="O434" s="61"/>
      <c r="S434" s="199"/>
      <c r="T434" s="200"/>
    </row>
    <row r="435" ht="16.5" customHeight="1">
      <c r="C435" s="61"/>
      <c r="D435" s="175"/>
      <c r="E435" s="61"/>
      <c r="F435" s="61"/>
      <c r="N435" s="175"/>
      <c r="O435" s="61"/>
      <c r="S435" s="199"/>
      <c r="T435" s="200"/>
    </row>
    <row r="436" ht="16.5" customHeight="1">
      <c r="C436" s="61"/>
      <c r="D436" s="175"/>
      <c r="E436" s="61"/>
      <c r="F436" s="61"/>
      <c r="N436" s="175"/>
      <c r="O436" s="61"/>
      <c r="S436" s="199"/>
      <c r="T436" s="200"/>
    </row>
    <row r="437" ht="16.5" customHeight="1">
      <c r="C437" s="61"/>
      <c r="D437" s="175"/>
      <c r="E437" s="61"/>
      <c r="F437" s="61"/>
      <c r="N437" s="175"/>
      <c r="O437" s="61"/>
      <c r="S437" s="199"/>
      <c r="T437" s="200"/>
    </row>
    <row r="438" ht="16.5" customHeight="1">
      <c r="C438" s="61"/>
      <c r="D438" s="175"/>
      <c r="E438" s="61"/>
      <c r="F438" s="61"/>
      <c r="N438" s="175"/>
      <c r="O438" s="61"/>
      <c r="S438" s="199"/>
      <c r="T438" s="200"/>
    </row>
    <row r="439" ht="16.5" customHeight="1">
      <c r="C439" s="61"/>
      <c r="D439" s="175"/>
      <c r="E439" s="61"/>
      <c r="F439" s="61"/>
      <c r="N439" s="175"/>
      <c r="O439" s="61"/>
      <c r="S439" s="199"/>
      <c r="T439" s="200"/>
    </row>
    <row r="440" ht="16.5" customHeight="1">
      <c r="C440" s="61"/>
      <c r="D440" s="175"/>
      <c r="E440" s="61"/>
      <c r="F440" s="61"/>
      <c r="N440" s="175"/>
      <c r="O440" s="61"/>
      <c r="S440" s="199"/>
      <c r="T440" s="200"/>
    </row>
    <row r="441" ht="16.5" customHeight="1">
      <c r="C441" s="61"/>
      <c r="D441" s="175"/>
      <c r="E441" s="61"/>
      <c r="F441" s="61"/>
      <c r="N441" s="175"/>
      <c r="O441" s="61"/>
      <c r="S441" s="199"/>
      <c r="T441" s="200"/>
    </row>
    <row r="442" ht="16.5" customHeight="1">
      <c r="C442" s="61"/>
      <c r="D442" s="175"/>
      <c r="E442" s="61"/>
      <c r="F442" s="61"/>
      <c r="N442" s="175"/>
      <c r="O442" s="61"/>
      <c r="S442" s="199"/>
      <c r="T442" s="200"/>
    </row>
    <row r="443" ht="16.5" customHeight="1">
      <c r="C443" s="61"/>
      <c r="D443" s="175"/>
      <c r="E443" s="61"/>
      <c r="F443" s="61"/>
      <c r="N443" s="175"/>
      <c r="O443" s="61"/>
      <c r="S443" s="199"/>
      <c r="T443" s="200"/>
    </row>
    <row r="444" ht="16.5" customHeight="1">
      <c r="C444" s="61"/>
      <c r="D444" s="175"/>
      <c r="E444" s="61"/>
      <c r="F444" s="61"/>
      <c r="N444" s="175"/>
      <c r="O444" s="61"/>
      <c r="S444" s="199"/>
      <c r="T444" s="200"/>
    </row>
    <row r="445" ht="16.5" customHeight="1">
      <c r="C445" s="61"/>
      <c r="D445" s="175"/>
      <c r="E445" s="61"/>
      <c r="F445" s="61"/>
      <c r="N445" s="175"/>
      <c r="O445" s="61"/>
      <c r="S445" s="199"/>
      <c r="T445" s="200"/>
    </row>
    <row r="446" ht="16.5" customHeight="1">
      <c r="C446" s="61"/>
      <c r="D446" s="175"/>
      <c r="E446" s="61"/>
      <c r="F446" s="61"/>
      <c r="N446" s="175"/>
      <c r="O446" s="61"/>
      <c r="S446" s="199"/>
      <c r="T446" s="200"/>
    </row>
    <row r="447" ht="16.5" customHeight="1">
      <c r="C447" s="61"/>
      <c r="D447" s="175"/>
      <c r="E447" s="61"/>
      <c r="F447" s="61"/>
      <c r="N447" s="175"/>
      <c r="O447" s="61"/>
      <c r="S447" s="199"/>
      <c r="T447" s="200"/>
    </row>
    <row r="448" ht="16.5" customHeight="1">
      <c r="C448" s="61"/>
      <c r="D448" s="175"/>
      <c r="E448" s="61"/>
      <c r="F448" s="61"/>
      <c r="N448" s="175"/>
      <c r="O448" s="61"/>
      <c r="S448" s="199"/>
      <c r="T448" s="200"/>
    </row>
    <row r="449" ht="16.5" customHeight="1">
      <c r="C449" s="61"/>
      <c r="D449" s="175"/>
      <c r="E449" s="61"/>
      <c r="F449" s="61"/>
      <c r="N449" s="175"/>
      <c r="O449" s="61"/>
      <c r="S449" s="199"/>
      <c r="T449" s="200"/>
    </row>
    <row r="450" ht="16.5" customHeight="1">
      <c r="C450" s="61"/>
      <c r="D450" s="175"/>
      <c r="E450" s="61"/>
      <c r="F450" s="61"/>
      <c r="N450" s="175"/>
      <c r="O450" s="61"/>
      <c r="S450" s="199"/>
      <c r="T450" s="200"/>
    </row>
    <row r="451" ht="16.5" customHeight="1">
      <c r="C451" s="61"/>
      <c r="D451" s="175"/>
      <c r="E451" s="61"/>
      <c r="F451" s="61"/>
      <c r="N451" s="175"/>
      <c r="O451" s="61"/>
      <c r="S451" s="199"/>
      <c r="T451" s="200"/>
    </row>
    <row r="452" ht="16.5" customHeight="1">
      <c r="C452" s="61"/>
      <c r="D452" s="175"/>
      <c r="E452" s="61"/>
      <c r="F452" s="61"/>
      <c r="N452" s="175"/>
      <c r="O452" s="61"/>
      <c r="S452" s="199"/>
      <c r="T452" s="200"/>
    </row>
    <row r="453" ht="16.5" customHeight="1">
      <c r="C453" s="61"/>
      <c r="D453" s="175"/>
      <c r="E453" s="61"/>
      <c r="F453" s="61"/>
      <c r="N453" s="175"/>
      <c r="O453" s="61"/>
      <c r="S453" s="199"/>
      <c r="T453" s="200"/>
    </row>
    <row r="454" ht="16.5" customHeight="1">
      <c r="C454" s="61"/>
      <c r="D454" s="175"/>
      <c r="E454" s="61"/>
      <c r="F454" s="61"/>
      <c r="N454" s="175"/>
      <c r="O454" s="61"/>
      <c r="S454" s="199"/>
      <c r="T454" s="200"/>
    </row>
    <row r="455" ht="16.5" customHeight="1">
      <c r="C455" s="61"/>
      <c r="D455" s="175"/>
      <c r="E455" s="61"/>
      <c r="F455" s="61"/>
      <c r="N455" s="175"/>
      <c r="O455" s="61"/>
      <c r="S455" s="199"/>
      <c r="T455" s="200"/>
    </row>
    <row r="456" ht="16.5" customHeight="1">
      <c r="C456" s="61"/>
      <c r="D456" s="175"/>
      <c r="E456" s="61"/>
      <c r="F456" s="61"/>
      <c r="N456" s="175"/>
      <c r="O456" s="61"/>
      <c r="S456" s="199"/>
      <c r="T456" s="200"/>
    </row>
    <row r="457" ht="16.5" customHeight="1">
      <c r="C457" s="61"/>
      <c r="D457" s="175"/>
      <c r="E457" s="61"/>
      <c r="F457" s="61"/>
      <c r="N457" s="175"/>
      <c r="O457" s="61"/>
      <c r="S457" s="199"/>
      <c r="T457" s="200"/>
    </row>
    <row r="458" ht="16.5" customHeight="1">
      <c r="C458" s="61"/>
      <c r="D458" s="175"/>
      <c r="E458" s="61"/>
      <c r="F458" s="61"/>
      <c r="N458" s="175"/>
      <c r="O458" s="61"/>
      <c r="S458" s="199"/>
      <c r="T458" s="200"/>
    </row>
    <row r="459" ht="16.5" customHeight="1">
      <c r="C459" s="61"/>
      <c r="D459" s="175"/>
      <c r="E459" s="61"/>
      <c r="F459" s="61"/>
      <c r="N459" s="175"/>
      <c r="O459" s="61"/>
      <c r="S459" s="199"/>
      <c r="T459" s="200"/>
    </row>
    <row r="460" ht="16.5" customHeight="1">
      <c r="C460" s="61"/>
      <c r="D460" s="175"/>
      <c r="E460" s="61"/>
      <c r="F460" s="61"/>
      <c r="N460" s="175"/>
      <c r="O460" s="61"/>
      <c r="S460" s="199"/>
      <c r="T460" s="200"/>
    </row>
    <row r="461" ht="16.5" customHeight="1">
      <c r="C461" s="61"/>
      <c r="D461" s="175"/>
      <c r="E461" s="61"/>
      <c r="F461" s="61"/>
      <c r="N461" s="175"/>
      <c r="O461" s="61"/>
      <c r="S461" s="199"/>
      <c r="T461" s="200"/>
    </row>
    <row r="462" ht="16.5" customHeight="1">
      <c r="C462" s="61"/>
      <c r="D462" s="175"/>
      <c r="E462" s="61"/>
      <c r="F462" s="61"/>
      <c r="N462" s="175"/>
      <c r="O462" s="61"/>
      <c r="S462" s="199"/>
      <c r="T462" s="200"/>
    </row>
    <row r="463" ht="16.5" customHeight="1">
      <c r="C463" s="61"/>
      <c r="D463" s="175"/>
      <c r="E463" s="61"/>
      <c r="F463" s="61"/>
      <c r="N463" s="175"/>
      <c r="O463" s="61"/>
      <c r="S463" s="199"/>
      <c r="T463" s="200"/>
    </row>
    <row r="464" ht="16.5" customHeight="1">
      <c r="C464" s="61"/>
      <c r="D464" s="175"/>
      <c r="E464" s="61"/>
      <c r="F464" s="61"/>
      <c r="N464" s="175"/>
      <c r="O464" s="61"/>
      <c r="S464" s="199"/>
      <c r="T464" s="200"/>
    </row>
    <row r="465" ht="16.5" customHeight="1">
      <c r="C465" s="61"/>
      <c r="D465" s="175"/>
      <c r="E465" s="61"/>
      <c r="F465" s="61"/>
      <c r="N465" s="175"/>
      <c r="O465" s="61"/>
      <c r="S465" s="199"/>
      <c r="T465" s="200"/>
    </row>
    <row r="466" ht="16.5" customHeight="1">
      <c r="C466" s="61"/>
      <c r="D466" s="175"/>
      <c r="E466" s="61"/>
      <c r="F466" s="61"/>
      <c r="N466" s="175"/>
      <c r="O466" s="61"/>
      <c r="S466" s="199"/>
      <c r="T466" s="200"/>
    </row>
    <row r="467" ht="16.5" customHeight="1">
      <c r="C467" s="61"/>
      <c r="D467" s="175"/>
      <c r="E467" s="61"/>
      <c r="F467" s="61"/>
      <c r="N467" s="175"/>
      <c r="O467" s="61"/>
      <c r="S467" s="199"/>
      <c r="T467" s="200"/>
    </row>
    <row r="468" ht="16.5" customHeight="1">
      <c r="C468" s="61"/>
      <c r="D468" s="175"/>
      <c r="E468" s="61"/>
      <c r="F468" s="61"/>
      <c r="N468" s="175"/>
      <c r="O468" s="61"/>
      <c r="S468" s="199"/>
      <c r="T468" s="200"/>
    </row>
    <row r="469" ht="16.5" customHeight="1">
      <c r="C469" s="61"/>
      <c r="D469" s="175"/>
      <c r="E469" s="61"/>
      <c r="F469" s="61"/>
      <c r="N469" s="175"/>
      <c r="O469" s="61"/>
      <c r="S469" s="199"/>
      <c r="T469" s="200"/>
    </row>
    <row r="470" ht="16.5" customHeight="1">
      <c r="C470" s="61"/>
      <c r="D470" s="175"/>
      <c r="E470" s="61"/>
      <c r="F470" s="61"/>
      <c r="N470" s="175"/>
      <c r="O470" s="61"/>
      <c r="S470" s="199"/>
      <c r="T470" s="200"/>
    </row>
    <row r="471" ht="16.5" customHeight="1">
      <c r="C471" s="61"/>
      <c r="D471" s="175"/>
      <c r="E471" s="61"/>
      <c r="F471" s="61"/>
      <c r="N471" s="175"/>
      <c r="O471" s="61"/>
      <c r="S471" s="199"/>
      <c r="T471" s="200"/>
    </row>
    <row r="472" ht="16.5" customHeight="1">
      <c r="C472" s="61"/>
      <c r="D472" s="175"/>
      <c r="E472" s="61"/>
      <c r="F472" s="61"/>
      <c r="N472" s="175"/>
      <c r="O472" s="61"/>
      <c r="S472" s="199"/>
      <c r="T472" s="200"/>
    </row>
    <row r="473" ht="16.5" customHeight="1">
      <c r="C473" s="61"/>
      <c r="D473" s="175"/>
      <c r="E473" s="61"/>
      <c r="F473" s="61"/>
      <c r="N473" s="175"/>
      <c r="O473" s="61"/>
      <c r="S473" s="199"/>
      <c r="T473" s="200"/>
    </row>
    <row r="474" ht="16.5" customHeight="1">
      <c r="C474" s="61"/>
      <c r="D474" s="175"/>
      <c r="E474" s="61"/>
      <c r="F474" s="61"/>
      <c r="N474" s="175"/>
      <c r="O474" s="61"/>
      <c r="S474" s="199"/>
      <c r="T474" s="200"/>
    </row>
    <row r="475" ht="16.5" customHeight="1">
      <c r="C475" s="61"/>
      <c r="D475" s="175"/>
      <c r="E475" s="61"/>
      <c r="F475" s="61"/>
      <c r="N475" s="175"/>
      <c r="O475" s="61"/>
      <c r="S475" s="199"/>
      <c r="T475" s="200"/>
    </row>
    <row r="476" ht="16.5" customHeight="1">
      <c r="C476" s="61"/>
      <c r="D476" s="175"/>
      <c r="E476" s="61"/>
      <c r="F476" s="61"/>
      <c r="N476" s="175"/>
      <c r="O476" s="61"/>
      <c r="S476" s="199"/>
      <c r="T476" s="200"/>
    </row>
    <row r="477" ht="16.5" customHeight="1">
      <c r="C477" s="61"/>
      <c r="D477" s="175"/>
      <c r="E477" s="61"/>
      <c r="F477" s="61"/>
      <c r="N477" s="175"/>
      <c r="O477" s="61"/>
      <c r="S477" s="199"/>
      <c r="T477" s="200"/>
    </row>
    <row r="478" ht="16.5" customHeight="1">
      <c r="C478" s="61"/>
      <c r="D478" s="175"/>
      <c r="E478" s="61"/>
      <c r="F478" s="61"/>
      <c r="N478" s="175"/>
      <c r="O478" s="61"/>
      <c r="S478" s="199"/>
      <c r="T478" s="200"/>
    </row>
    <row r="479" ht="16.5" customHeight="1">
      <c r="C479" s="61"/>
      <c r="D479" s="175"/>
      <c r="E479" s="61"/>
      <c r="F479" s="61"/>
      <c r="N479" s="175"/>
      <c r="O479" s="61"/>
      <c r="S479" s="199"/>
      <c r="T479" s="200"/>
    </row>
    <row r="480" ht="16.5" customHeight="1">
      <c r="C480" s="61"/>
      <c r="D480" s="175"/>
      <c r="E480" s="61"/>
      <c r="F480" s="61"/>
      <c r="N480" s="175"/>
      <c r="O480" s="61"/>
      <c r="S480" s="199"/>
      <c r="T480" s="200"/>
    </row>
    <row r="481" ht="16.5" customHeight="1">
      <c r="C481" s="61"/>
      <c r="D481" s="175"/>
      <c r="E481" s="61"/>
      <c r="F481" s="61"/>
      <c r="N481" s="175"/>
      <c r="O481" s="61"/>
      <c r="S481" s="199"/>
      <c r="T481" s="200"/>
    </row>
    <row r="482" ht="16.5" customHeight="1">
      <c r="C482" s="61"/>
      <c r="D482" s="175"/>
      <c r="E482" s="61"/>
      <c r="F482" s="61"/>
      <c r="N482" s="175"/>
      <c r="O482" s="61"/>
      <c r="S482" s="199"/>
      <c r="T482" s="200"/>
    </row>
    <row r="483" ht="16.5" customHeight="1">
      <c r="C483" s="61"/>
      <c r="D483" s="175"/>
      <c r="E483" s="61"/>
      <c r="F483" s="61"/>
      <c r="N483" s="175"/>
      <c r="O483" s="61"/>
      <c r="S483" s="199"/>
      <c r="T483" s="200"/>
    </row>
    <row r="484" ht="16.5" customHeight="1">
      <c r="C484" s="61"/>
      <c r="D484" s="175"/>
      <c r="E484" s="61"/>
      <c r="F484" s="61"/>
      <c r="N484" s="175"/>
      <c r="O484" s="61"/>
      <c r="S484" s="199"/>
      <c r="T484" s="200"/>
    </row>
    <row r="485" ht="16.5" customHeight="1">
      <c r="C485" s="61"/>
      <c r="D485" s="175"/>
      <c r="E485" s="61"/>
      <c r="F485" s="61"/>
      <c r="N485" s="175"/>
      <c r="O485" s="61"/>
      <c r="S485" s="199"/>
      <c r="T485" s="200"/>
    </row>
    <row r="486" ht="16.5" customHeight="1">
      <c r="C486" s="61"/>
      <c r="D486" s="175"/>
      <c r="E486" s="61"/>
      <c r="F486" s="61"/>
      <c r="N486" s="175"/>
      <c r="O486" s="61"/>
      <c r="S486" s="199"/>
      <c r="T486" s="200"/>
    </row>
    <row r="487" ht="16.5" customHeight="1">
      <c r="C487" s="61"/>
      <c r="D487" s="175"/>
      <c r="E487" s="61"/>
      <c r="F487" s="61"/>
      <c r="N487" s="175"/>
      <c r="O487" s="61"/>
      <c r="S487" s="199"/>
      <c r="T487" s="200"/>
    </row>
    <row r="488" ht="16.5" customHeight="1">
      <c r="C488" s="61"/>
      <c r="D488" s="175"/>
      <c r="E488" s="61"/>
      <c r="F488" s="61"/>
      <c r="N488" s="175"/>
      <c r="O488" s="61"/>
      <c r="S488" s="199"/>
      <c r="T488" s="200"/>
    </row>
    <row r="489" ht="16.5" customHeight="1">
      <c r="C489" s="61"/>
      <c r="D489" s="175"/>
      <c r="E489" s="61"/>
      <c r="F489" s="61"/>
      <c r="N489" s="175"/>
      <c r="O489" s="61"/>
      <c r="S489" s="199"/>
      <c r="T489" s="200"/>
    </row>
    <row r="490" ht="16.5" customHeight="1">
      <c r="C490" s="61"/>
      <c r="D490" s="175"/>
      <c r="E490" s="61"/>
      <c r="F490" s="61"/>
      <c r="N490" s="175"/>
      <c r="O490" s="61"/>
      <c r="S490" s="199"/>
      <c r="T490" s="200"/>
    </row>
    <row r="491" ht="16.5" customHeight="1">
      <c r="C491" s="61"/>
      <c r="D491" s="175"/>
      <c r="E491" s="61"/>
      <c r="F491" s="61"/>
      <c r="N491" s="175"/>
      <c r="O491" s="61"/>
      <c r="S491" s="199"/>
      <c r="T491" s="200"/>
    </row>
    <row r="492" ht="16.5" customHeight="1">
      <c r="C492" s="61"/>
      <c r="D492" s="175"/>
      <c r="E492" s="61"/>
      <c r="F492" s="61"/>
      <c r="N492" s="175"/>
      <c r="O492" s="61"/>
      <c r="S492" s="199"/>
      <c r="T492" s="200"/>
    </row>
    <row r="493" ht="16.5" customHeight="1">
      <c r="C493" s="61"/>
      <c r="D493" s="175"/>
      <c r="E493" s="61"/>
      <c r="F493" s="61"/>
      <c r="N493" s="175"/>
      <c r="O493" s="61"/>
      <c r="S493" s="199"/>
      <c r="T493" s="200"/>
    </row>
    <row r="494" ht="16.5" customHeight="1">
      <c r="C494" s="61"/>
      <c r="D494" s="175"/>
      <c r="E494" s="61"/>
      <c r="F494" s="61"/>
      <c r="N494" s="175"/>
      <c r="O494" s="61"/>
      <c r="S494" s="199"/>
      <c r="T494" s="200"/>
    </row>
    <row r="495" ht="16.5" customHeight="1">
      <c r="C495" s="61"/>
      <c r="D495" s="175"/>
      <c r="E495" s="61"/>
      <c r="F495" s="61"/>
      <c r="N495" s="175"/>
      <c r="O495" s="61"/>
      <c r="S495" s="199"/>
      <c r="T495" s="200"/>
    </row>
    <row r="496" ht="16.5" customHeight="1">
      <c r="C496" s="61"/>
      <c r="D496" s="175"/>
      <c r="E496" s="61"/>
      <c r="F496" s="61"/>
      <c r="N496" s="175"/>
      <c r="O496" s="61"/>
      <c r="S496" s="199"/>
      <c r="T496" s="200"/>
    </row>
    <row r="497" ht="16.5" customHeight="1">
      <c r="C497" s="61"/>
      <c r="D497" s="175"/>
      <c r="E497" s="61"/>
      <c r="F497" s="61"/>
      <c r="N497" s="175"/>
      <c r="O497" s="61"/>
      <c r="S497" s="199"/>
      <c r="T497" s="200"/>
    </row>
    <row r="498" ht="16.5" customHeight="1">
      <c r="C498" s="61"/>
      <c r="D498" s="175"/>
      <c r="E498" s="61"/>
      <c r="F498" s="61"/>
      <c r="N498" s="175"/>
      <c r="O498" s="61"/>
      <c r="S498" s="199"/>
      <c r="T498" s="200"/>
    </row>
    <row r="499" ht="16.5" customHeight="1">
      <c r="C499" s="61"/>
      <c r="D499" s="175"/>
      <c r="E499" s="61"/>
      <c r="F499" s="61"/>
      <c r="N499" s="175"/>
      <c r="O499" s="61"/>
      <c r="S499" s="199"/>
      <c r="T499" s="200"/>
    </row>
    <row r="500" ht="16.5" customHeight="1">
      <c r="C500" s="61"/>
      <c r="D500" s="175"/>
      <c r="E500" s="61"/>
      <c r="F500" s="61"/>
      <c r="N500" s="175"/>
      <c r="O500" s="61"/>
      <c r="S500" s="199"/>
      <c r="T500" s="200"/>
    </row>
    <row r="501" ht="16.5" customHeight="1">
      <c r="C501" s="61"/>
      <c r="D501" s="175"/>
      <c r="E501" s="61"/>
      <c r="F501" s="61"/>
      <c r="N501" s="175"/>
      <c r="O501" s="61"/>
      <c r="S501" s="199"/>
      <c r="T501" s="200"/>
    </row>
    <row r="502" ht="16.5" customHeight="1">
      <c r="C502" s="61"/>
      <c r="D502" s="175"/>
      <c r="E502" s="61"/>
      <c r="F502" s="61"/>
      <c r="N502" s="175"/>
      <c r="O502" s="61"/>
      <c r="S502" s="199"/>
      <c r="T502" s="200"/>
    </row>
    <row r="503" ht="16.5" customHeight="1">
      <c r="C503" s="61"/>
      <c r="D503" s="175"/>
      <c r="E503" s="61"/>
      <c r="F503" s="61"/>
      <c r="N503" s="175"/>
      <c r="O503" s="61"/>
      <c r="S503" s="199"/>
      <c r="T503" s="200"/>
    </row>
    <row r="504" ht="16.5" customHeight="1">
      <c r="C504" s="61"/>
      <c r="D504" s="175"/>
      <c r="E504" s="61"/>
      <c r="F504" s="61"/>
      <c r="N504" s="175"/>
      <c r="O504" s="61"/>
      <c r="S504" s="199"/>
      <c r="T504" s="200"/>
    </row>
    <row r="505" ht="16.5" customHeight="1">
      <c r="C505" s="61"/>
      <c r="D505" s="175"/>
      <c r="E505" s="61"/>
      <c r="F505" s="61"/>
      <c r="N505" s="175"/>
      <c r="O505" s="61"/>
      <c r="S505" s="199"/>
      <c r="T505" s="200"/>
    </row>
    <row r="506" ht="16.5" customHeight="1">
      <c r="C506" s="61"/>
      <c r="D506" s="175"/>
      <c r="E506" s="61"/>
      <c r="F506" s="61"/>
      <c r="N506" s="175"/>
      <c r="O506" s="61"/>
      <c r="S506" s="199"/>
      <c r="T506" s="200"/>
    </row>
    <row r="507" ht="16.5" customHeight="1">
      <c r="C507" s="61"/>
      <c r="D507" s="175"/>
      <c r="E507" s="61"/>
      <c r="F507" s="61"/>
      <c r="N507" s="175"/>
      <c r="O507" s="61"/>
      <c r="S507" s="199"/>
      <c r="T507" s="200"/>
    </row>
    <row r="508" ht="16.5" customHeight="1">
      <c r="C508" s="61"/>
      <c r="D508" s="175"/>
      <c r="E508" s="61"/>
      <c r="F508" s="61"/>
      <c r="N508" s="175"/>
      <c r="O508" s="61"/>
      <c r="S508" s="199"/>
      <c r="T508" s="200"/>
    </row>
    <row r="509" ht="16.5" customHeight="1">
      <c r="C509" s="61"/>
      <c r="D509" s="175"/>
      <c r="E509" s="61"/>
      <c r="F509" s="61"/>
      <c r="N509" s="175"/>
      <c r="O509" s="61"/>
      <c r="S509" s="199"/>
      <c r="T509" s="200"/>
    </row>
    <row r="510" ht="16.5" customHeight="1">
      <c r="C510" s="61"/>
      <c r="D510" s="175"/>
      <c r="E510" s="61"/>
      <c r="F510" s="61"/>
      <c r="N510" s="175"/>
      <c r="O510" s="61"/>
      <c r="S510" s="199"/>
      <c r="T510" s="200"/>
    </row>
    <row r="511" ht="16.5" customHeight="1">
      <c r="C511" s="61"/>
      <c r="D511" s="175"/>
      <c r="E511" s="61"/>
      <c r="F511" s="61"/>
      <c r="N511" s="175"/>
      <c r="O511" s="61"/>
      <c r="S511" s="199"/>
      <c r="T511" s="200"/>
    </row>
    <row r="512" ht="16.5" customHeight="1">
      <c r="C512" s="61"/>
      <c r="D512" s="175"/>
      <c r="E512" s="61"/>
      <c r="F512" s="61"/>
      <c r="N512" s="175"/>
      <c r="O512" s="61"/>
      <c r="S512" s="199"/>
      <c r="T512" s="200"/>
    </row>
    <row r="513" ht="16.5" customHeight="1">
      <c r="C513" s="61"/>
      <c r="D513" s="175"/>
      <c r="E513" s="61"/>
      <c r="F513" s="61"/>
      <c r="N513" s="175"/>
      <c r="O513" s="61"/>
      <c r="S513" s="199"/>
      <c r="T513" s="200"/>
    </row>
    <row r="514" ht="16.5" customHeight="1">
      <c r="C514" s="61"/>
      <c r="D514" s="175"/>
      <c r="E514" s="61"/>
      <c r="F514" s="61"/>
      <c r="N514" s="175"/>
      <c r="O514" s="61"/>
      <c r="S514" s="199"/>
      <c r="T514" s="200"/>
    </row>
    <row r="515" ht="16.5" customHeight="1">
      <c r="C515" s="61"/>
      <c r="D515" s="175"/>
      <c r="E515" s="61"/>
      <c r="F515" s="61"/>
      <c r="N515" s="175"/>
      <c r="O515" s="61"/>
      <c r="S515" s="199"/>
      <c r="T515" s="200"/>
    </row>
    <row r="516" ht="16.5" customHeight="1">
      <c r="C516" s="61"/>
      <c r="D516" s="175"/>
      <c r="E516" s="61"/>
      <c r="F516" s="61"/>
      <c r="N516" s="175"/>
      <c r="O516" s="61"/>
      <c r="S516" s="199"/>
      <c r="T516" s="200"/>
    </row>
    <row r="517" ht="16.5" customHeight="1">
      <c r="C517" s="61"/>
      <c r="D517" s="175"/>
      <c r="E517" s="61"/>
      <c r="F517" s="61"/>
      <c r="N517" s="175"/>
      <c r="O517" s="61"/>
      <c r="S517" s="199"/>
      <c r="T517" s="200"/>
    </row>
    <row r="518" ht="16.5" customHeight="1">
      <c r="C518" s="61"/>
      <c r="D518" s="175"/>
      <c r="E518" s="61"/>
      <c r="F518" s="61"/>
      <c r="N518" s="175"/>
      <c r="O518" s="61"/>
      <c r="S518" s="199"/>
      <c r="T518" s="200"/>
    </row>
    <row r="519" ht="16.5" customHeight="1">
      <c r="C519" s="61"/>
      <c r="D519" s="175"/>
      <c r="E519" s="61"/>
      <c r="F519" s="61"/>
      <c r="N519" s="175"/>
      <c r="O519" s="61"/>
      <c r="S519" s="199"/>
      <c r="T519" s="200"/>
    </row>
    <row r="520" ht="16.5" customHeight="1">
      <c r="C520" s="61"/>
      <c r="D520" s="175"/>
      <c r="E520" s="61"/>
      <c r="F520" s="61"/>
      <c r="N520" s="175"/>
      <c r="O520" s="61"/>
      <c r="S520" s="199"/>
      <c r="T520" s="200"/>
    </row>
    <row r="521" ht="16.5" customHeight="1">
      <c r="C521" s="61"/>
      <c r="D521" s="175"/>
      <c r="E521" s="61"/>
      <c r="F521" s="61"/>
      <c r="N521" s="175"/>
      <c r="O521" s="61"/>
      <c r="S521" s="199"/>
      <c r="T521" s="200"/>
    </row>
    <row r="522" ht="16.5" customHeight="1">
      <c r="C522" s="61"/>
      <c r="D522" s="175"/>
      <c r="E522" s="61"/>
      <c r="F522" s="61"/>
      <c r="N522" s="175"/>
      <c r="O522" s="61"/>
      <c r="S522" s="199"/>
      <c r="T522" s="200"/>
    </row>
    <row r="523" ht="16.5" customHeight="1">
      <c r="C523" s="61"/>
      <c r="D523" s="175"/>
      <c r="E523" s="61"/>
      <c r="F523" s="61"/>
      <c r="N523" s="175"/>
      <c r="O523" s="61"/>
      <c r="S523" s="199"/>
      <c r="T523" s="200"/>
    </row>
    <row r="524" ht="16.5" customHeight="1">
      <c r="C524" s="61"/>
      <c r="D524" s="175"/>
      <c r="E524" s="61"/>
      <c r="F524" s="61"/>
      <c r="N524" s="175"/>
      <c r="O524" s="61"/>
      <c r="S524" s="199"/>
      <c r="T524" s="200"/>
    </row>
    <row r="525" ht="16.5" customHeight="1">
      <c r="C525" s="61"/>
      <c r="D525" s="175"/>
      <c r="E525" s="61"/>
      <c r="F525" s="61"/>
      <c r="N525" s="175"/>
      <c r="O525" s="61"/>
      <c r="S525" s="199"/>
      <c r="T525" s="200"/>
    </row>
    <row r="526" ht="16.5" customHeight="1">
      <c r="C526" s="61"/>
      <c r="D526" s="175"/>
      <c r="E526" s="61"/>
      <c r="F526" s="61"/>
      <c r="N526" s="175"/>
      <c r="O526" s="61"/>
      <c r="S526" s="199"/>
      <c r="T526" s="200"/>
    </row>
    <row r="527" ht="16.5" customHeight="1">
      <c r="C527" s="61"/>
      <c r="D527" s="175"/>
      <c r="E527" s="61"/>
      <c r="F527" s="61"/>
      <c r="N527" s="175"/>
      <c r="O527" s="61"/>
      <c r="S527" s="199"/>
      <c r="T527" s="200"/>
    </row>
    <row r="528" ht="16.5" customHeight="1">
      <c r="C528" s="61"/>
      <c r="D528" s="175"/>
      <c r="E528" s="61"/>
      <c r="F528" s="61"/>
      <c r="N528" s="175"/>
      <c r="O528" s="61"/>
      <c r="S528" s="199"/>
      <c r="T528" s="200"/>
    </row>
    <row r="529" ht="16.5" customHeight="1">
      <c r="C529" s="61"/>
      <c r="D529" s="175"/>
      <c r="E529" s="61"/>
      <c r="F529" s="61"/>
      <c r="N529" s="175"/>
      <c r="O529" s="61"/>
      <c r="S529" s="199"/>
      <c r="T529" s="200"/>
    </row>
    <row r="530" ht="16.5" customHeight="1">
      <c r="C530" s="61"/>
      <c r="D530" s="175"/>
      <c r="E530" s="61"/>
      <c r="F530" s="61"/>
      <c r="N530" s="175"/>
      <c r="O530" s="61"/>
      <c r="S530" s="199"/>
      <c r="T530" s="200"/>
    </row>
    <row r="531" ht="16.5" customHeight="1">
      <c r="C531" s="61"/>
      <c r="D531" s="175"/>
      <c r="E531" s="61"/>
      <c r="F531" s="61"/>
      <c r="N531" s="175"/>
      <c r="O531" s="61"/>
      <c r="S531" s="199"/>
      <c r="T531" s="200"/>
    </row>
    <row r="532" ht="16.5" customHeight="1">
      <c r="C532" s="61"/>
      <c r="D532" s="175"/>
      <c r="E532" s="61"/>
      <c r="F532" s="61"/>
      <c r="N532" s="175"/>
      <c r="O532" s="61"/>
      <c r="S532" s="199"/>
      <c r="T532" s="200"/>
    </row>
    <row r="533" ht="16.5" customHeight="1">
      <c r="C533" s="61"/>
      <c r="D533" s="175"/>
      <c r="E533" s="61"/>
      <c r="F533" s="61"/>
      <c r="N533" s="175"/>
      <c r="O533" s="61"/>
      <c r="S533" s="199"/>
      <c r="T533" s="200"/>
    </row>
    <row r="534" ht="16.5" customHeight="1">
      <c r="C534" s="61"/>
      <c r="D534" s="175"/>
      <c r="E534" s="61"/>
      <c r="F534" s="61"/>
      <c r="N534" s="175"/>
      <c r="O534" s="61"/>
      <c r="S534" s="199"/>
      <c r="T534" s="200"/>
    </row>
    <row r="535" ht="16.5" customHeight="1">
      <c r="C535" s="61"/>
      <c r="D535" s="175"/>
      <c r="E535" s="61"/>
      <c r="F535" s="61"/>
      <c r="N535" s="175"/>
      <c r="O535" s="61"/>
      <c r="S535" s="199"/>
      <c r="T535" s="200"/>
    </row>
    <row r="536" ht="16.5" customHeight="1">
      <c r="C536" s="61"/>
      <c r="D536" s="175"/>
      <c r="E536" s="61"/>
      <c r="F536" s="61"/>
      <c r="N536" s="175"/>
      <c r="O536" s="61"/>
      <c r="S536" s="199"/>
      <c r="T536" s="200"/>
    </row>
    <row r="537" ht="16.5" customHeight="1">
      <c r="C537" s="61"/>
      <c r="D537" s="175"/>
      <c r="E537" s="61"/>
      <c r="F537" s="61"/>
      <c r="N537" s="175"/>
      <c r="O537" s="61"/>
      <c r="S537" s="199"/>
      <c r="T537" s="200"/>
    </row>
    <row r="538" ht="16.5" customHeight="1">
      <c r="C538" s="61"/>
      <c r="D538" s="175"/>
      <c r="E538" s="61"/>
      <c r="F538" s="61"/>
      <c r="N538" s="175"/>
      <c r="O538" s="61"/>
      <c r="S538" s="199"/>
      <c r="T538" s="200"/>
    </row>
    <row r="539" ht="16.5" customHeight="1">
      <c r="C539" s="61"/>
      <c r="D539" s="175"/>
      <c r="E539" s="61"/>
      <c r="F539" s="61"/>
      <c r="N539" s="175"/>
      <c r="O539" s="61"/>
      <c r="S539" s="199"/>
      <c r="T539" s="200"/>
    </row>
    <row r="540" ht="16.5" customHeight="1">
      <c r="C540" s="61"/>
      <c r="D540" s="175"/>
      <c r="E540" s="61"/>
      <c r="F540" s="61"/>
      <c r="N540" s="175"/>
      <c r="O540" s="61"/>
      <c r="S540" s="199"/>
      <c r="T540" s="200"/>
    </row>
    <row r="541" ht="16.5" customHeight="1">
      <c r="C541" s="61"/>
      <c r="D541" s="175"/>
      <c r="E541" s="61"/>
      <c r="F541" s="61"/>
      <c r="N541" s="175"/>
      <c r="O541" s="61"/>
      <c r="S541" s="199"/>
      <c r="T541" s="200"/>
    </row>
    <row r="542" ht="16.5" customHeight="1">
      <c r="C542" s="61"/>
      <c r="D542" s="175"/>
      <c r="E542" s="61"/>
      <c r="F542" s="61"/>
      <c r="N542" s="175"/>
      <c r="O542" s="61"/>
      <c r="S542" s="199"/>
      <c r="T542" s="200"/>
    </row>
    <row r="543" ht="16.5" customHeight="1">
      <c r="C543" s="61"/>
      <c r="D543" s="175"/>
      <c r="E543" s="61"/>
      <c r="F543" s="61"/>
      <c r="N543" s="175"/>
      <c r="O543" s="61"/>
      <c r="S543" s="199"/>
      <c r="T543" s="200"/>
    </row>
    <row r="544" ht="16.5" customHeight="1">
      <c r="C544" s="61"/>
      <c r="D544" s="175"/>
      <c r="E544" s="61"/>
      <c r="F544" s="61"/>
      <c r="N544" s="175"/>
      <c r="O544" s="61"/>
      <c r="S544" s="199"/>
      <c r="T544" s="200"/>
    </row>
    <row r="545" ht="16.5" customHeight="1">
      <c r="C545" s="61"/>
      <c r="D545" s="175"/>
      <c r="E545" s="61"/>
      <c r="F545" s="61"/>
      <c r="N545" s="175"/>
      <c r="O545" s="61"/>
      <c r="S545" s="199"/>
      <c r="T545" s="200"/>
    </row>
    <row r="546" ht="16.5" customHeight="1">
      <c r="C546" s="61"/>
      <c r="D546" s="175"/>
      <c r="E546" s="61"/>
      <c r="F546" s="61"/>
      <c r="N546" s="175"/>
      <c r="O546" s="61"/>
      <c r="S546" s="199"/>
      <c r="T546" s="200"/>
    </row>
    <row r="547" ht="16.5" customHeight="1">
      <c r="C547" s="61"/>
      <c r="D547" s="175"/>
      <c r="E547" s="61"/>
      <c r="F547" s="61"/>
      <c r="N547" s="175"/>
      <c r="O547" s="61"/>
      <c r="S547" s="199"/>
      <c r="T547" s="200"/>
    </row>
    <row r="548" ht="16.5" customHeight="1">
      <c r="C548" s="61"/>
      <c r="D548" s="175"/>
      <c r="E548" s="61"/>
      <c r="F548" s="61"/>
      <c r="N548" s="175"/>
      <c r="O548" s="61"/>
      <c r="S548" s="199"/>
      <c r="T548" s="200"/>
    </row>
    <row r="549" ht="16.5" customHeight="1">
      <c r="C549" s="61"/>
      <c r="D549" s="175"/>
      <c r="E549" s="61"/>
      <c r="F549" s="61"/>
      <c r="N549" s="175"/>
      <c r="O549" s="61"/>
      <c r="S549" s="199"/>
      <c r="T549" s="200"/>
    </row>
    <row r="550" ht="16.5" customHeight="1">
      <c r="C550" s="61"/>
      <c r="D550" s="175"/>
      <c r="E550" s="61"/>
      <c r="F550" s="61"/>
      <c r="N550" s="175"/>
      <c r="O550" s="61"/>
      <c r="S550" s="199"/>
      <c r="T550" s="200"/>
    </row>
    <row r="551" ht="16.5" customHeight="1">
      <c r="C551" s="61"/>
      <c r="D551" s="175"/>
      <c r="E551" s="61"/>
      <c r="F551" s="61"/>
      <c r="N551" s="175"/>
      <c r="O551" s="61"/>
      <c r="S551" s="199"/>
      <c r="T551" s="200"/>
    </row>
    <row r="552" ht="16.5" customHeight="1">
      <c r="C552" s="61"/>
      <c r="D552" s="175"/>
      <c r="E552" s="61"/>
      <c r="F552" s="61"/>
      <c r="N552" s="175"/>
      <c r="O552" s="61"/>
      <c r="S552" s="199"/>
      <c r="T552" s="200"/>
    </row>
    <row r="553" ht="16.5" customHeight="1">
      <c r="C553" s="61"/>
      <c r="D553" s="175"/>
      <c r="E553" s="61"/>
      <c r="F553" s="61"/>
      <c r="N553" s="175"/>
      <c r="O553" s="61"/>
      <c r="S553" s="199"/>
      <c r="T553" s="200"/>
    </row>
    <row r="554" ht="16.5" customHeight="1">
      <c r="C554" s="61"/>
      <c r="D554" s="175"/>
      <c r="E554" s="61"/>
      <c r="F554" s="61"/>
      <c r="N554" s="175"/>
      <c r="O554" s="61"/>
      <c r="S554" s="199"/>
      <c r="T554" s="200"/>
    </row>
    <row r="555" ht="16.5" customHeight="1">
      <c r="C555" s="61"/>
      <c r="D555" s="175"/>
      <c r="E555" s="61"/>
      <c r="F555" s="61"/>
      <c r="N555" s="175"/>
      <c r="O555" s="61"/>
      <c r="S555" s="199"/>
      <c r="T555" s="200"/>
    </row>
    <row r="556" ht="16.5" customHeight="1">
      <c r="C556" s="61"/>
      <c r="D556" s="175"/>
      <c r="E556" s="61"/>
      <c r="F556" s="61"/>
      <c r="N556" s="175"/>
      <c r="O556" s="61"/>
      <c r="S556" s="199"/>
      <c r="T556" s="200"/>
    </row>
    <row r="557" ht="16.5" customHeight="1">
      <c r="C557" s="61"/>
      <c r="D557" s="175"/>
      <c r="E557" s="61"/>
      <c r="F557" s="61"/>
      <c r="N557" s="175"/>
      <c r="O557" s="61"/>
      <c r="S557" s="199"/>
      <c r="T557" s="200"/>
    </row>
    <row r="558" ht="16.5" customHeight="1">
      <c r="C558" s="61"/>
      <c r="D558" s="175"/>
      <c r="E558" s="61"/>
      <c r="F558" s="61"/>
      <c r="N558" s="175"/>
      <c r="O558" s="61"/>
      <c r="S558" s="199"/>
      <c r="T558" s="200"/>
    </row>
    <row r="559" ht="16.5" customHeight="1">
      <c r="C559" s="61"/>
      <c r="D559" s="175"/>
      <c r="E559" s="61"/>
      <c r="F559" s="61"/>
      <c r="N559" s="175"/>
      <c r="O559" s="61"/>
      <c r="S559" s="199"/>
      <c r="T559" s="200"/>
    </row>
    <row r="560" ht="16.5" customHeight="1">
      <c r="C560" s="61"/>
      <c r="D560" s="175"/>
      <c r="E560" s="61"/>
      <c r="F560" s="61"/>
      <c r="N560" s="175"/>
      <c r="O560" s="61"/>
      <c r="S560" s="199"/>
      <c r="T560" s="200"/>
    </row>
    <row r="561" ht="16.5" customHeight="1">
      <c r="C561" s="61"/>
      <c r="D561" s="175"/>
      <c r="E561" s="61"/>
      <c r="F561" s="61"/>
      <c r="N561" s="175"/>
      <c r="O561" s="61"/>
      <c r="S561" s="199"/>
      <c r="T561" s="200"/>
    </row>
    <row r="562" ht="16.5" customHeight="1">
      <c r="C562" s="61"/>
      <c r="D562" s="175"/>
      <c r="E562" s="61"/>
      <c r="F562" s="61"/>
      <c r="N562" s="175"/>
      <c r="O562" s="61"/>
      <c r="S562" s="199"/>
      <c r="T562" s="200"/>
    </row>
    <row r="563" ht="16.5" customHeight="1">
      <c r="C563" s="61"/>
      <c r="D563" s="175"/>
      <c r="E563" s="61"/>
      <c r="F563" s="61"/>
      <c r="N563" s="175"/>
      <c r="O563" s="61"/>
      <c r="S563" s="199"/>
      <c r="T563" s="200"/>
    </row>
    <row r="564" ht="16.5" customHeight="1">
      <c r="C564" s="61"/>
      <c r="D564" s="175"/>
      <c r="E564" s="61"/>
      <c r="F564" s="61"/>
      <c r="N564" s="175"/>
      <c r="O564" s="61"/>
      <c r="S564" s="199"/>
      <c r="T564" s="200"/>
    </row>
    <row r="565" ht="16.5" customHeight="1">
      <c r="C565" s="61"/>
      <c r="D565" s="175"/>
      <c r="E565" s="61"/>
      <c r="F565" s="61"/>
      <c r="N565" s="175"/>
      <c r="O565" s="61"/>
      <c r="S565" s="199"/>
      <c r="T565" s="200"/>
    </row>
    <row r="566" ht="16.5" customHeight="1">
      <c r="C566" s="61"/>
      <c r="D566" s="175"/>
      <c r="E566" s="61"/>
      <c r="F566" s="61"/>
      <c r="N566" s="175"/>
      <c r="O566" s="61"/>
      <c r="S566" s="199"/>
      <c r="T566" s="200"/>
    </row>
    <row r="567" ht="16.5" customHeight="1">
      <c r="C567" s="61"/>
      <c r="D567" s="175"/>
      <c r="E567" s="61"/>
      <c r="F567" s="61"/>
      <c r="N567" s="175"/>
      <c r="O567" s="61"/>
      <c r="S567" s="199"/>
      <c r="T567" s="200"/>
    </row>
    <row r="568" ht="16.5" customHeight="1">
      <c r="C568" s="61"/>
      <c r="D568" s="175"/>
      <c r="E568" s="61"/>
      <c r="F568" s="61"/>
      <c r="N568" s="175"/>
      <c r="O568" s="61"/>
      <c r="S568" s="199"/>
      <c r="T568" s="200"/>
    </row>
    <row r="569" ht="16.5" customHeight="1">
      <c r="C569" s="61"/>
      <c r="D569" s="175"/>
      <c r="E569" s="61"/>
      <c r="F569" s="61"/>
      <c r="N569" s="175"/>
      <c r="O569" s="61"/>
      <c r="S569" s="199"/>
      <c r="T569" s="200"/>
    </row>
    <row r="570" ht="16.5" customHeight="1">
      <c r="C570" s="61"/>
      <c r="D570" s="175"/>
      <c r="E570" s="61"/>
      <c r="F570" s="61"/>
      <c r="N570" s="175"/>
      <c r="O570" s="61"/>
      <c r="S570" s="199"/>
      <c r="T570" s="200"/>
    </row>
    <row r="571" ht="16.5" customHeight="1">
      <c r="C571" s="61"/>
      <c r="D571" s="175"/>
      <c r="E571" s="61"/>
      <c r="F571" s="61"/>
      <c r="N571" s="175"/>
      <c r="O571" s="61"/>
      <c r="S571" s="199"/>
      <c r="T571" s="200"/>
    </row>
    <row r="572" ht="16.5" customHeight="1">
      <c r="C572" s="61"/>
      <c r="D572" s="175"/>
      <c r="E572" s="61"/>
      <c r="F572" s="61"/>
      <c r="N572" s="175"/>
      <c r="O572" s="61"/>
      <c r="S572" s="199"/>
      <c r="T572" s="200"/>
    </row>
    <row r="573" ht="16.5" customHeight="1">
      <c r="C573" s="61"/>
      <c r="D573" s="175"/>
      <c r="E573" s="61"/>
      <c r="F573" s="61"/>
      <c r="N573" s="175"/>
      <c r="O573" s="61"/>
      <c r="S573" s="199"/>
      <c r="T573" s="200"/>
    </row>
    <row r="574" ht="16.5" customHeight="1">
      <c r="C574" s="61"/>
      <c r="D574" s="175"/>
      <c r="E574" s="61"/>
      <c r="F574" s="61"/>
      <c r="N574" s="175"/>
      <c r="O574" s="61"/>
      <c r="S574" s="199"/>
      <c r="T574" s="200"/>
    </row>
    <row r="575" ht="16.5" customHeight="1">
      <c r="C575" s="61"/>
      <c r="D575" s="175"/>
      <c r="E575" s="61"/>
      <c r="F575" s="61"/>
      <c r="N575" s="175"/>
      <c r="O575" s="61"/>
      <c r="S575" s="199"/>
      <c r="T575" s="200"/>
    </row>
    <row r="576" ht="16.5" customHeight="1">
      <c r="C576" s="61"/>
      <c r="D576" s="175"/>
      <c r="E576" s="61"/>
      <c r="F576" s="61"/>
      <c r="N576" s="175"/>
      <c r="O576" s="61"/>
      <c r="S576" s="199"/>
      <c r="T576" s="200"/>
    </row>
    <row r="577" ht="16.5" customHeight="1">
      <c r="C577" s="61"/>
      <c r="D577" s="175"/>
      <c r="E577" s="61"/>
      <c r="F577" s="61"/>
      <c r="N577" s="175"/>
      <c r="O577" s="61"/>
      <c r="S577" s="199"/>
      <c r="T577" s="200"/>
    </row>
    <row r="578" ht="16.5" customHeight="1">
      <c r="C578" s="61"/>
      <c r="D578" s="175"/>
      <c r="E578" s="61"/>
      <c r="F578" s="61"/>
      <c r="N578" s="175"/>
      <c r="O578" s="61"/>
      <c r="S578" s="199"/>
      <c r="T578" s="200"/>
    </row>
    <row r="579" ht="16.5" customHeight="1">
      <c r="C579" s="61"/>
      <c r="D579" s="175"/>
      <c r="E579" s="61"/>
      <c r="F579" s="61"/>
      <c r="N579" s="175"/>
      <c r="O579" s="61"/>
      <c r="S579" s="199"/>
      <c r="T579" s="200"/>
    </row>
    <row r="580" ht="16.5" customHeight="1">
      <c r="C580" s="61"/>
      <c r="D580" s="175"/>
      <c r="E580" s="61"/>
      <c r="F580" s="61"/>
      <c r="N580" s="175"/>
      <c r="O580" s="61"/>
      <c r="S580" s="199"/>
      <c r="T580" s="200"/>
    </row>
    <row r="581" ht="16.5" customHeight="1">
      <c r="C581" s="61"/>
      <c r="D581" s="175"/>
      <c r="E581" s="61"/>
      <c r="F581" s="61"/>
      <c r="N581" s="175"/>
      <c r="O581" s="61"/>
      <c r="S581" s="199"/>
      <c r="T581" s="200"/>
    </row>
    <row r="582" ht="16.5" customHeight="1">
      <c r="C582" s="61"/>
      <c r="D582" s="175"/>
      <c r="E582" s="61"/>
      <c r="F582" s="61"/>
      <c r="N582" s="175"/>
      <c r="O582" s="61"/>
      <c r="S582" s="199"/>
      <c r="T582" s="200"/>
    </row>
    <row r="583" ht="16.5" customHeight="1">
      <c r="C583" s="61"/>
      <c r="D583" s="175"/>
      <c r="E583" s="61"/>
      <c r="F583" s="61"/>
      <c r="N583" s="175"/>
      <c r="O583" s="61"/>
      <c r="S583" s="199"/>
      <c r="T583" s="200"/>
    </row>
    <row r="584" ht="16.5" customHeight="1">
      <c r="C584" s="61"/>
      <c r="D584" s="175"/>
      <c r="E584" s="61"/>
      <c r="F584" s="61"/>
      <c r="N584" s="175"/>
      <c r="O584" s="61"/>
      <c r="S584" s="199"/>
      <c r="T584" s="200"/>
    </row>
    <row r="585" ht="16.5" customHeight="1">
      <c r="C585" s="61"/>
      <c r="D585" s="175"/>
      <c r="E585" s="61"/>
      <c r="F585" s="61"/>
      <c r="N585" s="175"/>
      <c r="O585" s="61"/>
      <c r="S585" s="199"/>
      <c r="T585" s="200"/>
    </row>
    <row r="586" ht="16.5" customHeight="1">
      <c r="C586" s="61"/>
      <c r="D586" s="175"/>
      <c r="E586" s="61"/>
      <c r="F586" s="61"/>
      <c r="N586" s="175"/>
      <c r="O586" s="61"/>
      <c r="S586" s="199"/>
      <c r="T586" s="200"/>
    </row>
    <row r="587" ht="16.5" customHeight="1">
      <c r="C587" s="61"/>
      <c r="D587" s="175"/>
      <c r="E587" s="61"/>
      <c r="F587" s="61"/>
      <c r="N587" s="175"/>
      <c r="O587" s="61"/>
      <c r="S587" s="199"/>
      <c r="T587" s="200"/>
    </row>
    <row r="588" ht="16.5" customHeight="1">
      <c r="C588" s="61"/>
      <c r="D588" s="175"/>
      <c r="E588" s="61"/>
      <c r="F588" s="61"/>
      <c r="N588" s="175"/>
      <c r="O588" s="61"/>
      <c r="S588" s="199"/>
      <c r="T588" s="200"/>
    </row>
    <row r="589" ht="16.5" customHeight="1">
      <c r="C589" s="61"/>
      <c r="D589" s="175"/>
      <c r="E589" s="61"/>
      <c r="F589" s="61"/>
      <c r="N589" s="175"/>
      <c r="O589" s="61"/>
      <c r="S589" s="199"/>
      <c r="T589" s="200"/>
    </row>
    <row r="590" ht="16.5" customHeight="1">
      <c r="C590" s="61"/>
      <c r="D590" s="175"/>
      <c r="E590" s="61"/>
      <c r="F590" s="61"/>
      <c r="N590" s="175"/>
      <c r="O590" s="61"/>
      <c r="S590" s="199"/>
      <c r="T590" s="200"/>
    </row>
    <row r="591" ht="16.5" customHeight="1">
      <c r="C591" s="61"/>
      <c r="D591" s="175"/>
      <c r="E591" s="61"/>
      <c r="F591" s="61"/>
      <c r="N591" s="175"/>
      <c r="O591" s="61"/>
      <c r="S591" s="199"/>
      <c r="T591" s="200"/>
    </row>
    <row r="592" ht="16.5" customHeight="1">
      <c r="C592" s="61"/>
      <c r="D592" s="175"/>
      <c r="E592" s="61"/>
      <c r="F592" s="61"/>
      <c r="N592" s="175"/>
      <c r="O592" s="61"/>
      <c r="S592" s="199"/>
      <c r="T592" s="200"/>
    </row>
    <row r="593" ht="16.5" customHeight="1">
      <c r="C593" s="61"/>
      <c r="D593" s="175"/>
      <c r="E593" s="61"/>
      <c r="F593" s="61"/>
      <c r="N593" s="175"/>
      <c r="O593" s="61"/>
      <c r="S593" s="199"/>
      <c r="T593" s="200"/>
    </row>
    <row r="594" ht="16.5" customHeight="1">
      <c r="C594" s="61"/>
      <c r="D594" s="175"/>
      <c r="E594" s="61"/>
      <c r="F594" s="61"/>
      <c r="N594" s="175"/>
      <c r="O594" s="61"/>
      <c r="S594" s="199"/>
      <c r="T594" s="200"/>
    </row>
    <row r="595" ht="16.5" customHeight="1">
      <c r="C595" s="61"/>
      <c r="D595" s="175"/>
      <c r="E595" s="61"/>
      <c r="F595" s="61"/>
      <c r="N595" s="175"/>
      <c r="O595" s="61"/>
      <c r="S595" s="199"/>
      <c r="T595" s="200"/>
    </row>
    <row r="596" ht="16.5" customHeight="1">
      <c r="C596" s="61"/>
      <c r="D596" s="175"/>
      <c r="E596" s="61"/>
      <c r="F596" s="61"/>
      <c r="N596" s="175"/>
      <c r="O596" s="61"/>
      <c r="S596" s="199"/>
      <c r="T596" s="200"/>
    </row>
    <row r="597" ht="16.5" customHeight="1">
      <c r="C597" s="61"/>
      <c r="D597" s="175"/>
      <c r="E597" s="61"/>
      <c r="F597" s="61"/>
      <c r="N597" s="175"/>
      <c r="O597" s="61"/>
      <c r="S597" s="199"/>
      <c r="T597" s="200"/>
    </row>
    <row r="598" ht="16.5" customHeight="1">
      <c r="C598" s="61"/>
      <c r="D598" s="175"/>
      <c r="E598" s="61"/>
      <c r="F598" s="61"/>
      <c r="N598" s="175"/>
      <c r="O598" s="61"/>
      <c r="S598" s="199"/>
      <c r="T598" s="200"/>
    </row>
    <row r="599" ht="16.5" customHeight="1">
      <c r="C599" s="61"/>
      <c r="D599" s="175"/>
      <c r="E599" s="61"/>
      <c r="F599" s="61"/>
      <c r="N599" s="175"/>
      <c r="O599" s="61"/>
      <c r="S599" s="199"/>
      <c r="T599" s="200"/>
    </row>
    <row r="600" ht="16.5" customHeight="1">
      <c r="C600" s="61"/>
      <c r="D600" s="175"/>
      <c r="E600" s="61"/>
      <c r="F600" s="61"/>
      <c r="N600" s="175"/>
      <c r="O600" s="61"/>
      <c r="S600" s="199"/>
      <c r="T600" s="200"/>
    </row>
    <row r="601" ht="16.5" customHeight="1">
      <c r="C601" s="61"/>
      <c r="D601" s="175"/>
      <c r="E601" s="61"/>
      <c r="F601" s="61"/>
      <c r="N601" s="175"/>
      <c r="O601" s="61"/>
      <c r="S601" s="199"/>
      <c r="T601" s="200"/>
    </row>
    <row r="602" ht="16.5" customHeight="1">
      <c r="C602" s="61"/>
      <c r="D602" s="175"/>
      <c r="E602" s="61"/>
      <c r="F602" s="61"/>
      <c r="N602" s="175"/>
      <c r="O602" s="61"/>
      <c r="S602" s="199"/>
      <c r="T602" s="200"/>
    </row>
    <row r="603" ht="16.5" customHeight="1">
      <c r="C603" s="61"/>
      <c r="D603" s="175"/>
      <c r="E603" s="61"/>
      <c r="F603" s="61"/>
      <c r="N603" s="175"/>
      <c r="O603" s="61"/>
      <c r="S603" s="199"/>
      <c r="T603" s="200"/>
    </row>
    <row r="604" ht="16.5" customHeight="1">
      <c r="C604" s="61"/>
      <c r="D604" s="175"/>
      <c r="E604" s="61"/>
      <c r="F604" s="61"/>
      <c r="N604" s="175"/>
      <c r="O604" s="61"/>
      <c r="S604" s="199"/>
      <c r="T604" s="200"/>
    </row>
    <row r="605" ht="16.5" customHeight="1">
      <c r="C605" s="61"/>
      <c r="D605" s="175"/>
      <c r="E605" s="61"/>
      <c r="F605" s="61"/>
      <c r="N605" s="175"/>
      <c r="O605" s="61"/>
      <c r="S605" s="199"/>
      <c r="T605" s="200"/>
    </row>
    <row r="606" ht="16.5" customHeight="1">
      <c r="C606" s="61"/>
      <c r="D606" s="175"/>
      <c r="E606" s="61"/>
      <c r="F606" s="61"/>
      <c r="N606" s="175"/>
      <c r="O606" s="61"/>
      <c r="S606" s="199"/>
      <c r="T606" s="200"/>
    </row>
    <row r="607" ht="16.5" customHeight="1">
      <c r="C607" s="61"/>
      <c r="D607" s="175"/>
      <c r="E607" s="61"/>
      <c r="F607" s="61"/>
      <c r="N607" s="175"/>
      <c r="O607" s="61"/>
      <c r="S607" s="199"/>
      <c r="T607" s="200"/>
    </row>
    <row r="608" ht="16.5" customHeight="1">
      <c r="C608" s="61"/>
      <c r="D608" s="175"/>
      <c r="E608" s="61"/>
      <c r="F608" s="61"/>
      <c r="N608" s="175"/>
      <c r="O608" s="61"/>
      <c r="S608" s="199"/>
      <c r="T608" s="200"/>
    </row>
    <row r="609" ht="16.5" customHeight="1">
      <c r="C609" s="61"/>
      <c r="D609" s="175"/>
      <c r="E609" s="61"/>
      <c r="F609" s="61"/>
      <c r="N609" s="175"/>
      <c r="O609" s="61"/>
      <c r="S609" s="199"/>
      <c r="T609" s="200"/>
    </row>
    <row r="610" ht="16.5" customHeight="1">
      <c r="C610" s="61"/>
      <c r="D610" s="175"/>
      <c r="E610" s="61"/>
      <c r="F610" s="61"/>
      <c r="N610" s="175"/>
      <c r="O610" s="61"/>
      <c r="S610" s="199"/>
      <c r="T610" s="200"/>
    </row>
    <row r="611" ht="16.5" customHeight="1">
      <c r="C611" s="61"/>
      <c r="D611" s="175"/>
      <c r="E611" s="61"/>
      <c r="F611" s="61"/>
      <c r="N611" s="175"/>
      <c r="O611" s="61"/>
      <c r="S611" s="199"/>
      <c r="T611" s="200"/>
    </row>
    <row r="612" ht="16.5" customHeight="1">
      <c r="C612" s="61"/>
      <c r="D612" s="175"/>
      <c r="E612" s="61"/>
      <c r="F612" s="61"/>
      <c r="N612" s="175"/>
      <c r="O612" s="61"/>
      <c r="S612" s="199"/>
      <c r="T612" s="200"/>
    </row>
    <row r="613" ht="16.5" customHeight="1">
      <c r="C613" s="61"/>
      <c r="D613" s="175"/>
      <c r="E613" s="61"/>
      <c r="F613" s="61"/>
      <c r="N613" s="175"/>
      <c r="O613" s="61"/>
      <c r="S613" s="199"/>
      <c r="T613" s="200"/>
    </row>
    <row r="614" ht="16.5" customHeight="1">
      <c r="C614" s="61"/>
      <c r="D614" s="175"/>
      <c r="E614" s="61"/>
      <c r="F614" s="61"/>
      <c r="N614" s="175"/>
      <c r="O614" s="61"/>
      <c r="S614" s="199"/>
      <c r="T614" s="200"/>
    </row>
    <row r="615" ht="16.5" customHeight="1">
      <c r="C615" s="61"/>
      <c r="D615" s="175"/>
      <c r="E615" s="61"/>
      <c r="F615" s="61"/>
      <c r="N615" s="175"/>
      <c r="O615" s="61"/>
      <c r="S615" s="199"/>
      <c r="T615" s="200"/>
    </row>
    <row r="616" ht="16.5" customHeight="1">
      <c r="C616" s="61"/>
      <c r="D616" s="175"/>
      <c r="E616" s="61"/>
      <c r="F616" s="61"/>
      <c r="N616" s="175"/>
      <c r="O616" s="61"/>
      <c r="S616" s="199"/>
      <c r="T616" s="200"/>
    </row>
    <row r="617" ht="16.5" customHeight="1">
      <c r="C617" s="61"/>
      <c r="D617" s="175"/>
      <c r="E617" s="61"/>
      <c r="F617" s="61"/>
      <c r="N617" s="175"/>
      <c r="O617" s="61"/>
      <c r="S617" s="199"/>
      <c r="T617" s="200"/>
    </row>
    <row r="618" ht="16.5" customHeight="1">
      <c r="C618" s="61"/>
      <c r="D618" s="175"/>
      <c r="E618" s="61"/>
      <c r="F618" s="61"/>
      <c r="N618" s="175"/>
      <c r="O618" s="61"/>
      <c r="S618" s="199"/>
      <c r="T618" s="200"/>
    </row>
    <row r="619" ht="16.5" customHeight="1">
      <c r="C619" s="61"/>
      <c r="D619" s="175"/>
      <c r="E619" s="61"/>
      <c r="F619" s="61"/>
      <c r="N619" s="175"/>
      <c r="O619" s="61"/>
      <c r="S619" s="199"/>
      <c r="T619" s="200"/>
    </row>
    <row r="620" ht="16.5" customHeight="1">
      <c r="C620" s="61"/>
      <c r="D620" s="175"/>
      <c r="E620" s="61"/>
      <c r="F620" s="61"/>
      <c r="N620" s="175"/>
      <c r="O620" s="61"/>
      <c r="S620" s="199"/>
      <c r="T620" s="200"/>
    </row>
    <row r="621" ht="16.5" customHeight="1">
      <c r="C621" s="61"/>
      <c r="D621" s="175"/>
      <c r="E621" s="61"/>
      <c r="F621" s="61"/>
      <c r="N621" s="175"/>
      <c r="O621" s="61"/>
      <c r="S621" s="199"/>
      <c r="T621" s="200"/>
    </row>
    <row r="622" ht="16.5" customHeight="1">
      <c r="C622" s="61"/>
      <c r="D622" s="175"/>
      <c r="E622" s="61"/>
      <c r="F622" s="61"/>
      <c r="N622" s="175"/>
      <c r="O622" s="61"/>
      <c r="S622" s="199"/>
      <c r="T622" s="200"/>
    </row>
    <row r="623" ht="16.5" customHeight="1">
      <c r="C623" s="61"/>
      <c r="D623" s="175"/>
      <c r="E623" s="61"/>
      <c r="F623" s="61"/>
      <c r="N623" s="175"/>
      <c r="O623" s="61"/>
      <c r="S623" s="199"/>
      <c r="T623" s="200"/>
    </row>
    <row r="624" ht="16.5" customHeight="1">
      <c r="C624" s="61"/>
      <c r="D624" s="175"/>
      <c r="E624" s="61"/>
      <c r="F624" s="61"/>
      <c r="N624" s="175"/>
      <c r="O624" s="61"/>
      <c r="S624" s="199"/>
      <c r="T624" s="200"/>
    </row>
    <row r="625" ht="16.5" customHeight="1">
      <c r="C625" s="61"/>
      <c r="D625" s="175"/>
      <c r="E625" s="61"/>
      <c r="F625" s="61"/>
      <c r="N625" s="175"/>
      <c r="O625" s="61"/>
      <c r="S625" s="199"/>
      <c r="T625" s="200"/>
    </row>
    <row r="626" ht="16.5" customHeight="1">
      <c r="C626" s="61"/>
      <c r="D626" s="175"/>
      <c r="E626" s="61"/>
      <c r="F626" s="61"/>
      <c r="N626" s="175"/>
      <c r="O626" s="61"/>
      <c r="S626" s="199"/>
      <c r="T626" s="200"/>
    </row>
    <row r="627" ht="16.5" customHeight="1">
      <c r="C627" s="61"/>
      <c r="D627" s="175"/>
      <c r="E627" s="61"/>
      <c r="F627" s="61"/>
      <c r="N627" s="175"/>
      <c r="O627" s="61"/>
      <c r="S627" s="199"/>
      <c r="T627" s="200"/>
    </row>
    <row r="628" ht="16.5" customHeight="1">
      <c r="C628" s="61"/>
      <c r="D628" s="175"/>
      <c r="E628" s="61"/>
      <c r="F628" s="61"/>
      <c r="N628" s="175"/>
      <c r="O628" s="61"/>
      <c r="S628" s="199"/>
      <c r="T628" s="200"/>
    </row>
    <row r="629" ht="16.5" customHeight="1">
      <c r="C629" s="61"/>
      <c r="D629" s="175"/>
      <c r="E629" s="61"/>
      <c r="F629" s="61"/>
      <c r="N629" s="175"/>
      <c r="O629" s="61"/>
      <c r="S629" s="199"/>
      <c r="T629" s="200"/>
    </row>
    <row r="630" ht="16.5" customHeight="1">
      <c r="C630" s="61"/>
      <c r="D630" s="175"/>
      <c r="E630" s="61"/>
      <c r="F630" s="61"/>
      <c r="N630" s="175"/>
      <c r="O630" s="61"/>
      <c r="S630" s="199"/>
      <c r="T630" s="200"/>
    </row>
    <row r="631" ht="16.5" customHeight="1">
      <c r="C631" s="61"/>
      <c r="D631" s="175"/>
      <c r="E631" s="61"/>
      <c r="F631" s="61"/>
      <c r="N631" s="175"/>
      <c r="O631" s="61"/>
      <c r="S631" s="199"/>
      <c r="T631" s="200"/>
    </row>
    <row r="632" ht="16.5" customHeight="1">
      <c r="C632" s="61"/>
      <c r="D632" s="175"/>
      <c r="E632" s="61"/>
      <c r="F632" s="61"/>
      <c r="N632" s="175"/>
      <c r="O632" s="61"/>
      <c r="S632" s="199"/>
      <c r="T632" s="200"/>
    </row>
    <row r="633" ht="16.5" customHeight="1">
      <c r="C633" s="61"/>
      <c r="D633" s="175"/>
      <c r="E633" s="61"/>
      <c r="F633" s="61"/>
      <c r="N633" s="175"/>
      <c r="O633" s="61"/>
      <c r="S633" s="199"/>
      <c r="T633" s="200"/>
    </row>
    <row r="634" ht="16.5" customHeight="1">
      <c r="C634" s="61"/>
      <c r="D634" s="175"/>
      <c r="E634" s="61"/>
      <c r="F634" s="61"/>
      <c r="N634" s="175"/>
      <c r="O634" s="61"/>
      <c r="S634" s="199"/>
      <c r="T634" s="200"/>
    </row>
    <row r="635" ht="16.5" customHeight="1">
      <c r="C635" s="61"/>
      <c r="D635" s="175"/>
      <c r="E635" s="61"/>
      <c r="F635" s="61"/>
      <c r="N635" s="175"/>
      <c r="O635" s="61"/>
      <c r="S635" s="199"/>
      <c r="T635" s="200"/>
    </row>
    <row r="636" ht="16.5" customHeight="1">
      <c r="C636" s="61"/>
      <c r="D636" s="175"/>
      <c r="E636" s="61"/>
      <c r="F636" s="61"/>
      <c r="N636" s="175"/>
      <c r="O636" s="61"/>
      <c r="S636" s="199"/>
      <c r="T636" s="200"/>
    </row>
    <row r="637" ht="16.5" customHeight="1">
      <c r="C637" s="61"/>
      <c r="D637" s="175"/>
      <c r="E637" s="61"/>
      <c r="F637" s="61"/>
      <c r="N637" s="175"/>
      <c r="O637" s="61"/>
      <c r="S637" s="199"/>
      <c r="T637" s="200"/>
    </row>
    <row r="638" ht="16.5" customHeight="1">
      <c r="C638" s="61"/>
      <c r="D638" s="175"/>
      <c r="E638" s="61"/>
      <c r="F638" s="61"/>
      <c r="N638" s="175"/>
      <c r="O638" s="61"/>
      <c r="S638" s="199"/>
      <c r="T638" s="200"/>
    </row>
    <row r="639" ht="16.5" customHeight="1">
      <c r="C639" s="61"/>
      <c r="D639" s="175"/>
      <c r="E639" s="61"/>
      <c r="F639" s="61"/>
      <c r="N639" s="175"/>
      <c r="O639" s="61"/>
      <c r="S639" s="199"/>
      <c r="T639" s="200"/>
    </row>
    <row r="640" ht="16.5" customHeight="1">
      <c r="C640" s="61"/>
      <c r="D640" s="175"/>
      <c r="E640" s="61"/>
      <c r="F640" s="61"/>
      <c r="N640" s="175"/>
      <c r="O640" s="61"/>
      <c r="S640" s="199"/>
      <c r="T640" s="200"/>
    </row>
    <row r="641" ht="16.5" customHeight="1">
      <c r="C641" s="61"/>
      <c r="D641" s="175"/>
      <c r="E641" s="61"/>
      <c r="F641" s="61"/>
      <c r="N641" s="175"/>
      <c r="O641" s="61"/>
      <c r="S641" s="199"/>
      <c r="T641" s="200"/>
    </row>
    <row r="642" ht="16.5" customHeight="1">
      <c r="C642" s="61"/>
      <c r="D642" s="175"/>
      <c r="E642" s="61"/>
      <c r="F642" s="61"/>
      <c r="N642" s="175"/>
      <c r="O642" s="61"/>
      <c r="S642" s="199"/>
      <c r="T642" s="200"/>
    </row>
    <row r="643" ht="16.5" customHeight="1">
      <c r="C643" s="61"/>
      <c r="D643" s="175"/>
      <c r="E643" s="61"/>
      <c r="F643" s="61"/>
      <c r="N643" s="175"/>
      <c r="O643" s="61"/>
      <c r="S643" s="199"/>
      <c r="T643" s="200"/>
    </row>
    <row r="644" ht="16.5" customHeight="1">
      <c r="C644" s="61"/>
      <c r="D644" s="175"/>
      <c r="E644" s="61"/>
      <c r="F644" s="61"/>
      <c r="N644" s="175"/>
      <c r="O644" s="61"/>
      <c r="S644" s="199"/>
      <c r="T644" s="200"/>
    </row>
    <row r="645" ht="16.5" customHeight="1">
      <c r="C645" s="61"/>
      <c r="D645" s="175"/>
      <c r="E645" s="61"/>
      <c r="F645" s="61"/>
      <c r="N645" s="175"/>
      <c r="O645" s="61"/>
      <c r="S645" s="199"/>
      <c r="T645" s="200"/>
    </row>
    <row r="646" ht="16.5" customHeight="1">
      <c r="C646" s="61"/>
      <c r="D646" s="175"/>
      <c r="E646" s="61"/>
      <c r="F646" s="61"/>
      <c r="N646" s="175"/>
      <c r="O646" s="61"/>
      <c r="S646" s="199"/>
      <c r="T646" s="200"/>
    </row>
    <row r="647" ht="16.5" customHeight="1">
      <c r="C647" s="61"/>
      <c r="D647" s="175"/>
      <c r="E647" s="61"/>
      <c r="F647" s="61"/>
      <c r="N647" s="175"/>
      <c r="O647" s="61"/>
      <c r="S647" s="199"/>
      <c r="T647" s="200"/>
    </row>
    <row r="648" ht="16.5" customHeight="1">
      <c r="C648" s="61"/>
      <c r="D648" s="175"/>
      <c r="E648" s="61"/>
      <c r="F648" s="61"/>
      <c r="N648" s="175"/>
      <c r="O648" s="61"/>
      <c r="S648" s="199"/>
      <c r="T648" s="200"/>
    </row>
    <row r="649" ht="16.5" customHeight="1">
      <c r="C649" s="61"/>
      <c r="D649" s="175"/>
      <c r="E649" s="61"/>
      <c r="F649" s="61"/>
      <c r="N649" s="175"/>
      <c r="O649" s="61"/>
      <c r="S649" s="199"/>
      <c r="T649" s="200"/>
    </row>
    <row r="650" ht="16.5" customHeight="1">
      <c r="C650" s="61"/>
      <c r="D650" s="175"/>
      <c r="E650" s="61"/>
      <c r="F650" s="61"/>
      <c r="N650" s="175"/>
      <c r="O650" s="61"/>
      <c r="S650" s="199"/>
      <c r="T650" s="200"/>
    </row>
    <row r="651" ht="16.5" customHeight="1">
      <c r="C651" s="61"/>
      <c r="D651" s="175"/>
      <c r="E651" s="61"/>
      <c r="F651" s="61"/>
      <c r="N651" s="175"/>
      <c r="O651" s="61"/>
      <c r="S651" s="199"/>
      <c r="T651" s="200"/>
    </row>
    <row r="652" ht="16.5" customHeight="1">
      <c r="C652" s="61"/>
      <c r="D652" s="175"/>
      <c r="E652" s="61"/>
      <c r="F652" s="61"/>
      <c r="N652" s="175"/>
      <c r="O652" s="61"/>
      <c r="S652" s="199"/>
      <c r="T652" s="200"/>
    </row>
    <row r="653" ht="16.5" customHeight="1">
      <c r="C653" s="61"/>
      <c r="D653" s="175"/>
      <c r="E653" s="61"/>
      <c r="F653" s="61"/>
      <c r="N653" s="175"/>
      <c r="O653" s="61"/>
      <c r="S653" s="199"/>
      <c r="T653" s="200"/>
    </row>
    <row r="654" ht="16.5" customHeight="1">
      <c r="C654" s="61"/>
      <c r="D654" s="175"/>
      <c r="E654" s="61"/>
      <c r="F654" s="61"/>
      <c r="N654" s="175"/>
      <c r="O654" s="61"/>
      <c r="S654" s="199"/>
      <c r="T654" s="200"/>
    </row>
    <row r="655" ht="16.5" customHeight="1">
      <c r="C655" s="61"/>
      <c r="D655" s="175"/>
      <c r="E655" s="61"/>
      <c r="F655" s="61"/>
      <c r="N655" s="175"/>
      <c r="O655" s="61"/>
      <c r="S655" s="199"/>
      <c r="T655" s="200"/>
    </row>
    <row r="656" ht="16.5" customHeight="1">
      <c r="C656" s="61"/>
      <c r="D656" s="175"/>
      <c r="E656" s="61"/>
      <c r="F656" s="61"/>
      <c r="N656" s="175"/>
      <c r="O656" s="61"/>
      <c r="S656" s="199"/>
      <c r="T656" s="200"/>
    </row>
    <row r="657" ht="16.5" customHeight="1">
      <c r="C657" s="61"/>
      <c r="D657" s="175"/>
      <c r="E657" s="61"/>
      <c r="F657" s="61"/>
      <c r="N657" s="175"/>
      <c r="O657" s="61"/>
      <c r="S657" s="199"/>
      <c r="T657" s="200"/>
    </row>
    <row r="658" ht="16.5" customHeight="1">
      <c r="C658" s="61"/>
      <c r="D658" s="175"/>
      <c r="E658" s="61"/>
      <c r="F658" s="61"/>
      <c r="N658" s="175"/>
      <c r="O658" s="61"/>
      <c r="S658" s="199"/>
      <c r="T658" s="200"/>
    </row>
    <row r="659" ht="16.5" customHeight="1">
      <c r="C659" s="61"/>
      <c r="D659" s="175"/>
      <c r="E659" s="61"/>
      <c r="F659" s="61"/>
      <c r="N659" s="175"/>
      <c r="O659" s="61"/>
      <c r="S659" s="199"/>
      <c r="T659" s="200"/>
    </row>
    <row r="660" ht="16.5" customHeight="1">
      <c r="C660" s="61"/>
      <c r="D660" s="175"/>
      <c r="E660" s="61"/>
      <c r="F660" s="61"/>
      <c r="N660" s="175"/>
      <c r="O660" s="61"/>
      <c r="S660" s="199"/>
      <c r="T660" s="200"/>
    </row>
    <row r="661" ht="16.5" customHeight="1">
      <c r="C661" s="61"/>
      <c r="D661" s="175"/>
      <c r="E661" s="61"/>
      <c r="F661" s="61"/>
      <c r="N661" s="175"/>
      <c r="O661" s="61"/>
      <c r="S661" s="199"/>
      <c r="T661" s="200"/>
    </row>
    <row r="662" ht="16.5" customHeight="1">
      <c r="C662" s="61"/>
      <c r="D662" s="175"/>
      <c r="E662" s="61"/>
      <c r="F662" s="61"/>
      <c r="N662" s="175"/>
      <c r="O662" s="61"/>
      <c r="S662" s="199"/>
      <c r="T662" s="200"/>
    </row>
    <row r="663" ht="16.5" customHeight="1">
      <c r="C663" s="61"/>
      <c r="D663" s="175"/>
      <c r="E663" s="61"/>
      <c r="F663" s="61"/>
      <c r="N663" s="175"/>
      <c r="O663" s="61"/>
      <c r="S663" s="199"/>
      <c r="T663" s="200"/>
    </row>
    <row r="664" ht="16.5" customHeight="1">
      <c r="C664" s="61"/>
      <c r="D664" s="175"/>
      <c r="E664" s="61"/>
      <c r="F664" s="61"/>
      <c r="N664" s="175"/>
      <c r="O664" s="61"/>
      <c r="S664" s="199"/>
      <c r="T664" s="200"/>
    </row>
    <row r="665" ht="16.5" customHeight="1">
      <c r="C665" s="61"/>
      <c r="D665" s="175"/>
      <c r="E665" s="61"/>
      <c r="F665" s="61"/>
      <c r="N665" s="175"/>
      <c r="O665" s="61"/>
      <c r="S665" s="199"/>
      <c r="T665" s="200"/>
    </row>
    <row r="666" ht="16.5" customHeight="1">
      <c r="C666" s="61"/>
      <c r="D666" s="175"/>
      <c r="E666" s="61"/>
      <c r="F666" s="61"/>
      <c r="N666" s="175"/>
      <c r="O666" s="61"/>
      <c r="S666" s="199"/>
      <c r="T666" s="200"/>
    </row>
    <row r="667" ht="16.5" customHeight="1">
      <c r="C667" s="61"/>
      <c r="D667" s="175"/>
      <c r="E667" s="61"/>
      <c r="F667" s="61"/>
      <c r="N667" s="175"/>
      <c r="O667" s="61"/>
      <c r="S667" s="199"/>
      <c r="T667" s="200"/>
    </row>
    <row r="668" ht="16.5" customHeight="1">
      <c r="C668" s="61"/>
      <c r="D668" s="175"/>
      <c r="E668" s="61"/>
      <c r="F668" s="61"/>
      <c r="N668" s="175"/>
      <c r="O668" s="61"/>
      <c r="S668" s="199"/>
      <c r="T668" s="200"/>
    </row>
    <row r="669" ht="16.5" customHeight="1">
      <c r="C669" s="61"/>
      <c r="D669" s="175"/>
      <c r="E669" s="61"/>
      <c r="F669" s="61"/>
      <c r="N669" s="175"/>
      <c r="O669" s="61"/>
      <c r="S669" s="199"/>
      <c r="T669" s="200"/>
    </row>
    <row r="670" ht="16.5" customHeight="1">
      <c r="C670" s="61"/>
      <c r="D670" s="175"/>
      <c r="E670" s="61"/>
      <c r="F670" s="61"/>
      <c r="N670" s="175"/>
      <c r="O670" s="61"/>
      <c r="S670" s="199"/>
      <c r="T670" s="200"/>
    </row>
    <row r="671" ht="16.5" customHeight="1">
      <c r="C671" s="61"/>
      <c r="D671" s="175"/>
      <c r="E671" s="61"/>
      <c r="F671" s="61"/>
      <c r="N671" s="175"/>
      <c r="O671" s="61"/>
      <c r="S671" s="199"/>
      <c r="T671" s="200"/>
    </row>
    <row r="672" ht="16.5" customHeight="1">
      <c r="C672" s="61"/>
      <c r="D672" s="175"/>
      <c r="E672" s="61"/>
      <c r="F672" s="61"/>
      <c r="N672" s="175"/>
      <c r="O672" s="61"/>
      <c r="S672" s="199"/>
      <c r="T672" s="200"/>
    </row>
    <row r="673" ht="16.5" customHeight="1">
      <c r="C673" s="61"/>
      <c r="D673" s="175"/>
      <c r="E673" s="61"/>
      <c r="F673" s="61"/>
      <c r="N673" s="175"/>
      <c r="O673" s="61"/>
      <c r="S673" s="199"/>
      <c r="T673" s="200"/>
    </row>
    <row r="674" ht="16.5" customHeight="1">
      <c r="C674" s="61"/>
      <c r="D674" s="175"/>
      <c r="E674" s="61"/>
      <c r="F674" s="61"/>
      <c r="N674" s="175"/>
      <c r="O674" s="61"/>
      <c r="S674" s="199"/>
      <c r="T674" s="200"/>
    </row>
    <row r="675" ht="16.5" customHeight="1">
      <c r="C675" s="61"/>
      <c r="D675" s="175"/>
      <c r="E675" s="61"/>
      <c r="F675" s="61"/>
      <c r="N675" s="175"/>
      <c r="O675" s="61"/>
      <c r="S675" s="199"/>
      <c r="T675" s="200"/>
    </row>
    <row r="676" ht="16.5" customHeight="1">
      <c r="C676" s="61"/>
      <c r="D676" s="175"/>
      <c r="E676" s="61"/>
      <c r="F676" s="61"/>
      <c r="N676" s="175"/>
      <c r="O676" s="61"/>
      <c r="S676" s="199"/>
      <c r="T676" s="200"/>
    </row>
    <row r="677" ht="16.5" customHeight="1">
      <c r="C677" s="61"/>
      <c r="D677" s="175"/>
      <c r="E677" s="61"/>
      <c r="F677" s="61"/>
      <c r="N677" s="175"/>
      <c r="O677" s="61"/>
      <c r="S677" s="199"/>
      <c r="T677" s="200"/>
    </row>
    <row r="678" ht="16.5" customHeight="1">
      <c r="C678" s="61"/>
      <c r="D678" s="175"/>
      <c r="E678" s="61"/>
      <c r="F678" s="61"/>
      <c r="N678" s="175"/>
      <c r="O678" s="61"/>
      <c r="S678" s="199"/>
      <c r="T678" s="200"/>
    </row>
    <row r="679" ht="16.5" customHeight="1">
      <c r="C679" s="61"/>
      <c r="D679" s="175"/>
      <c r="E679" s="61"/>
      <c r="F679" s="61"/>
      <c r="N679" s="175"/>
      <c r="O679" s="61"/>
      <c r="S679" s="199"/>
      <c r="T679" s="200"/>
    </row>
    <row r="680" ht="16.5" customHeight="1">
      <c r="C680" s="61"/>
      <c r="D680" s="175"/>
      <c r="E680" s="61"/>
      <c r="F680" s="61"/>
      <c r="N680" s="175"/>
      <c r="O680" s="61"/>
      <c r="S680" s="199"/>
      <c r="T680" s="200"/>
    </row>
    <row r="681" ht="16.5" customHeight="1">
      <c r="C681" s="61"/>
      <c r="D681" s="175"/>
      <c r="E681" s="61"/>
      <c r="F681" s="61"/>
      <c r="N681" s="175"/>
      <c r="O681" s="61"/>
      <c r="S681" s="199"/>
      <c r="T681" s="200"/>
    </row>
    <row r="682" ht="16.5" customHeight="1">
      <c r="C682" s="61"/>
      <c r="D682" s="175"/>
      <c r="E682" s="61"/>
      <c r="F682" s="61"/>
      <c r="N682" s="175"/>
      <c r="O682" s="61"/>
      <c r="S682" s="199"/>
      <c r="T682" s="200"/>
    </row>
    <row r="683" ht="16.5" customHeight="1">
      <c r="C683" s="61"/>
      <c r="D683" s="175"/>
      <c r="E683" s="61"/>
      <c r="F683" s="61"/>
      <c r="N683" s="175"/>
      <c r="O683" s="61"/>
      <c r="S683" s="199"/>
      <c r="T683" s="200"/>
    </row>
    <row r="684" ht="16.5" customHeight="1">
      <c r="C684" s="61"/>
      <c r="D684" s="175"/>
      <c r="E684" s="61"/>
      <c r="F684" s="61"/>
      <c r="N684" s="175"/>
      <c r="O684" s="61"/>
      <c r="S684" s="199"/>
      <c r="T684" s="200"/>
    </row>
    <row r="685" ht="16.5" customHeight="1">
      <c r="C685" s="61"/>
      <c r="D685" s="175"/>
      <c r="E685" s="61"/>
      <c r="F685" s="61"/>
      <c r="N685" s="175"/>
      <c r="O685" s="61"/>
      <c r="S685" s="199"/>
      <c r="T685" s="200"/>
    </row>
    <row r="686" ht="16.5" customHeight="1">
      <c r="C686" s="61"/>
      <c r="D686" s="175"/>
      <c r="E686" s="61"/>
      <c r="F686" s="61"/>
      <c r="N686" s="175"/>
      <c r="O686" s="61"/>
      <c r="S686" s="199"/>
      <c r="T686" s="200"/>
    </row>
    <row r="687" ht="16.5" customHeight="1">
      <c r="C687" s="61"/>
      <c r="D687" s="175"/>
      <c r="E687" s="61"/>
      <c r="F687" s="61"/>
      <c r="N687" s="175"/>
      <c r="O687" s="61"/>
      <c r="S687" s="199"/>
      <c r="T687" s="200"/>
    </row>
    <row r="688" ht="16.5" customHeight="1">
      <c r="C688" s="61"/>
      <c r="D688" s="175"/>
      <c r="E688" s="61"/>
      <c r="F688" s="61"/>
      <c r="N688" s="175"/>
      <c r="O688" s="61"/>
      <c r="S688" s="199"/>
      <c r="T688" s="200"/>
    </row>
    <row r="689" ht="16.5" customHeight="1">
      <c r="C689" s="61"/>
      <c r="D689" s="175"/>
      <c r="E689" s="61"/>
      <c r="F689" s="61"/>
      <c r="N689" s="175"/>
      <c r="O689" s="61"/>
      <c r="S689" s="199"/>
      <c r="T689" s="200"/>
    </row>
    <row r="690" ht="16.5" customHeight="1">
      <c r="C690" s="61"/>
      <c r="D690" s="175"/>
      <c r="E690" s="61"/>
      <c r="F690" s="61"/>
      <c r="N690" s="175"/>
      <c r="O690" s="61"/>
      <c r="S690" s="199"/>
      <c r="T690" s="200"/>
    </row>
    <row r="691" ht="16.5" customHeight="1">
      <c r="C691" s="61"/>
      <c r="D691" s="175"/>
      <c r="E691" s="61"/>
      <c r="F691" s="61"/>
      <c r="N691" s="175"/>
      <c r="O691" s="61"/>
      <c r="S691" s="199"/>
      <c r="T691" s="200"/>
    </row>
    <row r="692" ht="16.5" customHeight="1">
      <c r="C692" s="61"/>
      <c r="D692" s="175"/>
      <c r="E692" s="61"/>
      <c r="F692" s="61"/>
      <c r="N692" s="175"/>
      <c r="O692" s="61"/>
      <c r="S692" s="199"/>
      <c r="T692" s="200"/>
    </row>
    <row r="693" ht="16.5" customHeight="1">
      <c r="C693" s="61"/>
      <c r="D693" s="175"/>
      <c r="E693" s="61"/>
      <c r="F693" s="61"/>
      <c r="N693" s="175"/>
      <c r="O693" s="61"/>
      <c r="S693" s="199"/>
      <c r="T693" s="200"/>
    </row>
    <row r="694" ht="16.5" customHeight="1">
      <c r="C694" s="61"/>
      <c r="D694" s="175"/>
      <c r="E694" s="61"/>
      <c r="F694" s="61"/>
      <c r="N694" s="175"/>
      <c r="O694" s="61"/>
      <c r="S694" s="199"/>
      <c r="T694" s="200"/>
    </row>
    <row r="695" ht="16.5" customHeight="1">
      <c r="C695" s="61"/>
      <c r="D695" s="175"/>
      <c r="E695" s="61"/>
      <c r="F695" s="61"/>
      <c r="N695" s="175"/>
      <c r="O695" s="61"/>
      <c r="S695" s="199"/>
      <c r="T695" s="200"/>
    </row>
    <row r="696" ht="16.5" customHeight="1">
      <c r="C696" s="61"/>
      <c r="D696" s="175"/>
      <c r="E696" s="61"/>
      <c r="F696" s="61"/>
      <c r="N696" s="175"/>
      <c r="O696" s="61"/>
      <c r="S696" s="199"/>
      <c r="T696" s="200"/>
    </row>
    <row r="697" ht="16.5" customHeight="1">
      <c r="C697" s="61"/>
      <c r="D697" s="175"/>
      <c r="E697" s="61"/>
      <c r="F697" s="61"/>
      <c r="N697" s="175"/>
      <c r="O697" s="61"/>
      <c r="S697" s="199"/>
      <c r="T697" s="200"/>
    </row>
    <row r="698" ht="16.5" customHeight="1">
      <c r="C698" s="61"/>
      <c r="D698" s="175"/>
      <c r="E698" s="61"/>
      <c r="F698" s="61"/>
      <c r="N698" s="175"/>
      <c r="O698" s="61"/>
      <c r="S698" s="199"/>
      <c r="T698" s="200"/>
    </row>
    <row r="699" ht="16.5" customHeight="1">
      <c r="C699" s="61"/>
      <c r="D699" s="175"/>
      <c r="E699" s="61"/>
      <c r="F699" s="61"/>
      <c r="N699" s="175"/>
      <c r="O699" s="61"/>
      <c r="S699" s="199"/>
      <c r="T699" s="200"/>
    </row>
    <row r="700" ht="16.5" customHeight="1">
      <c r="C700" s="61"/>
      <c r="D700" s="175"/>
      <c r="E700" s="61"/>
      <c r="F700" s="61"/>
      <c r="N700" s="175"/>
      <c r="O700" s="61"/>
      <c r="S700" s="199"/>
      <c r="T700" s="200"/>
    </row>
    <row r="701" ht="16.5" customHeight="1">
      <c r="C701" s="61"/>
      <c r="D701" s="175"/>
      <c r="E701" s="61"/>
      <c r="F701" s="61"/>
      <c r="N701" s="175"/>
      <c r="O701" s="61"/>
      <c r="S701" s="199"/>
      <c r="T701" s="200"/>
    </row>
    <row r="702" ht="16.5" customHeight="1">
      <c r="C702" s="61"/>
      <c r="D702" s="175"/>
      <c r="E702" s="61"/>
      <c r="F702" s="61"/>
      <c r="N702" s="175"/>
      <c r="O702" s="61"/>
      <c r="S702" s="199"/>
      <c r="T702" s="200"/>
    </row>
    <row r="703" ht="16.5" customHeight="1">
      <c r="C703" s="61"/>
      <c r="D703" s="175"/>
      <c r="E703" s="61"/>
      <c r="F703" s="61"/>
      <c r="N703" s="175"/>
      <c r="O703" s="61"/>
      <c r="S703" s="199"/>
      <c r="T703" s="200"/>
    </row>
    <row r="704" ht="16.5" customHeight="1">
      <c r="C704" s="61"/>
      <c r="D704" s="175"/>
      <c r="E704" s="61"/>
      <c r="F704" s="61"/>
      <c r="N704" s="175"/>
      <c r="O704" s="61"/>
      <c r="S704" s="199"/>
      <c r="T704" s="200"/>
    </row>
    <row r="705" ht="16.5" customHeight="1">
      <c r="C705" s="61"/>
      <c r="D705" s="175"/>
      <c r="E705" s="61"/>
      <c r="F705" s="61"/>
      <c r="N705" s="175"/>
      <c r="O705" s="61"/>
      <c r="S705" s="199"/>
      <c r="T705" s="200"/>
    </row>
    <row r="706" ht="16.5" customHeight="1">
      <c r="C706" s="61"/>
      <c r="D706" s="175"/>
      <c r="E706" s="61"/>
      <c r="F706" s="61"/>
      <c r="N706" s="175"/>
      <c r="O706" s="61"/>
      <c r="S706" s="199"/>
      <c r="T706" s="200"/>
    </row>
    <row r="707" ht="16.5" customHeight="1">
      <c r="C707" s="61"/>
      <c r="D707" s="175"/>
      <c r="E707" s="61"/>
      <c r="F707" s="61"/>
      <c r="N707" s="175"/>
      <c r="O707" s="61"/>
      <c r="S707" s="199"/>
      <c r="T707" s="200"/>
    </row>
    <row r="708" ht="16.5" customHeight="1">
      <c r="C708" s="61"/>
      <c r="D708" s="175"/>
      <c r="E708" s="61"/>
      <c r="F708" s="61"/>
      <c r="N708" s="175"/>
      <c r="O708" s="61"/>
      <c r="S708" s="199"/>
      <c r="T708" s="200"/>
    </row>
    <row r="709" ht="16.5" customHeight="1">
      <c r="C709" s="61"/>
      <c r="D709" s="175"/>
      <c r="E709" s="61"/>
      <c r="F709" s="61"/>
      <c r="N709" s="175"/>
      <c r="O709" s="61"/>
      <c r="S709" s="199"/>
      <c r="T709" s="200"/>
    </row>
    <row r="710" ht="16.5" customHeight="1">
      <c r="C710" s="61"/>
      <c r="D710" s="175"/>
      <c r="E710" s="61"/>
      <c r="F710" s="61"/>
      <c r="N710" s="175"/>
      <c r="O710" s="61"/>
      <c r="S710" s="199"/>
      <c r="T710" s="200"/>
    </row>
    <row r="711" ht="16.5" customHeight="1">
      <c r="C711" s="61"/>
      <c r="D711" s="175"/>
      <c r="E711" s="61"/>
      <c r="F711" s="61"/>
      <c r="N711" s="175"/>
      <c r="O711" s="61"/>
      <c r="S711" s="199"/>
      <c r="T711" s="200"/>
    </row>
    <row r="712" ht="16.5" customHeight="1">
      <c r="C712" s="61"/>
      <c r="D712" s="175"/>
      <c r="E712" s="61"/>
      <c r="F712" s="61"/>
      <c r="N712" s="175"/>
      <c r="O712" s="61"/>
      <c r="S712" s="199"/>
      <c r="T712" s="200"/>
    </row>
    <row r="713" ht="16.5" customHeight="1">
      <c r="C713" s="61"/>
      <c r="D713" s="175"/>
      <c r="E713" s="61"/>
      <c r="F713" s="61"/>
      <c r="N713" s="175"/>
      <c r="O713" s="61"/>
      <c r="S713" s="199"/>
      <c r="T713" s="200"/>
    </row>
    <row r="714" ht="16.5" customHeight="1">
      <c r="C714" s="61"/>
      <c r="D714" s="175"/>
      <c r="E714" s="61"/>
      <c r="F714" s="61"/>
      <c r="N714" s="175"/>
      <c r="O714" s="61"/>
      <c r="S714" s="199"/>
      <c r="T714" s="200"/>
    </row>
    <row r="715" ht="16.5" customHeight="1">
      <c r="C715" s="61"/>
      <c r="D715" s="175"/>
      <c r="E715" s="61"/>
      <c r="F715" s="61"/>
      <c r="N715" s="175"/>
      <c r="O715" s="61"/>
      <c r="S715" s="199"/>
      <c r="T715" s="200"/>
    </row>
    <row r="716" ht="16.5" customHeight="1">
      <c r="C716" s="61"/>
      <c r="D716" s="175"/>
      <c r="E716" s="61"/>
      <c r="F716" s="61"/>
      <c r="N716" s="175"/>
      <c r="O716" s="61"/>
      <c r="S716" s="199"/>
      <c r="T716" s="200"/>
    </row>
    <row r="717" ht="16.5" customHeight="1">
      <c r="C717" s="61"/>
      <c r="D717" s="175"/>
      <c r="E717" s="61"/>
      <c r="F717" s="61"/>
      <c r="N717" s="175"/>
      <c r="O717" s="61"/>
      <c r="S717" s="199"/>
      <c r="T717" s="200"/>
    </row>
    <row r="718" ht="16.5" customHeight="1">
      <c r="C718" s="61"/>
      <c r="D718" s="175"/>
      <c r="E718" s="61"/>
      <c r="F718" s="61"/>
      <c r="N718" s="175"/>
      <c r="O718" s="61"/>
      <c r="S718" s="199"/>
      <c r="T718" s="200"/>
    </row>
    <row r="719" ht="16.5" customHeight="1">
      <c r="C719" s="61"/>
      <c r="D719" s="175"/>
      <c r="E719" s="61"/>
      <c r="F719" s="61"/>
      <c r="N719" s="175"/>
      <c r="O719" s="61"/>
      <c r="S719" s="199"/>
      <c r="T719" s="200"/>
    </row>
    <row r="720" ht="16.5" customHeight="1">
      <c r="C720" s="61"/>
      <c r="D720" s="175"/>
      <c r="E720" s="61"/>
      <c r="F720" s="61"/>
      <c r="N720" s="175"/>
      <c r="O720" s="61"/>
      <c r="S720" s="199"/>
      <c r="T720" s="200"/>
    </row>
    <row r="721" ht="16.5" customHeight="1">
      <c r="C721" s="61"/>
      <c r="D721" s="175"/>
      <c r="E721" s="61"/>
      <c r="F721" s="61"/>
      <c r="N721" s="175"/>
      <c r="O721" s="61"/>
      <c r="S721" s="199"/>
      <c r="T721" s="200"/>
    </row>
    <row r="722" ht="16.5" customHeight="1">
      <c r="C722" s="61"/>
      <c r="D722" s="175"/>
      <c r="E722" s="61"/>
      <c r="F722" s="61"/>
      <c r="N722" s="175"/>
      <c r="O722" s="61"/>
      <c r="S722" s="199"/>
      <c r="T722" s="200"/>
    </row>
    <row r="723" ht="16.5" customHeight="1">
      <c r="C723" s="61"/>
      <c r="D723" s="175"/>
      <c r="E723" s="61"/>
      <c r="F723" s="61"/>
      <c r="N723" s="175"/>
      <c r="O723" s="61"/>
      <c r="S723" s="199"/>
      <c r="T723" s="200"/>
    </row>
    <row r="724" ht="16.5" customHeight="1">
      <c r="C724" s="61"/>
      <c r="D724" s="175"/>
      <c r="E724" s="61"/>
      <c r="F724" s="61"/>
      <c r="N724" s="175"/>
      <c r="O724" s="61"/>
      <c r="S724" s="199"/>
      <c r="T724" s="200"/>
    </row>
    <row r="725" ht="16.5" customHeight="1">
      <c r="C725" s="61"/>
      <c r="D725" s="175"/>
      <c r="E725" s="61"/>
      <c r="F725" s="61"/>
      <c r="N725" s="175"/>
      <c r="O725" s="61"/>
      <c r="S725" s="199"/>
      <c r="T725" s="200"/>
    </row>
    <row r="726" ht="16.5" customHeight="1">
      <c r="C726" s="61"/>
      <c r="D726" s="175"/>
      <c r="E726" s="61"/>
      <c r="F726" s="61"/>
      <c r="N726" s="175"/>
      <c r="O726" s="61"/>
      <c r="S726" s="199"/>
      <c r="T726" s="200"/>
    </row>
    <row r="727" ht="16.5" customHeight="1">
      <c r="C727" s="61"/>
      <c r="D727" s="175"/>
      <c r="E727" s="61"/>
      <c r="F727" s="61"/>
      <c r="N727" s="175"/>
      <c r="O727" s="61"/>
      <c r="S727" s="199"/>
      <c r="T727" s="200"/>
    </row>
    <row r="728" ht="16.5" customHeight="1">
      <c r="C728" s="61"/>
      <c r="D728" s="175"/>
      <c r="E728" s="61"/>
      <c r="F728" s="61"/>
      <c r="N728" s="175"/>
      <c r="O728" s="61"/>
      <c r="S728" s="199"/>
      <c r="T728" s="200"/>
    </row>
    <row r="729" ht="16.5" customHeight="1">
      <c r="C729" s="61"/>
      <c r="D729" s="175"/>
      <c r="E729" s="61"/>
      <c r="F729" s="61"/>
      <c r="N729" s="175"/>
      <c r="O729" s="61"/>
      <c r="S729" s="199"/>
      <c r="T729" s="200"/>
    </row>
    <row r="730" ht="16.5" customHeight="1">
      <c r="C730" s="61"/>
      <c r="D730" s="175"/>
      <c r="E730" s="61"/>
      <c r="F730" s="61"/>
      <c r="N730" s="175"/>
      <c r="O730" s="61"/>
      <c r="S730" s="199"/>
      <c r="T730" s="200"/>
    </row>
    <row r="731" ht="16.5" customHeight="1">
      <c r="C731" s="61"/>
      <c r="D731" s="175"/>
      <c r="E731" s="61"/>
      <c r="F731" s="61"/>
      <c r="N731" s="175"/>
      <c r="O731" s="61"/>
      <c r="S731" s="199"/>
      <c r="T731" s="200"/>
    </row>
    <row r="732" ht="16.5" customHeight="1">
      <c r="C732" s="61"/>
      <c r="D732" s="175"/>
      <c r="E732" s="61"/>
      <c r="F732" s="61"/>
      <c r="N732" s="175"/>
      <c r="O732" s="61"/>
      <c r="S732" s="199"/>
      <c r="T732" s="200"/>
    </row>
    <row r="733" ht="16.5" customHeight="1">
      <c r="C733" s="61"/>
      <c r="D733" s="175"/>
      <c r="E733" s="61"/>
      <c r="F733" s="61"/>
      <c r="N733" s="175"/>
      <c r="O733" s="61"/>
      <c r="S733" s="199"/>
      <c r="T733" s="200"/>
    </row>
    <row r="734" ht="16.5" customHeight="1">
      <c r="C734" s="61"/>
      <c r="D734" s="175"/>
      <c r="E734" s="61"/>
      <c r="F734" s="61"/>
      <c r="N734" s="175"/>
      <c r="O734" s="61"/>
      <c r="S734" s="199"/>
      <c r="T734" s="200"/>
    </row>
    <row r="735" ht="16.5" customHeight="1">
      <c r="C735" s="61"/>
      <c r="D735" s="175"/>
      <c r="E735" s="61"/>
      <c r="F735" s="61"/>
      <c r="N735" s="175"/>
      <c r="O735" s="61"/>
      <c r="S735" s="199"/>
      <c r="T735" s="200"/>
    </row>
    <row r="736" ht="16.5" customHeight="1">
      <c r="C736" s="61"/>
      <c r="D736" s="175"/>
      <c r="E736" s="61"/>
      <c r="F736" s="61"/>
      <c r="N736" s="175"/>
      <c r="O736" s="61"/>
      <c r="S736" s="199"/>
      <c r="T736" s="200"/>
    </row>
    <row r="737" ht="16.5" customHeight="1">
      <c r="C737" s="61"/>
      <c r="D737" s="175"/>
      <c r="E737" s="61"/>
      <c r="F737" s="61"/>
      <c r="N737" s="175"/>
      <c r="O737" s="61"/>
      <c r="S737" s="199"/>
      <c r="T737" s="200"/>
    </row>
    <row r="738" ht="16.5" customHeight="1">
      <c r="C738" s="61"/>
      <c r="D738" s="175"/>
      <c r="E738" s="61"/>
      <c r="F738" s="61"/>
      <c r="N738" s="175"/>
      <c r="O738" s="61"/>
      <c r="S738" s="199"/>
      <c r="T738" s="200"/>
    </row>
    <row r="739" ht="16.5" customHeight="1">
      <c r="C739" s="61"/>
      <c r="D739" s="175"/>
      <c r="E739" s="61"/>
      <c r="F739" s="61"/>
      <c r="N739" s="175"/>
      <c r="O739" s="61"/>
      <c r="S739" s="199"/>
      <c r="T739" s="200"/>
    </row>
    <row r="740" ht="16.5" customHeight="1">
      <c r="C740" s="61"/>
      <c r="D740" s="175"/>
      <c r="E740" s="61"/>
      <c r="F740" s="61"/>
      <c r="N740" s="175"/>
      <c r="O740" s="61"/>
      <c r="S740" s="199"/>
      <c r="T740" s="200"/>
    </row>
    <row r="741" ht="16.5" customHeight="1">
      <c r="C741" s="61"/>
      <c r="D741" s="175"/>
      <c r="E741" s="61"/>
      <c r="F741" s="61"/>
      <c r="N741" s="175"/>
      <c r="O741" s="61"/>
      <c r="S741" s="199"/>
      <c r="T741" s="200"/>
    </row>
    <row r="742" ht="16.5" customHeight="1">
      <c r="C742" s="61"/>
      <c r="D742" s="175"/>
      <c r="E742" s="61"/>
      <c r="F742" s="61"/>
      <c r="N742" s="175"/>
      <c r="O742" s="61"/>
      <c r="S742" s="199"/>
      <c r="T742" s="200"/>
    </row>
    <row r="743" ht="16.5" customHeight="1">
      <c r="C743" s="61"/>
      <c r="D743" s="175"/>
      <c r="E743" s="61"/>
      <c r="F743" s="61"/>
      <c r="N743" s="175"/>
      <c r="O743" s="61"/>
      <c r="S743" s="199"/>
      <c r="T743" s="200"/>
    </row>
    <row r="744" ht="16.5" customHeight="1">
      <c r="C744" s="61"/>
      <c r="D744" s="175"/>
      <c r="E744" s="61"/>
      <c r="F744" s="61"/>
      <c r="N744" s="175"/>
      <c r="O744" s="61"/>
      <c r="S744" s="199"/>
      <c r="T744" s="200"/>
    </row>
    <row r="745" ht="16.5" customHeight="1">
      <c r="C745" s="61"/>
      <c r="D745" s="175"/>
      <c r="E745" s="61"/>
      <c r="F745" s="61"/>
      <c r="N745" s="175"/>
      <c r="O745" s="61"/>
      <c r="S745" s="199"/>
      <c r="T745" s="200"/>
    </row>
    <row r="746" ht="16.5" customHeight="1">
      <c r="C746" s="61"/>
      <c r="D746" s="175"/>
      <c r="E746" s="61"/>
      <c r="F746" s="61"/>
      <c r="N746" s="175"/>
      <c r="O746" s="61"/>
      <c r="S746" s="199"/>
      <c r="T746" s="200"/>
    </row>
    <row r="747" ht="16.5" customHeight="1">
      <c r="C747" s="61"/>
      <c r="D747" s="175"/>
      <c r="E747" s="61"/>
      <c r="F747" s="61"/>
      <c r="N747" s="175"/>
      <c r="O747" s="61"/>
      <c r="S747" s="199"/>
      <c r="T747" s="200"/>
    </row>
    <row r="748" ht="16.5" customHeight="1">
      <c r="C748" s="61"/>
      <c r="D748" s="175"/>
      <c r="E748" s="61"/>
      <c r="F748" s="61"/>
      <c r="N748" s="175"/>
      <c r="O748" s="61"/>
      <c r="S748" s="199"/>
      <c r="T748" s="200"/>
    </row>
    <row r="749" ht="16.5" customHeight="1">
      <c r="C749" s="61"/>
      <c r="D749" s="175"/>
      <c r="E749" s="61"/>
      <c r="F749" s="61"/>
      <c r="N749" s="175"/>
      <c r="O749" s="61"/>
      <c r="S749" s="199"/>
      <c r="T749" s="200"/>
    </row>
    <row r="750" ht="16.5" customHeight="1">
      <c r="C750" s="61"/>
      <c r="D750" s="175"/>
      <c r="E750" s="61"/>
      <c r="F750" s="61"/>
      <c r="N750" s="175"/>
      <c r="O750" s="61"/>
      <c r="S750" s="199"/>
      <c r="T750" s="200"/>
    </row>
    <row r="751" ht="16.5" customHeight="1">
      <c r="C751" s="61"/>
      <c r="D751" s="175"/>
      <c r="E751" s="61"/>
      <c r="F751" s="61"/>
      <c r="N751" s="175"/>
      <c r="O751" s="61"/>
      <c r="S751" s="199"/>
      <c r="T751" s="200"/>
    </row>
    <row r="752" ht="16.5" customHeight="1">
      <c r="C752" s="61"/>
      <c r="D752" s="175"/>
      <c r="E752" s="61"/>
      <c r="F752" s="61"/>
      <c r="N752" s="175"/>
      <c r="O752" s="61"/>
      <c r="S752" s="199"/>
      <c r="T752" s="200"/>
    </row>
    <row r="753" ht="16.5" customHeight="1">
      <c r="C753" s="61"/>
      <c r="D753" s="175"/>
      <c r="E753" s="61"/>
      <c r="F753" s="61"/>
      <c r="N753" s="175"/>
      <c r="O753" s="61"/>
      <c r="S753" s="199"/>
      <c r="T753" s="200"/>
    </row>
    <row r="754" ht="16.5" customHeight="1">
      <c r="C754" s="61"/>
      <c r="D754" s="175"/>
      <c r="E754" s="61"/>
      <c r="F754" s="61"/>
      <c r="N754" s="175"/>
      <c r="O754" s="61"/>
      <c r="S754" s="199"/>
      <c r="T754" s="200"/>
    </row>
    <row r="755" ht="16.5" customHeight="1">
      <c r="C755" s="61"/>
      <c r="D755" s="175"/>
      <c r="E755" s="61"/>
      <c r="F755" s="61"/>
      <c r="N755" s="175"/>
      <c r="O755" s="61"/>
      <c r="S755" s="199"/>
      <c r="T755" s="200"/>
    </row>
    <row r="756" ht="16.5" customHeight="1">
      <c r="C756" s="61"/>
      <c r="D756" s="175"/>
      <c r="E756" s="61"/>
      <c r="F756" s="61"/>
      <c r="N756" s="175"/>
      <c r="O756" s="61"/>
      <c r="S756" s="199"/>
      <c r="T756" s="200"/>
    </row>
    <row r="757" ht="16.5" customHeight="1">
      <c r="C757" s="61"/>
      <c r="D757" s="175"/>
      <c r="E757" s="61"/>
      <c r="F757" s="61"/>
      <c r="N757" s="175"/>
      <c r="O757" s="61"/>
      <c r="S757" s="199"/>
      <c r="T757" s="200"/>
    </row>
    <row r="758" ht="16.5" customHeight="1">
      <c r="C758" s="61"/>
      <c r="D758" s="175"/>
      <c r="E758" s="61"/>
      <c r="F758" s="61"/>
      <c r="N758" s="175"/>
      <c r="O758" s="61"/>
      <c r="S758" s="199"/>
      <c r="T758" s="200"/>
    </row>
    <row r="759" ht="16.5" customHeight="1">
      <c r="C759" s="61"/>
      <c r="D759" s="175"/>
      <c r="E759" s="61"/>
      <c r="F759" s="61"/>
      <c r="N759" s="175"/>
      <c r="O759" s="61"/>
      <c r="S759" s="199"/>
      <c r="T759" s="200"/>
    </row>
    <row r="760" ht="16.5" customHeight="1">
      <c r="C760" s="61"/>
      <c r="D760" s="175"/>
      <c r="E760" s="61"/>
      <c r="F760" s="61"/>
      <c r="N760" s="175"/>
      <c r="O760" s="61"/>
      <c r="S760" s="199"/>
      <c r="T760" s="200"/>
    </row>
    <row r="761" ht="16.5" customHeight="1">
      <c r="C761" s="61"/>
      <c r="D761" s="175"/>
      <c r="E761" s="61"/>
      <c r="F761" s="61"/>
      <c r="N761" s="175"/>
      <c r="O761" s="61"/>
      <c r="S761" s="199"/>
      <c r="T761" s="200"/>
    </row>
    <row r="762" ht="16.5" customHeight="1">
      <c r="C762" s="61"/>
      <c r="D762" s="175"/>
      <c r="E762" s="61"/>
      <c r="F762" s="61"/>
      <c r="N762" s="175"/>
      <c r="O762" s="61"/>
      <c r="S762" s="199"/>
      <c r="T762" s="200"/>
    </row>
    <row r="763" ht="16.5" customHeight="1">
      <c r="C763" s="61"/>
      <c r="D763" s="175"/>
      <c r="E763" s="61"/>
      <c r="F763" s="61"/>
      <c r="N763" s="175"/>
      <c r="O763" s="61"/>
      <c r="S763" s="199"/>
      <c r="T763" s="200"/>
    </row>
    <row r="764" ht="16.5" customHeight="1">
      <c r="C764" s="61"/>
      <c r="D764" s="175"/>
      <c r="E764" s="61"/>
      <c r="F764" s="61"/>
      <c r="N764" s="175"/>
      <c r="O764" s="61"/>
      <c r="S764" s="199"/>
      <c r="T764" s="200"/>
    </row>
    <row r="765" ht="16.5" customHeight="1">
      <c r="C765" s="61"/>
      <c r="D765" s="175"/>
      <c r="E765" s="61"/>
      <c r="F765" s="61"/>
      <c r="N765" s="175"/>
      <c r="O765" s="61"/>
      <c r="S765" s="199"/>
      <c r="T765" s="200"/>
    </row>
    <row r="766" ht="16.5" customHeight="1">
      <c r="C766" s="61"/>
      <c r="D766" s="175"/>
      <c r="E766" s="61"/>
      <c r="F766" s="61"/>
      <c r="N766" s="175"/>
      <c r="O766" s="61"/>
      <c r="S766" s="199"/>
      <c r="T766" s="200"/>
    </row>
    <row r="767" ht="16.5" customHeight="1">
      <c r="C767" s="61"/>
      <c r="D767" s="175"/>
      <c r="E767" s="61"/>
      <c r="F767" s="61"/>
      <c r="N767" s="175"/>
      <c r="O767" s="61"/>
      <c r="S767" s="199"/>
      <c r="T767" s="200"/>
    </row>
    <row r="768" ht="16.5" customHeight="1">
      <c r="C768" s="61"/>
      <c r="D768" s="175"/>
      <c r="E768" s="61"/>
      <c r="F768" s="61"/>
      <c r="N768" s="175"/>
      <c r="O768" s="61"/>
      <c r="S768" s="199"/>
      <c r="T768" s="200"/>
    </row>
    <row r="769" ht="16.5" customHeight="1">
      <c r="C769" s="61"/>
      <c r="D769" s="175"/>
      <c r="E769" s="61"/>
      <c r="F769" s="61"/>
      <c r="N769" s="175"/>
      <c r="O769" s="61"/>
      <c r="S769" s="199"/>
      <c r="T769" s="200"/>
    </row>
    <row r="770" ht="16.5" customHeight="1">
      <c r="C770" s="61"/>
      <c r="D770" s="175"/>
      <c r="E770" s="61"/>
      <c r="F770" s="61"/>
      <c r="N770" s="175"/>
      <c r="O770" s="61"/>
      <c r="S770" s="199"/>
      <c r="T770" s="200"/>
    </row>
    <row r="771" ht="16.5" customHeight="1">
      <c r="C771" s="61"/>
      <c r="D771" s="175"/>
      <c r="E771" s="61"/>
      <c r="F771" s="61"/>
      <c r="N771" s="175"/>
      <c r="O771" s="61"/>
      <c r="S771" s="199"/>
      <c r="T771" s="200"/>
    </row>
    <row r="772" ht="16.5" customHeight="1">
      <c r="C772" s="61"/>
      <c r="D772" s="175"/>
      <c r="E772" s="61"/>
      <c r="F772" s="61"/>
      <c r="N772" s="175"/>
      <c r="O772" s="61"/>
      <c r="S772" s="199"/>
      <c r="T772" s="200"/>
    </row>
    <row r="773" ht="16.5" customHeight="1">
      <c r="C773" s="61"/>
      <c r="D773" s="175"/>
      <c r="E773" s="61"/>
      <c r="F773" s="61"/>
      <c r="N773" s="175"/>
      <c r="O773" s="61"/>
      <c r="S773" s="199"/>
      <c r="T773" s="200"/>
    </row>
    <row r="774" ht="16.5" customHeight="1">
      <c r="C774" s="61"/>
      <c r="D774" s="175"/>
      <c r="E774" s="61"/>
      <c r="F774" s="61"/>
      <c r="N774" s="175"/>
      <c r="O774" s="61"/>
      <c r="S774" s="199"/>
      <c r="T774" s="200"/>
    </row>
    <row r="775" ht="16.5" customHeight="1">
      <c r="C775" s="61"/>
      <c r="D775" s="175"/>
      <c r="E775" s="61"/>
      <c r="F775" s="61"/>
      <c r="N775" s="175"/>
      <c r="O775" s="61"/>
      <c r="S775" s="199"/>
      <c r="T775" s="200"/>
    </row>
    <row r="776" ht="16.5" customHeight="1">
      <c r="C776" s="61"/>
      <c r="D776" s="175"/>
      <c r="E776" s="61"/>
      <c r="F776" s="61"/>
      <c r="N776" s="175"/>
      <c r="O776" s="61"/>
      <c r="S776" s="199"/>
      <c r="T776" s="200"/>
    </row>
    <row r="777" ht="16.5" customHeight="1">
      <c r="C777" s="61"/>
      <c r="D777" s="175"/>
      <c r="E777" s="61"/>
      <c r="F777" s="61"/>
      <c r="N777" s="175"/>
      <c r="O777" s="61"/>
      <c r="S777" s="199"/>
      <c r="T777" s="200"/>
    </row>
    <row r="778" ht="16.5" customHeight="1">
      <c r="C778" s="61"/>
      <c r="D778" s="175"/>
      <c r="E778" s="61"/>
      <c r="F778" s="61"/>
      <c r="N778" s="175"/>
      <c r="O778" s="61"/>
      <c r="S778" s="199"/>
      <c r="T778" s="200"/>
    </row>
    <row r="779" ht="16.5" customHeight="1">
      <c r="C779" s="61"/>
      <c r="D779" s="175"/>
      <c r="E779" s="61"/>
      <c r="F779" s="61"/>
      <c r="N779" s="175"/>
      <c r="O779" s="61"/>
      <c r="S779" s="199"/>
      <c r="T779" s="200"/>
    </row>
    <row r="780" ht="16.5" customHeight="1">
      <c r="C780" s="61"/>
      <c r="D780" s="175"/>
      <c r="E780" s="61"/>
      <c r="F780" s="61"/>
      <c r="N780" s="175"/>
      <c r="O780" s="61"/>
      <c r="S780" s="199"/>
      <c r="T780" s="200"/>
    </row>
    <row r="781" ht="16.5" customHeight="1">
      <c r="C781" s="61"/>
      <c r="D781" s="175"/>
      <c r="E781" s="61"/>
      <c r="F781" s="61"/>
      <c r="N781" s="175"/>
      <c r="O781" s="61"/>
      <c r="S781" s="199"/>
      <c r="T781" s="200"/>
    </row>
    <row r="782" ht="16.5" customHeight="1">
      <c r="C782" s="61"/>
      <c r="D782" s="175"/>
      <c r="E782" s="61"/>
      <c r="F782" s="61"/>
      <c r="N782" s="175"/>
      <c r="O782" s="61"/>
      <c r="S782" s="199"/>
      <c r="T782" s="200"/>
    </row>
    <row r="783" ht="16.5" customHeight="1">
      <c r="C783" s="61"/>
      <c r="D783" s="175"/>
      <c r="E783" s="61"/>
      <c r="F783" s="61"/>
      <c r="N783" s="175"/>
      <c r="O783" s="61"/>
      <c r="S783" s="199"/>
      <c r="T783" s="200"/>
    </row>
    <row r="784" ht="16.5" customHeight="1">
      <c r="C784" s="61"/>
      <c r="D784" s="175"/>
      <c r="E784" s="61"/>
      <c r="F784" s="61"/>
      <c r="N784" s="175"/>
      <c r="O784" s="61"/>
      <c r="S784" s="199"/>
      <c r="T784" s="200"/>
    </row>
    <row r="785" ht="16.5" customHeight="1">
      <c r="C785" s="61"/>
      <c r="D785" s="175"/>
      <c r="E785" s="61"/>
      <c r="F785" s="61"/>
      <c r="N785" s="175"/>
      <c r="O785" s="61"/>
      <c r="S785" s="199"/>
      <c r="T785" s="200"/>
    </row>
    <row r="786" ht="16.5" customHeight="1">
      <c r="C786" s="61"/>
      <c r="D786" s="175"/>
      <c r="E786" s="61"/>
      <c r="F786" s="61"/>
      <c r="N786" s="175"/>
      <c r="O786" s="61"/>
      <c r="S786" s="199"/>
      <c r="T786" s="200"/>
    </row>
    <row r="787" ht="16.5" customHeight="1">
      <c r="C787" s="61"/>
      <c r="D787" s="175"/>
      <c r="E787" s="61"/>
      <c r="F787" s="61"/>
      <c r="N787" s="175"/>
      <c r="O787" s="61"/>
      <c r="S787" s="199"/>
      <c r="T787" s="200"/>
    </row>
    <row r="788" ht="16.5" customHeight="1">
      <c r="C788" s="61"/>
      <c r="D788" s="175"/>
      <c r="E788" s="61"/>
      <c r="F788" s="61"/>
      <c r="N788" s="175"/>
      <c r="O788" s="61"/>
      <c r="S788" s="199"/>
      <c r="T788" s="200"/>
    </row>
    <row r="789" ht="16.5" customHeight="1">
      <c r="C789" s="61"/>
      <c r="D789" s="175"/>
      <c r="E789" s="61"/>
      <c r="F789" s="61"/>
      <c r="N789" s="175"/>
      <c r="O789" s="61"/>
      <c r="S789" s="199"/>
      <c r="T789" s="200"/>
    </row>
    <row r="790" ht="16.5" customHeight="1">
      <c r="C790" s="61"/>
      <c r="D790" s="175"/>
      <c r="E790" s="61"/>
      <c r="F790" s="61"/>
      <c r="N790" s="175"/>
      <c r="O790" s="61"/>
      <c r="S790" s="199"/>
      <c r="T790" s="200"/>
    </row>
    <row r="791" ht="16.5" customHeight="1">
      <c r="C791" s="61"/>
      <c r="D791" s="175"/>
      <c r="E791" s="61"/>
      <c r="F791" s="61"/>
      <c r="N791" s="175"/>
      <c r="O791" s="61"/>
      <c r="S791" s="199"/>
      <c r="T791" s="200"/>
    </row>
    <row r="792" ht="16.5" customHeight="1">
      <c r="C792" s="61"/>
      <c r="D792" s="175"/>
      <c r="E792" s="61"/>
      <c r="F792" s="61"/>
      <c r="N792" s="175"/>
      <c r="O792" s="61"/>
      <c r="S792" s="199"/>
      <c r="T792" s="200"/>
    </row>
    <row r="793" ht="16.5" customHeight="1">
      <c r="C793" s="61"/>
      <c r="D793" s="175"/>
      <c r="E793" s="61"/>
      <c r="F793" s="61"/>
      <c r="N793" s="175"/>
      <c r="O793" s="61"/>
      <c r="S793" s="199"/>
      <c r="T793" s="200"/>
    </row>
    <row r="794" ht="16.5" customHeight="1">
      <c r="C794" s="61"/>
      <c r="D794" s="175"/>
      <c r="E794" s="61"/>
      <c r="F794" s="61"/>
      <c r="N794" s="175"/>
      <c r="O794" s="61"/>
      <c r="S794" s="199"/>
      <c r="T794" s="200"/>
    </row>
    <row r="795" ht="16.5" customHeight="1">
      <c r="C795" s="61"/>
      <c r="D795" s="175"/>
      <c r="E795" s="61"/>
      <c r="F795" s="61"/>
      <c r="N795" s="175"/>
      <c r="O795" s="61"/>
      <c r="S795" s="199"/>
      <c r="T795" s="200"/>
    </row>
    <row r="796" ht="16.5" customHeight="1">
      <c r="C796" s="61"/>
      <c r="D796" s="175"/>
      <c r="E796" s="61"/>
      <c r="F796" s="61"/>
      <c r="N796" s="175"/>
      <c r="O796" s="61"/>
      <c r="S796" s="199"/>
      <c r="T796" s="200"/>
    </row>
    <row r="797" ht="16.5" customHeight="1">
      <c r="C797" s="61"/>
      <c r="D797" s="175"/>
      <c r="E797" s="61"/>
      <c r="F797" s="61"/>
      <c r="N797" s="175"/>
      <c r="O797" s="61"/>
      <c r="S797" s="199"/>
      <c r="T797" s="200"/>
    </row>
    <row r="798" ht="16.5" customHeight="1">
      <c r="C798" s="61"/>
      <c r="D798" s="175"/>
      <c r="E798" s="61"/>
      <c r="F798" s="61"/>
      <c r="N798" s="175"/>
      <c r="O798" s="61"/>
      <c r="S798" s="199"/>
      <c r="T798" s="200"/>
    </row>
    <row r="799" ht="16.5" customHeight="1">
      <c r="C799" s="61"/>
      <c r="D799" s="175"/>
      <c r="E799" s="61"/>
      <c r="F799" s="61"/>
      <c r="N799" s="175"/>
      <c r="O799" s="61"/>
      <c r="S799" s="199"/>
      <c r="T799" s="200"/>
    </row>
    <row r="800" ht="16.5" customHeight="1">
      <c r="C800" s="61"/>
      <c r="D800" s="175"/>
      <c r="E800" s="61"/>
      <c r="F800" s="61"/>
      <c r="N800" s="175"/>
      <c r="O800" s="61"/>
      <c r="S800" s="199"/>
      <c r="T800" s="200"/>
    </row>
    <row r="801" ht="16.5" customHeight="1">
      <c r="C801" s="61"/>
      <c r="D801" s="175"/>
      <c r="E801" s="61"/>
      <c r="F801" s="61"/>
      <c r="N801" s="175"/>
      <c r="O801" s="61"/>
      <c r="S801" s="199"/>
      <c r="T801" s="200"/>
    </row>
    <row r="802" ht="16.5" customHeight="1">
      <c r="C802" s="61"/>
      <c r="D802" s="175"/>
      <c r="E802" s="61"/>
      <c r="F802" s="61"/>
      <c r="N802" s="175"/>
      <c r="O802" s="61"/>
      <c r="S802" s="199"/>
      <c r="T802" s="200"/>
    </row>
    <row r="803" ht="16.5" customHeight="1">
      <c r="C803" s="61"/>
      <c r="D803" s="175"/>
      <c r="E803" s="61"/>
      <c r="F803" s="61"/>
      <c r="N803" s="175"/>
      <c r="O803" s="61"/>
      <c r="S803" s="199"/>
      <c r="T803" s="200"/>
    </row>
    <row r="804" ht="16.5" customHeight="1">
      <c r="C804" s="61"/>
      <c r="D804" s="175"/>
      <c r="E804" s="61"/>
      <c r="F804" s="61"/>
      <c r="N804" s="175"/>
      <c r="O804" s="61"/>
      <c r="S804" s="199"/>
      <c r="T804" s="200"/>
    </row>
    <row r="805" ht="16.5" customHeight="1">
      <c r="C805" s="61"/>
      <c r="D805" s="175"/>
      <c r="E805" s="61"/>
      <c r="F805" s="61"/>
      <c r="N805" s="175"/>
      <c r="O805" s="61"/>
      <c r="S805" s="199"/>
      <c r="T805" s="200"/>
    </row>
    <row r="806" ht="16.5" customHeight="1">
      <c r="C806" s="61"/>
      <c r="D806" s="175"/>
      <c r="E806" s="61"/>
      <c r="F806" s="61"/>
      <c r="N806" s="175"/>
      <c r="O806" s="61"/>
      <c r="S806" s="199"/>
      <c r="T806" s="200"/>
    </row>
    <row r="807" ht="16.5" customHeight="1">
      <c r="C807" s="61"/>
      <c r="D807" s="175"/>
      <c r="E807" s="61"/>
      <c r="F807" s="61"/>
      <c r="N807" s="175"/>
      <c r="O807" s="61"/>
      <c r="S807" s="199"/>
      <c r="T807" s="200"/>
    </row>
    <row r="808" ht="16.5" customHeight="1">
      <c r="C808" s="61"/>
      <c r="D808" s="175"/>
      <c r="E808" s="61"/>
      <c r="F808" s="61"/>
      <c r="N808" s="175"/>
      <c r="O808" s="61"/>
      <c r="S808" s="199"/>
      <c r="T808" s="200"/>
    </row>
    <row r="809" ht="16.5" customHeight="1">
      <c r="C809" s="61"/>
      <c r="D809" s="175"/>
      <c r="E809" s="61"/>
      <c r="F809" s="61"/>
      <c r="N809" s="175"/>
      <c r="O809" s="61"/>
      <c r="S809" s="199"/>
      <c r="T809" s="200"/>
    </row>
    <row r="810" ht="16.5" customHeight="1">
      <c r="C810" s="61"/>
      <c r="D810" s="175"/>
      <c r="E810" s="61"/>
      <c r="F810" s="61"/>
      <c r="N810" s="175"/>
      <c r="O810" s="61"/>
      <c r="S810" s="199"/>
      <c r="T810" s="200"/>
    </row>
    <row r="811" ht="16.5" customHeight="1">
      <c r="C811" s="61"/>
      <c r="D811" s="175"/>
      <c r="E811" s="61"/>
      <c r="F811" s="61"/>
      <c r="N811" s="175"/>
      <c r="O811" s="61"/>
      <c r="S811" s="199"/>
      <c r="T811" s="200"/>
    </row>
    <row r="812" ht="16.5" customHeight="1">
      <c r="C812" s="61"/>
      <c r="D812" s="175"/>
      <c r="E812" s="61"/>
      <c r="F812" s="61"/>
      <c r="N812" s="175"/>
      <c r="O812" s="61"/>
      <c r="S812" s="199"/>
      <c r="T812" s="200"/>
    </row>
    <row r="813" ht="16.5" customHeight="1">
      <c r="C813" s="61"/>
      <c r="D813" s="175"/>
      <c r="E813" s="61"/>
      <c r="F813" s="61"/>
      <c r="N813" s="175"/>
      <c r="O813" s="61"/>
      <c r="S813" s="199"/>
      <c r="T813" s="200"/>
    </row>
    <row r="814" ht="16.5" customHeight="1">
      <c r="C814" s="61"/>
      <c r="D814" s="175"/>
      <c r="E814" s="61"/>
      <c r="F814" s="61"/>
      <c r="N814" s="175"/>
      <c r="O814" s="61"/>
      <c r="S814" s="199"/>
      <c r="T814" s="200"/>
    </row>
    <row r="815" ht="16.5" customHeight="1">
      <c r="C815" s="61"/>
      <c r="D815" s="175"/>
      <c r="E815" s="61"/>
      <c r="F815" s="61"/>
      <c r="N815" s="175"/>
      <c r="O815" s="61"/>
      <c r="S815" s="199"/>
      <c r="T815" s="200"/>
    </row>
    <row r="816" ht="16.5" customHeight="1">
      <c r="C816" s="61"/>
      <c r="D816" s="175"/>
      <c r="E816" s="61"/>
      <c r="F816" s="61"/>
      <c r="N816" s="175"/>
      <c r="O816" s="61"/>
      <c r="S816" s="199"/>
      <c r="T816" s="200"/>
    </row>
    <row r="817" ht="16.5" customHeight="1">
      <c r="C817" s="61"/>
      <c r="D817" s="175"/>
      <c r="E817" s="61"/>
      <c r="F817" s="61"/>
      <c r="N817" s="175"/>
      <c r="O817" s="61"/>
      <c r="S817" s="199"/>
      <c r="T817" s="200"/>
    </row>
    <row r="818" ht="16.5" customHeight="1">
      <c r="C818" s="61"/>
      <c r="D818" s="175"/>
      <c r="E818" s="61"/>
      <c r="F818" s="61"/>
      <c r="N818" s="175"/>
      <c r="O818" s="61"/>
      <c r="S818" s="199"/>
      <c r="T818" s="200"/>
    </row>
    <row r="819" ht="16.5" customHeight="1">
      <c r="C819" s="61"/>
      <c r="D819" s="175"/>
      <c r="E819" s="61"/>
      <c r="F819" s="61"/>
      <c r="N819" s="175"/>
      <c r="O819" s="61"/>
      <c r="S819" s="199"/>
      <c r="T819" s="200"/>
    </row>
    <row r="820" ht="16.5" customHeight="1">
      <c r="C820" s="61"/>
      <c r="D820" s="175"/>
      <c r="E820" s="61"/>
      <c r="F820" s="61"/>
      <c r="N820" s="175"/>
      <c r="O820" s="61"/>
      <c r="S820" s="199"/>
      <c r="T820" s="200"/>
    </row>
    <row r="821" ht="16.5" customHeight="1">
      <c r="C821" s="61"/>
      <c r="D821" s="175"/>
      <c r="E821" s="61"/>
      <c r="F821" s="61"/>
      <c r="N821" s="175"/>
      <c r="O821" s="61"/>
      <c r="S821" s="199"/>
      <c r="T821" s="200"/>
    </row>
    <row r="822" ht="16.5" customHeight="1">
      <c r="C822" s="61"/>
      <c r="D822" s="175"/>
      <c r="E822" s="61"/>
      <c r="F822" s="61"/>
      <c r="N822" s="175"/>
      <c r="O822" s="61"/>
      <c r="S822" s="199"/>
      <c r="T822" s="200"/>
    </row>
    <row r="823" ht="16.5" customHeight="1">
      <c r="C823" s="61"/>
      <c r="D823" s="175"/>
      <c r="E823" s="61"/>
      <c r="F823" s="61"/>
      <c r="N823" s="175"/>
      <c r="O823" s="61"/>
      <c r="S823" s="199"/>
      <c r="T823" s="200"/>
    </row>
    <row r="824" ht="16.5" customHeight="1">
      <c r="C824" s="61"/>
      <c r="D824" s="175"/>
      <c r="E824" s="61"/>
      <c r="F824" s="61"/>
      <c r="N824" s="175"/>
      <c r="O824" s="61"/>
      <c r="S824" s="199"/>
      <c r="T824" s="200"/>
    </row>
    <row r="825" ht="16.5" customHeight="1">
      <c r="C825" s="61"/>
      <c r="D825" s="175"/>
      <c r="E825" s="61"/>
      <c r="F825" s="61"/>
      <c r="N825" s="175"/>
      <c r="O825" s="61"/>
      <c r="S825" s="199"/>
      <c r="T825" s="200"/>
    </row>
    <row r="826" ht="16.5" customHeight="1">
      <c r="C826" s="61"/>
      <c r="D826" s="175"/>
      <c r="E826" s="61"/>
      <c r="F826" s="61"/>
      <c r="N826" s="175"/>
      <c r="O826" s="61"/>
      <c r="S826" s="199"/>
      <c r="T826" s="200"/>
    </row>
    <row r="827" ht="16.5" customHeight="1">
      <c r="C827" s="61"/>
      <c r="D827" s="175"/>
      <c r="E827" s="61"/>
      <c r="F827" s="61"/>
      <c r="N827" s="175"/>
      <c r="O827" s="61"/>
      <c r="S827" s="199"/>
      <c r="T827" s="200"/>
    </row>
    <row r="828" ht="16.5" customHeight="1">
      <c r="C828" s="61"/>
      <c r="D828" s="175"/>
      <c r="E828" s="61"/>
      <c r="F828" s="61"/>
      <c r="N828" s="175"/>
      <c r="O828" s="61"/>
      <c r="S828" s="199"/>
      <c r="T828" s="200"/>
    </row>
    <row r="829" ht="16.5" customHeight="1">
      <c r="C829" s="61"/>
      <c r="D829" s="175"/>
      <c r="E829" s="61"/>
      <c r="F829" s="61"/>
      <c r="N829" s="175"/>
      <c r="O829" s="61"/>
      <c r="S829" s="199"/>
      <c r="T829" s="200"/>
    </row>
    <row r="830" ht="16.5" customHeight="1">
      <c r="C830" s="61"/>
      <c r="D830" s="175"/>
      <c r="E830" s="61"/>
      <c r="F830" s="61"/>
      <c r="N830" s="175"/>
      <c r="O830" s="61"/>
      <c r="S830" s="199"/>
      <c r="T830" s="200"/>
    </row>
    <row r="831" ht="16.5" customHeight="1">
      <c r="C831" s="61"/>
      <c r="D831" s="175"/>
      <c r="E831" s="61"/>
      <c r="F831" s="61"/>
      <c r="N831" s="175"/>
      <c r="O831" s="61"/>
      <c r="S831" s="199"/>
      <c r="T831" s="200"/>
    </row>
    <row r="832" ht="16.5" customHeight="1">
      <c r="C832" s="61"/>
      <c r="D832" s="175"/>
      <c r="E832" s="61"/>
      <c r="F832" s="61"/>
      <c r="N832" s="175"/>
      <c r="O832" s="61"/>
      <c r="S832" s="199"/>
      <c r="T832" s="200"/>
    </row>
    <row r="833" ht="16.5" customHeight="1">
      <c r="C833" s="61"/>
      <c r="D833" s="175"/>
      <c r="E833" s="61"/>
      <c r="F833" s="61"/>
      <c r="N833" s="175"/>
      <c r="O833" s="61"/>
      <c r="S833" s="199"/>
      <c r="T833" s="200"/>
    </row>
    <row r="834" ht="16.5" customHeight="1">
      <c r="C834" s="61"/>
      <c r="D834" s="175"/>
      <c r="E834" s="61"/>
      <c r="F834" s="61"/>
      <c r="N834" s="175"/>
      <c r="O834" s="61"/>
      <c r="S834" s="199"/>
      <c r="T834" s="200"/>
    </row>
    <row r="835" ht="16.5" customHeight="1">
      <c r="C835" s="61"/>
      <c r="D835" s="175"/>
      <c r="E835" s="61"/>
      <c r="F835" s="61"/>
      <c r="N835" s="175"/>
      <c r="O835" s="61"/>
      <c r="S835" s="199"/>
      <c r="T835" s="200"/>
    </row>
    <row r="836" ht="16.5" customHeight="1">
      <c r="C836" s="61"/>
      <c r="D836" s="175"/>
      <c r="E836" s="61"/>
      <c r="F836" s="61"/>
      <c r="N836" s="175"/>
      <c r="O836" s="61"/>
      <c r="S836" s="199"/>
      <c r="T836" s="200"/>
    </row>
    <row r="837" ht="16.5" customHeight="1">
      <c r="C837" s="61"/>
      <c r="D837" s="175"/>
      <c r="E837" s="61"/>
      <c r="F837" s="61"/>
      <c r="N837" s="175"/>
      <c r="O837" s="61"/>
      <c r="S837" s="199"/>
      <c r="T837" s="200"/>
    </row>
    <row r="838" ht="16.5" customHeight="1">
      <c r="C838" s="61"/>
      <c r="D838" s="175"/>
      <c r="E838" s="61"/>
      <c r="F838" s="61"/>
      <c r="N838" s="175"/>
      <c r="O838" s="61"/>
      <c r="S838" s="199"/>
      <c r="T838" s="200"/>
    </row>
    <row r="839" ht="16.5" customHeight="1">
      <c r="C839" s="61"/>
      <c r="D839" s="175"/>
      <c r="E839" s="61"/>
      <c r="F839" s="61"/>
      <c r="N839" s="175"/>
      <c r="O839" s="61"/>
      <c r="S839" s="199"/>
      <c r="T839" s="200"/>
    </row>
    <row r="840" ht="16.5" customHeight="1">
      <c r="C840" s="61"/>
      <c r="D840" s="175"/>
      <c r="E840" s="61"/>
      <c r="F840" s="61"/>
      <c r="N840" s="175"/>
      <c r="O840" s="61"/>
      <c r="S840" s="199"/>
      <c r="T840" s="200"/>
    </row>
    <row r="841" ht="16.5" customHeight="1">
      <c r="C841" s="61"/>
      <c r="D841" s="175"/>
      <c r="E841" s="61"/>
      <c r="F841" s="61"/>
      <c r="N841" s="175"/>
      <c r="O841" s="61"/>
      <c r="S841" s="199"/>
      <c r="T841" s="200"/>
    </row>
    <row r="842" ht="16.5" customHeight="1">
      <c r="C842" s="61"/>
      <c r="D842" s="175"/>
      <c r="E842" s="61"/>
      <c r="F842" s="61"/>
      <c r="N842" s="175"/>
      <c r="O842" s="61"/>
      <c r="S842" s="199"/>
      <c r="T842" s="200"/>
    </row>
    <row r="843" ht="16.5" customHeight="1">
      <c r="C843" s="61"/>
      <c r="D843" s="175"/>
      <c r="E843" s="61"/>
      <c r="F843" s="61"/>
      <c r="N843" s="175"/>
      <c r="O843" s="61"/>
      <c r="S843" s="199"/>
      <c r="T843" s="200"/>
    </row>
    <row r="844" ht="16.5" customHeight="1">
      <c r="C844" s="61"/>
      <c r="D844" s="175"/>
      <c r="E844" s="61"/>
      <c r="F844" s="61"/>
      <c r="N844" s="175"/>
      <c r="O844" s="61"/>
      <c r="S844" s="199"/>
      <c r="T844" s="200"/>
    </row>
    <row r="845" ht="16.5" customHeight="1">
      <c r="C845" s="61"/>
      <c r="D845" s="175"/>
      <c r="E845" s="61"/>
      <c r="F845" s="61"/>
      <c r="N845" s="175"/>
      <c r="O845" s="61"/>
      <c r="S845" s="199"/>
      <c r="T845" s="200"/>
    </row>
    <row r="846" ht="16.5" customHeight="1">
      <c r="C846" s="61"/>
      <c r="D846" s="175"/>
      <c r="E846" s="61"/>
      <c r="F846" s="61"/>
      <c r="N846" s="175"/>
      <c r="O846" s="61"/>
      <c r="S846" s="199"/>
      <c r="T846" s="200"/>
    </row>
    <row r="847" ht="16.5" customHeight="1">
      <c r="C847" s="61"/>
      <c r="D847" s="175"/>
      <c r="E847" s="61"/>
      <c r="F847" s="61"/>
      <c r="N847" s="175"/>
      <c r="O847" s="61"/>
      <c r="S847" s="199"/>
      <c r="T847" s="200"/>
    </row>
    <row r="848" ht="16.5" customHeight="1">
      <c r="C848" s="61"/>
      <c r="D848" s="175"/>
      <c r="E848" s="61"/>
      <c r="F848" s="61"/>
      <c r="N848" s="175"/>
      <c r="O848" s="61"/>
      <c r="S848" s="199"/>
      <c r="T848" s="200"/>
    </row>
    <row r="849" ht="16.5" customHeight="1">
      <c r="C849" s="61"/>
      <c r="D849" s="175"/>
      <c r="E849" s="61"/>
      <c r="F849" s="61"/>
      <c r="N849" s="175"/>
      <c r="O849" s="61"/>
      <c r="S849" s="199"/>
      <c r="T849" s="200"/>
    </row>
    <row r="850" ht="16.5" customHeight="1">
      <c r="C850" s="61"/>
      <c r="D850" s="175"/>
      <c r="E850" s="61"/>
      <c r="F850" s="61"/>
      <c r="N850" s="175"/>
      <c r="O850" s="61"/>
      <c r="S850" s="199"/>
      <c r="T850" s="200"/>
    </row>
    <row r="851" ht="16.5" customHeight="1">
      <c r="C851" s="61"/>
      <c r="D851" s="175"/>
      <c r="E851" s="61"/>
      <c r="F851" s="61"/>
      <c r="N851" s="175"/>
      <c r="O851" s="61"/>
      <c r="S851" s="199"/>
      <c r="T851" s="200"/>
    </row>
    <row r="852" ht="16.5" customHeight="1">
      <c r="C852" s="61"/>
      <c r="D852" s="175"/>
      <c r="E852" s="61"/>
      <c r="F852" s="61"/>
      <c r="N852" s="175"/>
      <c r="O852" s="61"/>
      <c r="S852" s="199"/>
      <c r="T852" s="200"/>
    </row>
    <row r="853" ht="16.5" customHeight="1">
      <c r="C853" s="61"/>
      <c r="D853" s="175"/>
      <c r="E853" s="61"/>
      <c r="F853" s="61"/>
      <c r="N853" s="175"/>
      <c r="O853" s="61"/>
      <c r="S853" s="199"/>
      <c r="T853" s="200"/>
    </row>
    <row r="854" ht="16.5" customHeight="1">
      <c r="C854" s="61"/>
      <c r="D854" s="175"/>
      <c r="E854" s="61"/>
      <c r="F854" s="61"/>
      <c r="N854" s="175"/>
      <c r="O854" s="61"/>
      <c r="S854" s="199"/>
      <c r="T854" s="200"/>
    </row>
    <row r="855" ht="16.5" customHeight="1">
      <c r="C855" s="61"/>
      <c r="D855" s="175"/>
      <c r="E855" s="61"/>
      <c r="F855" s="61"/>
      <c r="N855" s="175"/>
      <c r="O855" s="61"/>
      <c r="S855" s="199"/>
      <c r="T855" s="200"/>
    </row>
    <row r="856" ht="16.5" customHeight="1">
      <c r="C856" s="61"/>
      <c r="D856" s="175"/>
      <c r="E856" s="61"/>
      <c r="F856" s="61"/>
      <c r="N856" s="175"/>
      <c r="O856" s="61"/>
      <c r="S856" s="199"/>
      <c r="T856" s="200"/>
    </row>
    <row r="857" ht="16.5" customHeight="1">
      <c r="C857" s="61"/>
      <c r="D857" s="175"/>
      <c r="E857" s="61"/>
      <c r="F857" s="61"/>
      <c r="N857" s="175"/>
      <c r="O857" s="61"/>
      <c r="S857" s="199"/>
      <c r="T857" s="200"/>
    </row>
    <row r="858" ht="16.5" customHeight="1">
      <c r="C858" s="61"/>
      <c r="D858" s="175"/>
      <c r="E858" s="61"/>
      <c r="F858" s="61"/>
      <c r="N858" s="175"/>
      <c r="O858" s="61"/>
      <c r="S858" s="199"/>
      <c r="T858" s="200"/>
    </row>
    <row r="859" ht="16.5" customHeight="1">
      <c r="C859" s="61"/>
      <c r="D859" s="175"/>
      <c r="E859" s="61"/>
      <c r="F859" s="61"/>
      <c r="N859" s="175"/>
      <c r="O859" s="61"/>
      <c r="S859" s="199"/>
      <c r="T859" s="200"/>
    </row>
    <row r="860" ht="16.5" customHeight="1">
      <c r="C860" s="61"/>
      <c r="D860" s="175"/>
      <c r="E860" s="61"/>
      <c r="F860" s="61"/>
      <c r="N860" s="175"/>
      <c r="O860" s="61"/>
      <c r="S860" s="199"/>
      <c r="T860" s="200"/>
    </row>
    <row r="861" ht="16.5" customHeight="1">
      <c r="C861" s="61"/>
      <c r="D861" s="175"/>
      <c r="E861" s="61"/>
      <c r="F861" s="61"/>
      <c r="N861" s="175"/>
      <c r="O861" s="61"/>
      <c r="S861" s="199"/>
      <c r="T861" s="200"/>
    </row>
    <row r="862" ht="16.5" customHeight="1">
      <c r="C862" s="61"/>
      <c r="D862" s="175"/>
      <c r="E862" s="61"/>
      <c r="F862" s="61"/>
      <c r="N862" s="175"/>
      <c r="O862" s="61"/>
      <c r="S862" s="199"/>
      <c r="T862" s="200"/>
    </row>
    <row r="863" ht="16.5" customHeight="1">
      <c r="C863" s="61"/>
      <c r="D863" s="175"/>
      <c r="E863" s="61"/>
      <c r="F863" s="61"/>
      <c r="N863" s="175"/>
      <c r="O863" s="61"/>
      <c r="S863" s="199"/>
      <c r="T863" s="200"/>
    </row>
    <row r="864" ht="16.5" customHeight="1">
      <c r="C864" s="61"/>
      <c r="D864" s="175"/>
      <c r="E864" s="61"/>
      <c r="F864" s="61"/>
      <c r="N864" s="175"/>
      <c r="O864" s="61"/>
      <c r="S864" s="199"/>
      <c r="T864" s="200"/>
    </row>
    <row r="865" ht="16.5" customHeight="1">
      <c r="C865" s="61"/>
      <c r="D865" s="175"/>
      <c r="E865" s="61"/>
      <c r="F865" s="61"/>
      <c r="N865" s="175"/>
      <c r="O865" s="61"/>
      <c r="S865" s="199"/>
      <c r="T865" s="200"/>
    </row>
    <row r="866" ht="16.5" customHeight="1">
      <c r="C866" s="61"/>
      <c r="D866" s="175"/>
      <c r="E866" s="61"/>
      <c r="F866" s="61"/>
      <c r="N866" s="175"/>
      <c r="O866" s="61"/>
      <c r="S866" s="199"/>
      <c r="T866" s="200"/>
    </row>
    <row r="867" ht="16.5" customHeight="1">
      <c r="C867" s="61"/>
      <c r="D867" s="175"/>
      <c r="E867" s="61"/>
      <c r="F867" s="61"/>
      <c r="N867" s="175"/>
      <c r="O867" s="61"/>
      <c r="S867" s="199"/>
      <c r="T867" s="200"/>
    </row>
    <row r="868" ht="16.5" customHeight="1">
      <c r="C868" s="61"/>
      <c r="D868" s="175"/>
      <c r="E868" s="61"/>
      <c r="F868" s="61"/>
      <c r="N868" s="175"/>
      <c r="O868" s="61"/>
      <c r="S868" s="199"/>
      <c r="T868" s="200"/>
    </row>
    <row r="869" ht="16.5" customHeight="1">
      <c r="C869" s="61"/>
      <c r="D869" s="175"/>
      <c r="E869" s="61"/>
      <c r="F869" s="61"/>
      <c r="N869" s="175"/>
      <c r="O869" s="61"/>
      <c r="S869" s="199"/>
      <c r="T869" s="200"/>
    </row>
    <row r="870" ht="16.5" customHeight="1">
      <c r="C870" s="61"/>
      <c r="D870" s="175"/>
      <c r="E870" s="61"/>
      <c r="F870" s="61"/>
      <c r="N870" s="175"/>
      <c r="O870" s="61"/>
      <c r="S870" s="199"/>
      <c r="T870" s="200"/>
    </row>
    <row r="871" ht="16.5" customHeight="1">
      <c r="C871" s="61"/>
      <c r="D871" s="175"/>
      <c r="E871" s="61"/>
      <c r="F871" s="61"/>
      <c r="N871" s="175"/>
      <c r="O871" s="61"/>
      <c r="S871" s="199"/>
      <c r="T871" s="200"/>
    </row>
    <row r="872" ht="16.5" customHeight="1">
      <c r="C872" s="61"/>
      <c r="D872" s="175"/>
      <c r="E872" s="61"/>
      <c r="F872" s="61"/>
      <c r="N872" s="175"/>
      <c r="O872" s="61"/>
      <c r="S872" s="199"/>
      <c r="T872" s="200"/>
    </row>
    <row r="873" ht="16.5" customHeight="1">
      <c r="C873" s="61"/>
      <c r="D873" s="175"/>
      <c r="E873" s="61"/>
      <c r="F873" s="61"/>
      <c r="N873" s="175"/>
      <c r="O873" s="61"/>
      <c r="S873" s="199"/>
      <c r="T873" s="200"/>
    </row>
    <row r="874" ht="16.5" customHeight="1">
      <c r="C874" s="61"/>
      <c r="D874" s="175"/>
      <c r="E874" s="61"/>
      <c r="F874" s="61"/>
      <c r="N874" s="175"/>
      <c r="O874" s="61"/>
      <c r="S874" s="199"/>
      <c r="T874" s="200"/>
    </row>
    <row r="875" ht="16.5" customHeight="1">
      <c r="C875" s="61"/>
      <c r="D875" s="175"/>
      <c r="E875" s="61"/>
      <c r="F875" s="61"/>
      <c r="N875" s="175"/>
      <c r="O875" s="61"/>
      <c r="S875" s="199"/>
      <c r="T875" s="200"/>
    </row>
    <row r="876" ht="16.5" customHeight="1">
      <c r="C876" s="61"/>
      <c r="D876" s="175"/>
      <c r="E876" s="61"/>
      <c r="F876" s="61"/>
      <c r="N876" s="175"/>
      <c r="O876" s="61"/>
      <c r="S876" s="199"/>
      <c r="T876" s="200"/>
    </row>
    <row r="877" ht="16.5" customHeight="1">
      <c r="C877" s="61"/>
      <c r="D877" s="175"/>
      <c r="E877" s="61"/>
      <c r="F877" s="61"/>
      <c r="N877" s="175"/>
      <c r="O877" s="61"/>
      <c r="S877" s="199"/>
      <c r="T877" s="200"/>
    </row>
    <row r="878" ht="16.5" customHeight="1">
      <c r="C878" s="61"/>
      <c r="D878" s="175"/>
      <c r="E878" s="61"/>
      <c r="F878" s="61"/>
      <c r="N878" s="175"/>
      <c r="O878" s="61"/>
      <c r="S878" s="199"/>
      <c r="T878" s="200"/>
    </row>
    <row r="879" ht="16.5" customHeight="1">
      <c r="C879" s="61"/>
      <c r="D879" s="175"/>
      <c r="E879" s="61"/>
      <c r="F879" s="61"/>
      <c r="N879" s="175"/>
      <c r="O879" s="61"/>
      <c r="S879" s="199"/>
      <c r="T879" s="200"/>
    </row>
    <row r="880" ht="16.5" customHeight="1">
      <c r="C880" s="61"/>
      <c r="D880" s="175"/>
      <c r="E880" s="61"/>
      <c r="F880" s="61"/>
      <c r="N880" s="175"/>
      <c r="O880" s="61"/>
      <c r="S880" s="199"/>
      <c r="T880" s="200"/>
    </row>
    <row r="881" ht="16.5" customHeight="1">
      <c r="C881" s="61"/>
      <c r="D881" s="175"/>
      <c r="E881" s="61"/>
      <c r="F881" s="61"/>
      <c r="N881" s="175"/>
      <c r="O881" s="61"/>
      <c r="S881" s="199"/>
      <c r="T881" s="200"/>
    </row>
    <row r="882" ht="16.5" customHeight="1">
      <c r="C882" s="61"/>
      <c r="D882" s="175"/>
      <c r="E882" s="61"/>
      <c r="F882" s="61"/>
      <c r="N882" s="175"/>
      <c r="O882" s="61"/>
      <c r="S882" s="199"/>
      <c r="T882" s="200"/>
    </row>
    <row r="883" ht="16.5" customHeight="1">
      <c r="C883" s="61"/>
      <c r="D883" s="175"/>
      <c r="E883" s="61"/>
      <c r="F883" s="61"/>
      <c r="N883" s="175"/>
      <c r="O883" s="61"/>
      <c r="S883" s="199"/>
      <c r="T883" s="200"/>
    </row>
    <row r="884" ht="16.5" customHeight="1">
      <c r="C884" s="61"/>
      <c r="D884" s="175"/>
      <c r="E884" s="61"/>
      <c r="F884" s="61"/>
      <c r="N884" s="175"/>
      <c r="O884" s="61"/>
      <c r="S884" s="199"/>
      <c r="T884" s="200"/>
    </row>
    <row r="885" ht="16.5" customHeight="1">
      <c r="C885" s="61"/>
      <c r="D885" s="175"/>
      <c r="E885" s="61"/>
      <c r="F885" s="61"/>
      <c r="N885" s="175"/>
      <c r="O885" s="61"/>
      <c r="S885" s="199"/>
      <c r="T885" s="200"/>
    </row>
    <row r="886" ht="16.5" customHeight="1">
      <c r="C886" s="61"/>
      <c r="D886" s="175"/>
      <c r="E886" s="61"/>
      <c r="F886" s="61"/>
      <c r="N886" s="175"/>
      <c r="O886" s="61"/>
      <c r="S886" s="199"/>
      <c r="T886" s="200"/>
    </row>
    <row r="887" ht="16.5" customHeight="1">
      <c r="C887" s="61"/>
      <c r="D887" s="175"/>
      <c r="E887" s="61"/>
      <c r="F887" s="61"/>
      <c r="N887" s="175"/>
      <c r="O887" s="61"/>
      <c r="S887" s="199"/>
      <c r="T887" s="200"/>
    </row>
    <row r="888" ht="16.5" customHeight="1">
      <c r="C888" s="61"/>
      <c r="D888" s="175"/>
      <c r="E888" s="61"/>
      <c r="F888" s="61"/>
      <c r="N888" s="175"/>
      <c r="O888" s="61"/>
      <c r="S888" s="199"/>
      <c r="T888" s="200"/>
    </row>
    <row r="889" ht="16.5" customHeight="1">
      <c r="C889" s="61"/>
      <c r="D889" s="175"/>
      <c r="E889" s="61"/>
      <c r="F889" s="61"/>
      <c r="N889" s="175"/>
      <c r="O889" s="61"/>
      <c r="S889" s="199"/>
      <c r="T889" s="200"/>
    </row>
    <row r="890" ht="16.5" customHeight="1">
      <c r="C890" s="61"/>
      <c r="D890" s="175"/>
      <c r="E890" s="61"/>
      <c r="F890" s="61"/>
      <c r="N890" s="175"/>
      <c r="O890" s="61"/>
      <c r="S890" s="199"/>
      <c r="T890" s="200"/>
    </row>
    <row r="891" ht="16.5" customHeight="1">
      <c r="C891" s="61"/>
      <c r="D891" s="175"/>
      <c r="E891" s="61"/>
      <c r="F891" s="61"/>
      <c r="N891" s="175"/>
      <c r="O891" s="61"/>
      <c r="S891" s="199"/>
      <c r="T891" s="200"/>
    </row>
    <row r="892" ht="16.5" customHeight="1">
      <c r="C892" s="61"/>
      <c r="D892" s="175"/>
      <c r="E892" s="61"/>
      <c r="F892" s="61"/>
      <c r="N892" s="175"/>
      <c r="O892" s="61"/>
      <c r="S892" s="199"/>
      <c r="T892" s="200"/>
    </row>
    <row r="893" ht="16.5" customHeight="1">
      <c r="C893" s="61"/>
      <c r="D893" s="175"/>
      <c r="E893" s="61"/>
      <c r="F893" s="61"/>
      <c r="N893" s="175"/>
      <c r="O893" s="61"/>
      <c r="S893" s="199"/>
      <c r="T893" s="200"/>
    </row>
    <row r="894" ht="16.5" customHeight="1">
      <c r="C894" s="61"/>
      <c r="D894" s="175"/>
      <c r="E894" s="61"/>
      <c r="F894" s="61"/>
      <c r="N894" s="175"/>
      <c r="O894" s="61"/>
      <c r="S894" s="199"/>
      <c r="T894" s="200"/>
    </row>
    <row r="895" ht="16.5" customHeight="1">
      <c r="C895" s="61"/>
      <c r="D895" s="175"/>
      <c r="E895" s="61"/>
      <c r="F895" s="61"/>
      <c r="N895" s="175"/>
      <c r="O895" s="61"/>
      <c r="S895" s="199"/>
      <c r="T895" s="200"/>
    </row>
    <row r="896" ht="16.5" customHeight="1">
      <c r="C896" s="61"/>
      <c r="D896" s="175"/>
      <c r="E896" s="61"/>
      <c r="F896" s="61"/>
      <c r="N896" s="175"/>
      <c r="O896" s="61"/>
      <c r="S896" s="199"/>
      <c r="T896" s="200"/>
    </row>
    <row r="897" ht="16.5" customHeight="1">
      <c r="C897" s="61"/>
      <c r="D897" s="175"/>
      <c r="E897" s="61"/>
      <c r="F897" s="61"/>
      <c r="N897" s="175"/>
      <c r="O897" s="61"/>
      <c r="S897" s="199"/>
      <c r="T897" s="200"/>
    </row>
    <row r="898" ht="16.5" customHeight="1">
      <c r="C898" s="61"/>
      <c r="D898" s="175"/>
      <c r="E898" s="61"/>
      <c r="F898" s="61"/>
      <c r="N898" s="175"/>
      <c r="O898" s="61"/>
      <c r="S898" s="199"/>
      <c r="T898" s="200"/>
    </row>
    <row r="899" ht="16.5" customHeight="1">
      <c r="C899" s="61"/>
      <c r="D899" s="175"/>
      <c r="E899" s="61"/>
      <c r="F899" s="61"/>
      <c r="N899" s="175"/>
      <c r="O899" s="61"/>
      <c r="S899" s="199"/>
      <c r="T899" s="200"/>
    </row>
    <row r="900" ht="16.5" customHeight="1">
      <c r="C900" s="61"/>
      <c r="D900" s="175"/>
      <c r="E900" s="61"/>
      <c r="F900" s="61"/>
      <c r="N900" s="175"/>
      <c r="O900" s="61"/>
      <c r="S900" s="199"/>
      <c r="T900" s="200"/>
    </row>
    <row r="901" ht="16.5" customHeight="1">
      <c r="C901" s="61"/>
      <c r="D901" s="175"/>
      <c r="E901" s="61"/>
      <c r="F901" s="61"/>
      <c r="N901" s="175"/>
      <c r="O901" s="61"/>
      <c r="S901" s="199"/>
      <c r="T901" s="200"/>
    </row>
    <row r="902" ht="16.5" customHeight="1">
      <c r="C902" s="61"/>
      <c r="D902" s="175"/>
      <c r="E902" s="61"/>
      <c r="F902" s="61"/>
      <c r="N902" s="175"/>
      <c r="O902" s="61"/>
      <c r="S902" s="199"/>
      <c r="T902" s="200"/>
    </row>
    <row r="903" ht="16.5" customHeight="1">
      <c r="C903" s="61"/>
      <c r="D903" s="175"/>
      <c r="E903" s="61"/>
      <c r="F903" s="61"/>
      <c r="N903" s="175"/>
      <c r="O903" s="61"/>
      <c r="S903" s="199"/>
      <c r="T903" s="200"/>
    </row>
    <row r="904" ht="16.5" customHeight="1">
      <c r="C904" s="61"/>
      <c r="D904" s="175"/>
      <c r="E904" s="61"/>
      <c r="F904" s="61"/>
      <c r="N904" s="175"/>
      <c r="O904" s="61"/>
      <c r="S904" s="199"/>
      <c r="T904" s="200"/>
    </row>
    <row r="905" ht="16.5" customHeight="1">
      <c r="C905" s="61"/>
      <c r="D905" s="175"/>
      <c r="E905" s="61"/>
      <c r="F905" s="61"/>
      <c r="N905" s="175"/>
      <c r="O905" s="61"/>
      <c r="S905" s="199"/>
      <c r="T905" s="200"/>
    </row>
    <row r="906" ht="16.5" customHeight="1">
      <c r="C906" s="61"/>
      <c r="D906" s="175"/>
      <c r="E906" s="61"/>
      <c r="F906" s="61"/>
      <c r="N906" s="175"/>
      <c r="O906" s="61"/>
      <c r="S906" s="199"/>
      <c r="T906" s="200"/>
    </row>
    <row r="907" ht="16.5" customHeight="1">
      <c r="C907" s="61"/>
      <c r="D907" s="175"/>
      <c r="E907" s="61"/>
      <c r="F907" s="61"/>
      <c r="N907" s="175"/>
      <c r="O907" s="61"/>
      <c r="S907" s="199"/>
      <c r="T907" s="200"/>
    </row>
    <row r="908" ht="16.5" customHeight="1">
      <c r="C908" s="61"/>
      <c r="D908" s="175"/>
      <c r="E908" s="61"/>
      <c r="F908" s="61"/>
      <c r="N908" s="175"/>
      <c r="O908" s="61"/>
      <c r="S908" s="199"/>
      <c r="T908" s="200"/>
    </row>
    <row r="909" ht="16.5" customHeight="1">
      <c r="C909" s="61"/>
      <c r="D909" s="175"/>
      <c r="E909" s="61"/>
      <c r="F909" s="61"/>
      <c r="N909" s="175"/>
      <c r="O909" s="61"/>
      <c r="S909" s="199"/>
      <c r="T909" s="200"/>
    </row>
    <row r="910" ht="16.5" customHeight="1">
      <c r="C910" s="61"/>
      <c r="D910" s="175"/>
      <c r="E910" s="61"/>
      <c r="F910" s="61"/>
      <c r="N910" s="175"/>
      <c r="O910" s="61"/>
      <c r="S910" s="199"/>
      <c r="T910" s="200"/>
    </row>
    <row r="911" ht="16.5" customHeight="1">
      <c r="C911" s="61"/>
      <c r="D911" s="175"/>
      <c r="E911" s="61"/>
      <c r="F911" s="61"/>
      <c r="N911" s="175"/>
      <c r="O911" s="61"/>
      <c r="S911" s="199"/>
      <c r="T911" s="200"/>
    </row>
    <row r="912" ht="16.5" customHeight="1">
      <c r="C912" s="61"/>
      <c r="D912" s="175"/>
      <c r="E912" s="61"/>
      <c r="F912" s="61"/>
      <c r="N912" s="175"/>
      <c r="O912" s="61"/>
      <c r="S912" s="199"/>
      <c r="T912" s="200"/>
    </row>
    <row r="913" ht="16.5" customHeight="1">
      <c r="C913" s="61"/>
      <c r="D913" s="175"/>
      <c r="E913" s="61"/>
      <c r="F913" s="61"/>
      <c r="N913" s="175"/>
      <c r="O913" s="61"/>
      <c r="S913" s="199"/>
      <c r="T913" s="200"/>
    </row>
    <row r="914" ht="16.5" customHeight="1">
      <c r="C914" s="61"/>
      <c r="D914" s="175"/>
      <c r="E914" s="61"/>
      <c r="F914" s="61"/>
      <c r="N914" s="175"/>
      <c r="O914" s="61"/>
      <c r="S914" s="199"/>
      <c r="T914" s="200"/>
    </row>
    <row r="915" ht="16.5" customHeight="1">
      <c r="C915" s="61"/>
      <c r="D915" s="175"/>
      <c r="E915" s="61"/>
      <c r="F915" s="61"/>
      <c r="N915" s="175"/>
      <c r="O915" s="61"/>
      <c r="S915" s="199"/>
      <c r="T915" s="200"/>
    </row>
    <row r="916" ht="16.5" customHeight="1">
      <c r="C916" s="61"/>
      <c r="D916" s="175"/>
      <c r="E916" s="61"/>
      <c r="F916" s="61"/>
      <c r="N916" s="175"/>
      <c r="O916" s="61"/>
      <c r="S916" s="199"/>
      <c r="T916" s="200"/>
    </row>
    <row r="917" ht="16.5" customHeight="1">
      <c r="C917" s="61"/>
      <c r="D917" s="175"/>
      <c r="E917" s="61"/>
      <c r="F917" s="61"/>
      <c r="N917" s="175"/>
      <c r="O917" s="61"/>
      <c r="S917" s="199"/>
      <c r="T917" s="200"/>
    </row>
    <row r="918" ht="16.5" customHeight="1">
      <c r="C918" s="61"/>
      <c r="D918" s="175"/>
      <c r="E918" s="61"/>
      <c r="F918" s="61"/>
      <c r="N918" s="175"/>
      <c r="O918" s="61"/>
      <c r="S918" s="199"/>
      <c r="T918" s="200"/>
    </row>
    <row r="919" ht="16.5" customHeight="1">
      <c r="C919" s="61"/>
      <c r="D919" s="175"/>
      <c r="E919" s="61"/>
      <c r="F919" s="61"/>
      <c r="N919" s="175"/>
      <c r="O919" s="61"/>
      <c r="S919" s="199"/>
      <c r="T919" s="200"/>
    </row>
    <row r="920" ht="16.5" customHeight="1">
      <c r="C920" s="61"/>
      <c r="D920" s="175"/>
      <c r="E920" s="61"/>
      <c r="F920" s="61"/>
      <c r="N920" s="175"/>
      <c r="O920" s="61"/>
      <c r="S920" s="199"/>
      <c r="T920" s="200"/>
    </row>
    <row r="921" ht="16.5" customHeight="1">
      <c r="C921" s="61"/>
      <c r="D921" s="175"/>
      <c r="E921" s="61"/>
      <c r="F921" s="61"/>
      <c r="N921" s="175"/>
      <c r="O921" s="61"/>
      <c r="S921" s="199"/>
      <c r="T921" s="200"/>
    </row>
    <row r="922" ht="16.5" customHeight="1">
      <c r="C922" s="61"/>
      <c r="D922" s="175"/>
      <c r="E922" s="61"/>
      <c r="F922" s="61"/>
      <c r="N922" s="175"/>
      <c r="O922" s="61"/>
      <c r="S922" s="199"/>
      <c r="T922" s="200"/>
    </row>
    <row r="923" ht="16.5" customHeight="1">
      <c r="C923" s="61"/>
      <c r="D923" s="175"/>
      <c r="E923" s="61"/>
      <c r="F923" s="61"/>
      <c r="N923" s="175"/>
      <c r="O923" s="61"/>
      <c r="S923" s="199"/>
      <c r="T923" s="200"/>
    </row>
    <row r="924" ht="16.5" customHeight="1">
      <c r="C924" s="61"/>
      <c r="D924" s="175"/>
      <c r="E924" s="61"/>
      <c r="F924" s="61"/>
      <c r="N924" s="175"/>
      <c r="O924" s="61"/>
      <c r="S924" s="199"/>
      <c r="T924" s="200"/>
    </row>
    <row r="925" ht="16.5" customHeight="1">
      <c r="C925" s="61"/>
      <c r="D925" s="175"/>
      <c r="E925" s="61"/>
      <c r="F925" s="61"/>
      <c r="N925" s="175"/>
      <c r="O925" s="61"/>
      <c r="S925" s="199"/>
      <c r="T925" s="200"/>
    </row>
    <row r="926" ht="16.5" customHeight="1">
      <c r="C926" s="61"/>
      <c r="D926" s="175"/>
      <c r="E926" s="61"/>
      <c r="F926" s="61"/>
      <c r="N926" s="175"/>
      <c r="O926" s="61"/>
      <c r="S926" s="199"/>
      <c r="T926" s="200"/>
    </row>
    <row r="927" ht="16.5" customHeight="1">
      <c r="C927" s="61"/>
      <c r="D927" s="175"/>
      <c r="E927" s="61"/>
      <c r="F927" s="61"/>
      <c r="N927" s="175"/>
      <c r="O927" s="61"/>
      <c r="S927" s="199"/>
      <c r="T927" s="200"/>
    </row>
    <row r="928" ht="16.5" customHeight="1">
      <c r="C928" s="61"/>
      <c r="D928" s="175"/>
      <c r="E928" s="61"/>
      <c r="F928" s="61"/>
      <c r="N928" s="175"/>
      <c r="O928" s="61"/>
      <c r="S928" s="199"/>
      <c r="T928" s="200"/>
    </row>
    <row r="929" ht="16.5" customHeight="1">
      <c r="C929" s="61"/>
      <c r="D929" s="175"/>
      <c r="E929" s="61"/>
      <c r="F929" s="61"/>
      <c r="N929" s="175"/>
      <c r="O929" s="61"/>
      <c r="S929" s="199"/>
      <c r="T929" s="200"/>
    </row>
    <row r="930" ht="16.5" customHeight="1">
      <c r="C930" s="61"/>
      <c r="D930" s="175"/>
      <c r="E930" s="61"/>
      <c r="F930" s="61"/>
      <c r="N930" s="175"/>
      <c r="O930" s="61"/>
      <c r="S930" s="199"/>
      <c r="T930" s="200"/>
    </row>
    <row r="931" ht="16.5" customHeight="1">
      <c r="C931" s="61"/>
      <c r="D931" s="175"/>
      <c r="E931" s="61"/>
      <c r="F931" s="61"/>
      <c r="N931" s="175"/>
      <c r="O931" s="61"/>
      <c r="S931" s="199"/>
      <c r="T931" s="200"/>
    </row>
    <row r="932" ht="16.5" customHeight="1">
      <c r="C932" s="61"/>
      <c r="D932" s="175"/>
      <c r="E932" s="61"/>
      <c r="F932" s="61"/>
      <c r="N932" s="175"/>
      <c r="O932" s="61"/>
      <c r="S932" s="199"/>
      <c r="T932" s="200"/>
    </row>
    <row r="933" ht="16.5" customHeight="1">
      <c r="C933" s="61"/>
      <c r="D933" s="175"/>
      <c r="E933" s="61"/>
      <c r="F933" s="61"/>
      <c r="N933" s="175"/>
      <c r="O933" s="61"/>
      <c r="S933" s="199"/>
      <c r="T933" s="200"/>
    </row>
    <row r="934" ht="16.5" customHeight="1">
      <c r="C934" s="61"/>
      <c r="D934" s="175"/>
      <c r="E934" s="61"/>
      <c r="F934" s="61"/>
      <c r="N934" s="175"/>
      <c r="O934" s="61"/>
      <c r="S934" s="199"/>
      <c r="T934" s="200"/>
    </row>
    <row r="935" ht="16.5" customHeight="1">
      <c r="C935" s="61"/>
      <c r="D935" s="175"/>
      <c r="E935" s="61"/>
      <c r="F935" s="61"/>
      <c r="N935" s="175"/>
      <c r="O935" s="61"/>
      <c r="S935" s="199"/>
      <c r="T935" s="200"/>
    </row>
    <row r="936" ht="16.5" customHeight="1">
      <c r="C936" s="61"/>
      <c r="D936" s="175"/>
      <c r="E936" s="61"/>
      <c r="F936" s="61"/>
      <c r="N936" s="175"/>
      <c r="O936" s="61"/>
      <c r="S936" s="199"/>
      <c r="T936" s="200"/>
    </row>
    <row r="937" ht="16.5" customHeight="1">
      <c r="C937" s="61"/>
      <c r="D937" s="175"/>
      <c r="E937" s="61"/>
      <c r="F937" s="61"/>
      <c r="N937" s="175"/>
      <c r="O937" s="61"/>
      <c r="S937" s="199"/>
      <c r="T937" s="200"/>
    </row>
    <row r="938" ht="16.5" customHeight="1">
      <c r="C938" s="61"/>
      <c r="D938" s="175"/>
      <c r="E938" s="61"/>
      <c r="F938" s="61"/>
      <c r="N938" s="175"/>
      <c r="O938" s="61"/>
      <c r="S938" s="199"/>
      <c r="T938" s="200"/>
    </row>
    <row r="939" ht="16.5" customHeight="1">
      <c r="C939" s="61"/>
      <c r="D939" s="175"/>
      <c r="E939" s="61"/>
      <c r="F939" s="61"/>
      <c r="N939" s="175"/>
      <c r="O939" s="61"/>
      <c r="S939" s="199"/>
      <c r="T939" s="200"/>
    </row>
    <row r="940" ht="16.5" customHeight="1">
      <c r="C940" s="61"/>
      <c r="D940" s="175"/>
      <c r="E940" s="61"/>
      <c r="F940" s="61"/>
      <c r="N940" s="175"/>
      <c r="O940" s="61"/>
      <c r="S940" s="199"/>
      <c r="T940" s="200"/>
    </row>
    <row r="941" ht="16.5" customHeight="1">
      <c r="C941" s="61"/>
      <c r="D941" s="175"/>
      <c r="E941" s="61"/>
      <c r="F941" s="61"/>
      <c r="N941" s="175"/>
      <c r="O941" s="61"/>
      <c r="S941" s="199"/>
      <c r="T941" s="200"/>
    </row>
    <row r="942" ht="16.5" customHeight="1">
      <c r="C942" s="61"/>
      <c r="D942" s="175"/>
      <c r="E942" s="61"/>
      <c r="F942" s="61"/>
      <c r="N942" s="175"/>
      <c r="O942" s="61"/>
      <c r="S942" s="199"/>
      <c r="T942" s="200"/>
    </row>
    <row r="943" ht="16.5" customHeight="1">
      <c r="C943" s="61"/>
      <c r="D943" s="175"/>
      <c r="E943" s="61"/>
      <c r="F943" s="61"/>
      <c r="N943" s="175"/>
      <c r="O943" s="61"/>
      <c r="S943" s="199"/>
      <c r="T943" s="200"/>
    </row>
    <row r="944" ht="16.5" customHeight="1">
      <c r="C944" s="61"/>
      <c r="D944" s="175"/>
      <c r="E944" s="61"/>
      <c r="F944" s="61"/>
      <c r="N944" s="175"/>
      <c r="O944" s="61"/>
      <c r="S944" s="199"/>
      <c r="T944" s="200"/>
    </row>
    <row r="945" ht="16.5" customHeight="1">
      <c r="C945" s="61"/>
      <c r="D945" s="175"/>
      <c r="E945" s="61"/>
      <c r="F945" s="61"/>
      <c r="N945" s="175"/>
      <c r="O945" s="61"/>
      <c r="S945" s="199"/>
      <c r="T945" s="200"/>
    </row>
    <row r="946" ht="16.5" customHeight="1">
      <c r="C946" s="61"/>
      <c r="D946" s="175"/>
      <c r="E946" s="61"/>
      <c r="F946" s="61"/>
      <c r="N946" s="175"/>
      <c r="O946" s="61"/>
      <c r="S946" s="199"/>
      <c r="T946" s="200"/>
    </row>
    <row r="947" ht="16.5" customHeight="1">
      <c r="C947" s="61"/>
      <c r="D947" s="175"/>
      <c r="E947" s="61"/>
      <c r="F947" s="61"/>
      <c r="N947" s="175"/>
      <c r="O947" s="61"/>
      <c r="S947" s="199"/>
      <c r="T947" s="200"/>
    </row>
    <row r="948" ht="16.5" customHeight="1">
      <c r="C948" s="61"/>
      <c r="D948" s="175"/>
      <c r="E948" s="61"/>
      <c r="F948" s="61"/>
      <c r="N948" s="175"/>
      <c r="O948" s="61"/>
      <c r="S948" s="199"/>
      <c r="T948" s="200"/>
    </row>
    <row r="949" ht="16.5" customHeight="1">
      <c r="C949" s="61"/>
      <c r="D949" s="175"/>
      <c r="E949" s="61"/>
      <c r="F949" s="61"/>
      <c r="N949" s="175"/>
      <c r="O949" s="61"/>
      <c r="S949" s="199"/>
      <c r="T949" s="200"/>
    </row>
    <row r="950" ht="16.5" customHeight="1">
      <c r="C950" s="61"/>
      <c r="D950" s="175"/>
      <c r="E950" s="61"/>
      <c r="F950" s="61"/>
      <c r="N950" s="175"/>
      <c r="O950" s="61"/>
      <c r="S950" s="199"/>
      <c r="T950" s="200"/>
    </row>
    <row r="951" ht="16.5" customHeight="1">
      <c r="C951" s="61"/>
      <c r="D951" s="175"/>
      <c r="E951" s="61"/>
      <c r="F951" s="61"/>
      <c r="N951" s="175"/>
      <c r="O951" s="61"/>
      <c r="S951" s="199"/>
      <c r="T951" s="200"/>
    </row>
    <row r="952" ht="16.5" customHeight="1">
      <c r="C952" s="61"/>
      <c r="D952" s="175"/>
      <c r="E952" s="61"/>
      <c r="F952" s="61"/>
      <c r="N952" s="175"/>
      <c r="O952" s="61"/>
      <c r="S952" s="199"/>
      <c r="T952" s="200"/>
    </row>
    <row r="953" ht="16.5" customHeight="1">
      <c r="C953" s="61"/>
      <c r="D953" s="175"/>
      <c r="E953" s="61"/>
      <c r="F953" s="61"/>
      <c r="N953" s="175"/>
      <c r="O953" s="61"/>
      <c r="S953" s="199"/>
      <c r="T953" s="200"/>
    </row>
    <row r="954" ht="16.5" customHeight="1">
      <c r="C954" s="61"/>
      <c r="D954" s="175"/>
      <c r="E954" s="61"/>
      <c r="F954" s="61"/>
      <c r="N954" s="175"/>
      <c r="O954" s="61"/>
      <c r="S954" s="199"/>
      <c r="T954" s="200"/>
    </row>
    <row r="955" ht="16.5" customHeight="1">
      <c r="C955" s="61"/>
      <c r="D955" s="175"/>
      <c r="E955" s="61"/>
      <c r="F955" s="61"/>
      <c r="N955" s="175"/>
      <c r="O955" s="61"/>
      <c r="S955" s="199"/>
      <c r="T955" s="200"/>
    </row>
    <row r="956" ht="16.5" customHeight="1">
      <c r="C956" s="61"/>
      <c r="D956" s="175"/>
      <c r="E956" s="61"/>
      <c r="F956" s="61"/>
      <c r="N956" s="175"/>
      <c r="O956" s="61"/>
      <c r="S956" s="199"/>
      <c r="T956" s="200"/>
    </row>
    <row r="957" ht="16.5" customHeight="1">
      <c r="C957" s="61"/>
      <c r="D957" s="175"/>
      <c r="E957" s="61"/>
      <c r="F957" s="61"/>
      <c r="N957" s="175"/>
      <c r="O957" s="61"/>
      <c r="S957" s="199"/>
      <c r="T957" s="200"/>
    </row>
    <row r="958" ht="16.5" customHeight="1">
      <c r="C958" s="61"/>
      <c r="D958" s="175"/>
      <c r="E958" s="61"/>
      <c r="F958" s="61"/>
      <c r="N958" s="175"/>
      <c r="O958" s="61"/>
      <c r="S958" s="199"/>
      <c r="T958" s="200"/>
    </row>
    <row r="959" ht="16.5" customHeight="1">
      <c r="C959" s="61"/>
      <c r="D959" s="175"/>
      <c r="E959" s="61"/>
      <c r="F959" s="61"/>
      <c r="N959" s="175"/>
      <c r="O959" s="61"/>
      <c r="S959" s="199"/>
      <c r="T959" s="200"/>
    </row>
    <row r="960" ht="16.5" customHeight="1">
      <c r="C960" s="61"/>
      <c r="D960" s="175"/>
      <c r="E960" s="61"/>
      <c r="F960" s="61"/>
      <c r="N960" s="175"/>
      <c r="O960" s="61"/>
      <c r="S960" s="199"/>
      <c r="T960" s="200"/>
    </row>
    <row r="961" ht="16.5" customHeight="1">
      <c r="C961" s="61"/>
      <c r="D961" s="175"/>
      <c r="E961" s="61"/>
      <c r="F961" s="61"/>
      <c r="N961" s="175"/>
      <c r="O961" s="61"/>
      <c r="S961" s="199"/>
      <c r="T961" s="200"/>
    </row>
    <row r="962" ht="16.5" customHeight="1">
      <c r="C962" s="61"/>
      <c r="D962" s="175"/>
      <c r="E962" s="61"/>
      <c r="F962" s="61"/>
      <c r="N962" s="175"/>
      <c r="O962" s="61"/>
      <c r="S962" s="199"/>
      <c r="T962" s="200"/>
    </row>
    <row r="963" ht="16.5" customHeight="1">
      <c r="C963" s="61"/>
      <c r="D963" s="175"/>
      <c r="E963" s="61"/>
      <c r="F963" s="61"/>
      <c r="N963" s="175"/>
      <c r="O963" s="61"/>
      <c r="S963" s="199"/>
      <c r="T963" s="200"/>
    </row>
    <row r="964" ht="16.5" customHeight="1">
      <c r="C964" s="61"/>
      <c r="D964" s="175"/>
      <c r="E964" s="61"/>
      <c r="F964" s="61"/>
      <c r="N964" s="175"/>
      <c r="O964" s="61"/>
      <c r="S964" s="199"/>
      <c r="T964" s="200"/>
    </row>
    <row r="965" ht="16.5" customHeight="1">
      <c r="C965" s="61"/>
      <c r="D965" s="175"/>
      <c r="E965" s="61"/>
      <c r="F965" s="61"/>
      <c r="N965" s="175"/>
      <c r="O965" s="61"/>
      <c r="S965" s="199"/>
      <c r="T965" s="200"/>
    </row>
    <row r="966" ht="16.5" customHeight="1">
      <c r="C966" s="61"/>
      <c r="D966" s="175"/>
      <c r="E966" s="61"/>
      <c r="F966" s="61"/>
      <c r="N966" s="175"/>
      <c r="O966" s="61"/>
      <c r="S966" s="199"/>
      <c r="T966" s="200"/>
    </row>
    <row r="967" ht="16.5" customHeight="1">
      <c r="C967" s="61"/>
      <c r="D967" s="175"/>
      <c r="E967" s="61"/>
      <c r="F967" s="61"/>
      <c r="N967" s="175"/>
      <c r="O967" s="61"/>
      <c r="S967" s="199"/>
      <c r="T967" s="200"/>
    </row>
    <row r="968" ht="16.5" customHeight="1">
      <c r="C968" s="61"/>
      <c r="D968" s="175"/>
      <c r="E968" s="61"/>
      <c r="F968" s="61"/>
      <c r="N968" s="175"/>
      <c r="O968" s="61"/>
      <c r="S968" s="199"/>
      <c r="T968" s="200"/>
    </row>
    <row r="969" ht="16.5" customHeight="1">
      <c r="C969" s="61"/>
      <c r="D969" s="175"/>
      <c r="E969" s="61"/>
      <c r="F969" s="61"/>
      <c r="N969" s="175"/>
      <c r="O969" s="61"/>
      <c r="S969" s="199"/>
      <c r="T969" s="200"/>
    </row>
    <row r="970" ht="16.5" customHeight="1">
      <c r="C970" s="61"/>
      <c r="D970" s="175"/>
      <c r="E970" s="61"/>
      <c r="F970" s="61"/>
      <c r="N970" s="175"/>
      <c r="O970" s="61"/>
      <c r="S970" s="199"/>
      <c r="T970" s="200"/>
    </row>
    <row r="971" ht="16.5" customHeight="1">
      <c r="C971" s="61"/>
      <c r="D971" s="175"/>
      <c r="E971" s="61"/>
      <c r="F971" s="61"/>
      <c r="N971" s="175"/>
      <c r="O971" s="61"/>
      <c r="S971" s="199"/>
      <c r="T971" s="200"/>
    </row>
    <row r="972" ht="16.5" customHeight="1">
      <c r="C972" s="61"/>
      <c r="D972" s="175"/>
      <c r="E972" s="61"/>
      <c r="F972" s="61"/>
      <c r="N972" s="175"/>
      <c r="O972" s="61"/>
      <c r="S972" s="199"/>
      <c r="T972" s="200"/>
    </row>
    <row r="973" ht="16.5" customHeight="1">
      <c r="C973" s="61"/>
      <c r="D973" s="175"/>
      <c r="E973" s="61"/>
      <c r="F973" s="61"/>
      <c r="N973" s="175"/>
      <c r="O973" s="61"/>
      <c r="S973" s="199"/>
      <c r="T973" s="200"/>
    </row>
    <row r="974" ht="16.5" customHeight="1">
      <c r="C974" s="61"/>
      <c r="D974" s="175"/>
      <c r="E974" s="61"/>
      <c r="F974" s="61"/>
      <c r="N974" s="175"/>
      <c r="O974" s="61"/>
      <c r="S974" s="199"/>
      <c r="T974" s="200"/>
    </row>
    <row r="975" ht="16.5" customHeight="1">
      <c r="C975" s="61"/>
      <c r="D975" s="175"/>
      <c r="E975" s="61"/>
      <c r="F975" s="61"/>
      <c r="N975" s="175"/>
      <c r="O975" s="61"/>
      <c r="S975" s="199"/>
      <c r="T975" s="200"/>
    </row>
    <row r="976" ht="16.5" customHeight="1">
      <c r="C976" s="61"/>
      <c r="D976" s="175"/>
      <c r="E976" s="61"/>
      <c r="F976" s="61"/>
      <c r="N976" s="175"/>
      <c r="O976" s="61"/>
      <c r="S976" s="199"/>
      <c r="T976" s="200"/>
    </row>
    <row r="977" ht="16.5" customHeight="1">
      <c r="C977" s="61"/>
      <c r="D977" s="175"/>
      <c r="E977" s="61"/>
      <c r="F977" s="61"/>
      <c r="N977" s="175"/>
      <c r="O977" s="61"/>
      <c r="S977" s="199"/>
      <c r="T977" s="200"/>
    </row>
    <row r="978" ht="16.5" customHeight="1">
      <c r="C978" s="61"/>
      <c r="D978" s="175"/>
      <c r="E978" s="61"/>
      <c r="F978" s="61"/>
      <c r="N978" s="175"/>
      <c r="O978" s="61"/>
      <c r="S978" s="199"/>
      <c r="T978" s="200"/>
    </row>
    <row r="979" ht="16.5" customHeight="1">
      <c r="C979" s="61"/>
      <c r="D979" s="175"/>
      <c r="E979" s="61"/>
      <c r="F979" s="61"/>
      <c r="N979" s="175"/>
      <c r="O979" s="61"/>
      <c r="S979" s="199"/>
      <c r="T979" s="200"/>
    </row>
    <row r="980" ht="16.5" customHeight="1">
      <c r="C980" s="61"/>
      <c r="D980" s="175"/>
      <c r="E980" s="61"/>
      <c r="F980" s="61"/>
      <c r="N980" s="175"/>
      <c r="O980" s="61"/>
      <c r="S980" s="199"/>
      <c r="T980" s="200"/>
    </row>
    <row r="981" ht="16.5" customHeight="1">
      <c r="C981" s="61"/>
      <c r="D981" s="175"/>
      <c r="E981" s="61"/>
      <c r="F981" s="61"/>
      <c r="N981" s="175"/>
      <c r="O981" s="61"/>
      <c r="S981" s="199"/>
      <c r="T981" s="200"/>
    </row>
    <row r="982" ht="16.5" customHeight="1">
      <c r="C982" s="61"/>
      <c r="D982" s="175"/>
      <c r="E982" s="61"/>
      <c r="F982" s="61"/>
      <c r="N982" s="175"/>
      <c r="O982" s="61"/>
      <c r="S982" s="199"/>
      <c r="T982" s="200"/>
    </row>
    <row r="983" ht="16.5" customHeight="1">
      <c r="C983" s="61"/>
      <c r="D983" s="175"/>
      <c r="E983" s="61"/>
      <c r="F983" s="61"/>
      <c r="N983" s="175"/>
      <c r="O983" s="61"/>
      <c r="S983" s="199"/>
      <c r="T983" s="200"/>
    </row>
    <row r="984" ht="16.5" customHeight="1">
      <c r="C984" s="61"/>
      <c r="D984" s="175"/>
      <c r="E984" s="61"/>
      <c r="F984" s="61"/>
      <c r="N984" s="175"/>
      <c r="O984" s="61"/>
      <c r="S984" s="199"/>
      <c r="T984" s="200"/>
    </row>
    <row r="985" ht="16.5" customHeight="1">
      <c r="C985" s="61"/>
      <c r="D985" s="175"/>
      <c r="E985" s="61"/>
      <c r="F985" s="61"/>
      <c r="N985" s="175"/>
      <c r="O985" s="61"/>
      <c r="S985" s="199"/>
      <c r="T985" s="200"/>
    </row>
    <row r="986" ht="16.5" customHeight="1">
      <c r="C986" s="61"/>
      <c r="D986" s="175"/>
      <c r="E986" s="61"/>
      <c r="F986" s="61"/>
      <c r="N986" s="175"/>
      <c r="O986" s="61"/>
      <c r="S986" s="199"/>
      <c r="T986" s="200"/>
    </row>
    <row r="987" ht="16.5" customHeight="1">
      <c r="C987" s="61"/>
      <c r="D987" s="175"/>
      <c r="E987" s="61"/>
      <c r="F987" s="61"/>
      <c r="N987" s="175"/>
      <c r="O987" s="61"/>
      <c r="S987" s="199"/>
      <c r="T987" s="200"/>
    </row>
    <row r="988" ht="16.5" customHeight="1">
      <c r="C988" s="61"/>
      <c r="D988" s="175"/>
      <c r="E988" s="61"/>
      <c r="F988" s="61"/>
      <c r="N988" s="175"/>
      <c r="O988" s="61"/>
      <c r="S988" s="199"/>
      <c r="T988" s="200"/>
    </row>
    <row r="989" ht="16.5" customHeight="1">
      <c r="C989" s="61"/>
      <c r="D989" s="175"/>
      <c r="E989" s="61"/>
      <c r="F989" s="61"/>
      <c r="N989" s="175"/>
      <c r="O989" s="61"/>
      <c r="S989" s="199"/>
      <c r="T989" s="200"/>
    </row>
    <row r="990" ht="16.5" customHeight="1">
      <c r="C990" s="61"/>
      <c r="D990" s="175"/>
      <c r="E990" s="61"/>
      <c r="F990" s="61"/>
      <c r="N990" s="175"/>
      <c r="O990" s="61"/>
      <c r="S990" s="199"/>
      <c r="T990" s="200"/>
    </row>
    <row r="991" ht="16.5" customHeight="1">
      <c r="C991" s="61"/>
      <c r="D991" s="175"/>
      <c r="E991" s="61"/>
      <c r="F991" s="61"/>
      <c r="N991" s="175"/>
      <c r="O991" s="61"/>
      <c r="S991" s="199"/>
      <c r="T991" s="200"/>
    </row>
    <row r="992" ht="16.5" customHeight="1">
      <c r="C992" s="61"/>
      <c r="D992" s="175"/>
      <c r="E992" s="61"/>
      <c r="F992" s="61"/>
      <c r="N992" s="175"/>
      <c r="O992" s="61"/>
      <c r="S992" s="199"/>
      <c r="T992" s="200"/>
    </row>
    <row r="993" ht="16.5" customHeight="1">
      <c r="C993" s="61"/>
      <c r="D993" s="175"/>
      <c r="E993" s="61"/>
      <c r="F993" s="61"/>
      <c r="N993" s="175"/>
      <c r="O993" s="61"/>
      <c r="S993" s="199"/>
      <c r="T993" s="200"/>
    </row>
    <row r="994" ht="16.5" customHeight="1">
      <c r="C994" s="61"/>
      <c r="D994" s="175"/>
      <c r="E994" s="61"/>
      <c r="F994" s="61"/>
      <c r="N994" s="175"/>
      <c r="O994" s="61"/>
      <c r="S994" s="199"/>
      <c r="T994" s="200"/>
    </row>
    <row r="995" ht="16.5" customHeight="1">
      <c r="C995" s="61"/>
      <c r="D995" s="175"/>
      <c r="E995" s="61"/>
      <c r="F995" s="61"/>
      <c r="N995" s="175"/>
      <c r="O995" s="61"/>
      <c r="S995" s="199"/>
      <c r="T995" s="200"/>
    </row>
    <row r="996" ht="16.5" customHeight="1">
      <c r="C996" s="61"/>
      <c r="D996" s="175"/>
      <c r="E996" s="61"/>
      <c r="F996" s="61"/>
      <c r="N996" s="175"/>
      <c r="O996" s="61"/>
      <c r="S996" s="199"/>
      <c r="T996" s="200"/>
    </row>
    <row r="997" ht="16.5" customHeight="1">
      <c r="C997" s="61"/>
      <c r="D997" s="175"/>
      <c r="E997" s="61"/>
      <c r="F997" s="61"/>
      <c r="N997" s="175"/>
      <c r="O997" s="61"/>
      <c r="S997" s="199"/>
      <c r="T997" s="200"/>
    </row>
    <row r="998" ht="16.5" customHeight="1">
      <c r="C998" s="61"/>
      <c r="D998" s="175"/>
      <c r="E998" s="61"/>
      <c r="F998" s="61"/>
      <c r="N998" s="175"/>
      <c r="O998" s="61"/>
      <c r="S998" s="199"/>
      <c r="T998" s="200"/>
    </row>
    <row r="999" ht="16.5" customHeight="1">
      <c r="C999" s="61"/>
      <c r="D999" s="175"/>
      <c r="E999" s="61"/>
      <c r="F999" s="61"/>
      <c r="N999" s="175"/>
      <c r="O999" s="61"/>
      <c r="S999" s="199"/>
      <c r="T999" s="200"/>
    </row>
    <row r="1000" ht="16.5" customHeight="1">
      <c r="C1000" s="61"/>
      <c r="D1000" s="175"/>
      <c r="E1000" s="61"/>
      <c r="F1000" s="61"/>
      <c r="N1000" s="175"/>
      <c r="O1000" s="61"/>
      <c r="S1000" s="199"/>
      <c r="T1000" s="200"/>
    </row>
  </sheetData>
  <mergeCells count="4">
    <mergeCell ref="C4:M6"/>
    <mergeCell ref="N4:X6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X40">
    <cfRule type="cellIs" dxfId="0" priority="7" operator="greaterThanOrEqual">
      <formula>0</formula>
    </cfRule>
  </conditionalFormatting>
  <conditionalFormatting sqref="S40:X40">
    <cfRule type="cellIs" dxfId="1" priority="8" operator="lessThan">
      <formula>0</formula>
    </cfRule>
  </conditionalFormatting>
  <conditionalFormatting sqref="S40:X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3.0"/>
    <col customWidth="1" min="3" max="3" width="13.89"/>
    <col customWidth="1" min="4" max="4" width="16.56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3.78"/>
    <col customWidth="1" min="15" max="15" width="15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4" width="14.78"/>
    <col customWidth="1" min="25" max="26" width="10.56"/>
    <col customWidth="1" min="27" max="27" width="14.11"/>
    <col customWidth="1" min="28" max="28" width="15.78"/>
    <col customWidth="1" min="29" max="29" width="15.44"/>
    <col customWidth="1" min="30" max="30" width="16.0"/>
    <col customWidth="1" min="31" max="31" width="15.44"/>
    <col customWidth="1" min="32" max="32" width="11.11"/>
    <col customWidth="1" min="33" max="33" width="10.56"/>
    <col customWidth="1" min="34" max="35" width="13.0"/>
    <col customWidth="1" min="36" max="36" width="13.78"/>
    <col customWidth="1" min="37" max="38" width="13.0"/>
    <col customWidth="1" min="39" max="39" width="14.11"/>
    <col customWidth="1" min="40" max="40" width="13.44"/>
    <col customWidth="1" min="41" max="41" width="13.0"/>
  </cols>
  <sheetData>
    <row r="1" ht="15.75" customHeight="1">
      <c r="B1" s="61"/>
      <c r="E1" s="61"/>
      <c r="H1" s="61"/>
      <c r="I1" s="61"/>
      <c r="S1" s="199"/>
      <c r="T1" s="200"/>
    </row>
    <row r="2" ht="15.75" customHeight="1">
      <c r="B2" s="61"/>
      <c r="E2" s="61"/>
      <c r="H2" s="61"/>
      <c r="I2" s="61"/>
      <c r="S2" s="199"/>
      <c r="T2" s="200"/>
    </row>
    <row r="3" ht="15.75" customHeight="1">
      <c r="B3" s="61"/>
      <c r="C3" s="61"/>
      <c r="F3" s="75"/>
      <c r="G3" s="2"/>
      <c r="N3" s="2"/>
      <c r="O3" s="2"/>
      <c r="P3" s="2"/>
      <c r="Q3" s="2"/>
      <c r="S3" s="199"/>
      <c r="T3" s="200"/>
    </row>
    <row r="4" ht="15.75" customHeight="1">
      <c r="B4" s="61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B5" s="61"/>
      <c r="C5" s="31"/>
      <c r="M5" s="32"/>
      <c r="N5" s="31"/>
      <c r="X5" s="32"/>
      <c r="AA5" s="46" t="s">
        <v>207</v>
      </c>
      <c r="AB5" s="6"/>
      <c r="AD5" s="46" t="s">
        <v>208</v>
      </c>
      <c r="AE5" s="6"/>
      <c r="AJ5" s="46" t="s">
        <v>207</v>
      </c>
      <c r="AK5" s="6"/>
      <c r="AM5" s="46" t="s">
        <v>208</v>
      </c>
      <c r="AN5" s="6"/>
    </row>
    <row r="6" ht="15.75" customHeight="1">
      <c r="B6" s="61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AA6" s="261">
        <v>45505.0</v>
      </c>
      <c r="AB6" s="261">
        <v>45536.0</v>
      </c>
      <c r="AD6" s="261">
        <v>45505.0</v>
      </c>
      <c r="AE6" s="261">
        <v>45536.0</v>
      </c>
      <c r="AJ6" s="261">
        <v>45505.0</v>
      </c>
      <c r="AK6" s="261">
        <v>45536.0</v>
      </c>
      <c r="AM6" s="261">
        <v>45505.0</v>
      </c>
      <c r="AN6" s="261">
        <v>45536.0</v>
      </c>
    </row>
    <row r="7" ht="15.75" customHeight="1">
      <c r="B7" s="61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Z7" s="58" t="s">
        <v>45</v>
      </c>
      <c r="AA7" s="229">
        <v>5923.387500000001</v>
      </c>
      <c r="AB7" s="229">
        <v>4521.622</v>
      </c>
      <c r="AD7" s="229">
        <v>3389.2725</v>
      </c>
      <c r="AE7" s="229">
        <v>3329.052</v>
      </c>
      <c r="AI7" s="58" t="s">
        <v>45</v>
      </c>
      <c r="AJ7" s="229">
        <v>5923.387500000001</v>
      </c>
      <c r="AK7" s="229">
        <v>4521.622</v>
      </c>
      <c r="AM7" s="229">
        <v>3389.2725</v>
      </c>
      <c r="AN7" s="229">
        <v>3329.052</v>
      </c>
    </row>
    <row r="8" ht="15.75" customHeight="1">
      <c r="A8" s="175">
        <v>45870.0</v>
      </c>
      <c r="B8" s="61" t="s">
        <v>209</v>
      </c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206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  <c r="AA8" s="229">
        <v>5217.297500000001</v>
      </c>
      <c r="AB8" s="229">
        <v>5676.575</v>
      </c>
      <c r="AD8" s="229">
        <v>4368.817499999999</v>
      </c>
      <c r="AE8" s="229">
        <v>3416.5700000000006</v>
      </c>
      <c r="AJ8" s="229">
        <v>5217.297500000001</v>
      </c>
      <c r="AK8" s="229">
        <v>5676.575</v>
      </c>
      <c r="AM8" s="229">
        <v>4368.817499999999</v>
      </c>
      <c r="AN8" s="229">
        <v>3416.5700000000006</v>
      </c>
    </row>
    <row r="9" ht="15.75" customHeight="1">
      <c r="A9" s="61">
        <v>5323.65</v>
      </c>
      <c r="B9" s="61">
        <f t="shared" ref="B9:B10" si="2">AVERAGE(F9,F16,F23,F30,F37)</f>
        <v>3791.57</v>
      </c>
      <c r="C9" s="207">
        <v>45901.0</v>
      </c>
      <c r="D9" s="208" t="str">
        <f t="shared" ref="D9:D38" si="3">TEXT(C9,"ddd")</f>
        <v>seg.</v>
      </c>
      <c r="E9" s="209">
        <v>5500.0</v>
      </c>
      <c r="F9" s="209">
        <v>5237.5</v>
      </c>
      <c r="G9" s="51">
        <f t="shared" ref="G9:G39" si="4">F9-E9</f>
        <v>-262.5</v>
      </c>
      <c r="H9" s="210">
        <v>0.0</v>
      </c>
      <c r="I9" s="211">
        <f t="shared" ref="I9:I39" si="5">IF(H9=0,0,F9/H9)</f>
        <v>0</v>
      </c>
      <c r="J9" s="57"/>
      <c r="K9" s="57"/>
      <c r="L9" s="57"/>
      <c r="M9" s="57">
        <f t="shared" ref="M9:M39" si="6">J9+K9+L9</f>
        <v>0</v>
      </c>
      <c r="N9" s="212">
        <f t="shared" ref="N9:O9" si="1">C9</f>
        <v>45901</v>
      </c>
      <c r="O9" s="204" t="str">
        <f t="shared" si="1"/>
        <v>seg.</v>
      </c>
      <c r="P9" s="213">
        <v>4500.0</v>
      </c>
      <c r="Q9" s="213">
        <v>6341.599999999999</v>
      </c>
      <c r="R9" s="51">
        <f t="shared" ref="R9:R39" si="8">Q9-P9</f>
        <v>1841.6</v>
      </c>
      <c r="S9" s="214">
        <v>0.0</v>
      </c>
      <c r="T9" s="211">
        <f t="shared" ref="T9:T39" si="9">IF(S9=0,0,Q9/S9)</f>
        <v>0</v>
      </c>
      <c r="U9" s="214">
        <v>0.0</v>
      </c>
      <c r="V9" s="214">
        <v>0.0</v>
      </c>
      <c r="W9" s="214">
        <v>0.0</v>
      </c>
      <c r="X9" s="57">
        <f t="shared" ref="X9:X39" si="10">U9+V9+W9</f>
        <v>0</v>
      </c>
      <c r="AA9" s="229">
        <v>4712.1625</v>
      </c>
      <c r="AB9" s="229">
        <v>6934.362499999999</v>
      </c>
      <c r="AD9" s="229">
        <v>4588.5925</v>
      </c>
      <c r="AE9" s="229">
        <v>5175.125</v>
      </c>
      <c r="AJ9" s="229">
        <v>4712.1625</v>
      </c>
      <c r="AK9" s="229">
        <v>6934.362499999999</v>
      </c>
      <c r="AM9" s="229">
        <v>4588.5925</v>
      </c>
      <c r="AN9" s="229">
        <v>5175.125</v>
      </c>
    </row>
    <row r="10" ht="15.75" customHeight="1">
      <c r="A10" s="61">
        <v>8150.3325</v>
      </c>
      <c r="B10" s="61">
        <f t="shared" si="2"/>
        <v>5346.46</v>
      </c>
      <c r="C10" s="207">
        <v>45902.0</v>
      </c>
      <c r="D10" s="208" t="str">
        <f t="shared" si="3"/>
        <v>ter.</v>
      </c>
      <c r="E10" s="209">
        <v>8000.0</v>
      </c>
      <c r="F10" s="209">
        <v>6077.8</v>
      </c>
      <c r="G10" s="51">
        <f t="shared" si="4"/>
        <v>-1922.2</v>
      </c>
      <c r="H10" s="210">
        <v>0.0</v>
      </c>
      <c r="I10" s="211">
        <f t="shared" si="5"/>
        <v>0</v>
      </c>
      <c r="J10" s="57"/>
      <c r="K10" s="57"/>
      <c r="L10" s="57"/>
      <c r="M10" s="57">
        <f t="shared" si="6"/>
        <v>0</v>
      </c>
      <c r="N10" s="212">
        <f t="shared" ref="N10:O10" si="7">C10</f>
        <v>45902</v>
      </c>
      <c r="O10" s="204" t="str">
        <f t="shared" si="7"/>
        <v>ter.</v>
      </c>
      <c r="P10" s="213">
        <v>5500.0</v>
      </c>
      <c r="Q10" s="213">
        <v>5450.54</v>
      </c>
      <c r="R10" s="51">
        <f t="shared" si="8"/>
        <v>-49.46</v>
      </c>
      <c r="S10" s="214">
        <v>0.0</v>
      </c>
      <c r="T10" s="211">
        <f t="shared" si="9"/>
        <v>0</v>
      </c>
      <c r="U10" s="214">
        <v>0.0</v>
      </c>
      <c r="V10" s="214">
        <v>0.0</v>
      </c>
      <c r="W10" s="214">
        <v>0.0</v>
      </c>
      <c r="X10" s="57">
        <f t="shared" si="10"/>
        <v>0</v>
      </c>
      <c r="AA10" s="229">
        <v>7324.556</v>
      </c>
      <c r="AB10" s="229">
        <v>7458.387500000001</v>
      </c>
      <c r="AD10" s="229">
        <v>5034.896</v>
      </c>
      <c r="AE10" s="229">
        <v>7111.18</v>
      </c>
      <c r="AJ10" s="229">
        <v>7324.556</v>
      </c>
      <c r="AK10" s="229">
        <v>7458.387500000001</v>
      </c>
      <c r="AM10" s="229">
        <v>5034.896</v>
      </c>
      <c r="AN10" s="229">
        <v>7111.18</v>
      </c>
    </row>
    <row r="11" ht="15.75" customHeight="1">
      <c r="A11" s="61">
        <v>6078.475</v>
      </c>
      <c r="B11" s="61">
        <f t="shared" ref="B11:B15" si="12">AVERAGE(F11,F18,F25,F32)</f>
        <v>9829.02</v>
      </c>
      <c r="C11" s="207">
        <v>45903.0</v>
      </c>
      <c r="D11" s="208" t="str">
        <f t="shared" si="3"/>
        <v>qua.</v>
      </c>
      <c r="E11" s="209">
        <v>7000.0</v>
      </c>
      <c r="F11" s="209">
        <v>6224.45</v>
      </c>
      <c r="G11" s="51">
        <f t="shared" si="4"/>
        <v>-775.55</v>
      </c>
      <c r="H11" s="210">
        <v>0.0</v>
      </c>
      <c r="I11" s="211">
        <f t="shared" si="5"/>
        <v>0</v>
      </c>
      <c r="J11" s="57"/>
      <c r="K11" s="57"/>
      <c r="L11" s="57"/>
      <c r="M11" s="57">
        <f t="shared" si="6"/>
        <v>0</v>
      </c>
      <c r="N11" s="212">
        <f t="shared" ref="N11:O11" si="11">C11</f>
        <v>45903</v>
      </c>
      <c r="O11" s="204" t="str">
        <f t="shared" si="11"/>
        <v>qua.</v>
      </c>
      <c r="P11" s="213">
        <v>6500.0</v>
      </c>
      <c r="Q11" s="213">
        <v>5250.2699999999995</v>
      </c>
      <c r="R11" s="51">
        <f t="shared" si="8"/>
        <v>-1249.73</v>
      </c>
      <c r="S11" s="214">
        <v>0.0</v>
      </c>
      <c r="T11" s="211">
        <f t="shared" si="9"/>
        <v>0</v>
      </c>
      <c r="U11" s="214">
        <v>0.0</v>
      </c>
      <c r="V11" s="214">
        <v>0.0</v>
      </c>
      <c r="W11" s="214">
        <v>0.0</v>
      </c>
      <c r="X11" s="57">
        <f t="shared" si="10"/>
        <v>0</v>
      </c>
      <c r="AA11" s="229">
        <v>13353.779999999999</v>
      </c>
      <c r="AB11" s="229">
        <v>11258.9</v>
      </c>
      <c r="AD11" s="229">
        <v>9889.944</v>
      </c>
      <c r="AE11" s="229">
        <v>9871.1025</v>
      </c>
      <c r="AJ11" s="229">
        <v>13353.779999999999</v>
      </c>
      <c r="AK11" s="229">
        <v>11258.9</v>
      </c>
      <c r="AM11" s="229">
        <v>9889.944</v>
      </c>
      <c r="AN11" s="229">
        <v>9871.1025</v>
      </c>
    </row>
    <row r="12" ht="15.75" customHeight="1">
      <c r="A12" s="61">
        <v>7703.532499999999</v>
      </c>
      <c r="B12" s="61">
        <f t="shared" si="12"/>
        <v>7625.2075</v>
      </c>
      <c r="C12" s="207">
        <v>45904.0</v>
      </c>
      <c r="D12" s="208" t="str">
        <f t="shared" si="3"/>
        <v>qui.</v>
      </c>
      <c r="E12" s="209">
        <v>8000.0</v>
      </c>
      <c r="F12" s="209">
        <v>9940.25</v>
      </c>
      <c r="G12" s="51">
        <f t="shared" si="4"/>
        <v>1940.25</v>
      </c>
      <c r="H12" s="210">
        <v>0.0</v>
      </c>
      <c r="I12" s="211">
        <f t="shared" si="5"/>
        <v>0</v>
      </c>
      <c r="J12" s="57"/>
      <c r="K12" s="57"/>
      <c r="L12" s="57"/>
      <c r="M12" s="57">
        <f t="shared" si="6"/>
        <v>0</v>
      </c>
      <c r="N12" s="212">
        <f t="shared" ref="N12:O12" si="13">C12</f>
        <v>45904</v>
      </c>
      <c r="O12" s="204" t="str">
        <f t="shared" si="13"/>
        <v>qui.</v>
      </c>
      <c r="P12" s="213">
        <v>6500.0</v>
      </c>
      <c r="Q12" s="213">
        <v>11947.449999999999</v>
      </c>
      <c r="R12" s="51">
        <f t="shared" si="8"/>
        <v>5447.45</v>
      </c>
      <c r="S12" s="214">
        <v>0.0</v>
      </c>
      <c r="T12" s="211">
        <f t="shared" si="9"/>
        <v>0</v>
      </c>
      <c r="U12" s="214">
        <v>0.0</v>
      </c>
      <c r="V12" s="214">
        <v>0.0</v>
      </c>
      <c r="W12" s="214">
        <v>0.0</v>
      </c>
      <c r="X12" s="57">
        <f t="shared" si="10"/>
        <v>0</v>
      </c>
      <c r="AA12" s="229">
        <v>15854.13</v>
      </c>
      <c r="AB12" s="229">
        <v>18225.075</v>
      </c>
      <c r="AD12" s="229">
        <v>15058.432</v>
      </c>
      <c r="AE12" s="229">
        <v>12109.160000000002</v>
      </c>
      <c r="AJ12" s="229">
        <v>15854.13</v>
      </c>
      <c r="AK12" s="229">
        <v>18225.075</v>
      </c>
      <c r="AM12" s="229">
        <v>15058.432</v>
      </c>
      <c r="AN12" s="229">
        <v>12109.160000000002</v>
      </c>
    </row>
    <row r="13" ht="15.75" customHeight="1">
      <c r="A13" s="61">
        <v>13200.011999999999</v>
      </c>
      <c r="B13" s="61">
        <f t="shared" si="12"/>
        <v>13075.0525</v>
      </c>
      <c r="C13" s="207">
        <v>45905.0</v>
      </c>
      <c r="D13" s="208" t="str">
        <f t="shared" si="3"/>
        <v>sex.</v>
      </c>
      <c r="E13" s="209">
        <v>14000.0</v>
      </c>
      <c r="F13" s="209">
        <v>17024.45</v>
      </c>
      <c r="G13" s="51">
        <f t="shared" si="4"/>
        <v>3024.45</v>
      </c>
      <c r="H13" s="210">
        <v>0.0</v>
      </c>
      <c r="I13" s="211">
        <f t="shared" si="5"/>
        <v>0</v>
      </c>
      <c r="J13" s="57"/>
      <c r="K13" s="57"/>
      <c r="L13" s="57"/>
      <c r="M13" s="57">
        <f t="shared" si="6"/>
        <v>0</v>
      </c>
      <c r="N13" s="212">
        <f t="shared" ref="N13:O13" si="14">C13</f>
        <v>45905</v>
      </c>
      <c r="O13" s="204" t="str">
        <f t="shared" si="14"/>
        <v>sex.</v>
      </c>
      <c r="P13" s="213">
        <v>14500.0</v>
      </c>
      <c r="Q13" s="213">
        <v>14038.509999999998</v>
      </c>
      <c r="R13" s="51">
        <f t="shared" si="8"/>
        <v>-461.49</v>
      </c>
      <c r="S13" s="214">
        <v>0.0</v>
      </c>
      <c r="T13" s="211">
        <f t="shared" si="9"/>
        <v>0</v>
      </c>
      <c r="U13" s="214">
        <v>0.0</v>
      </c>
      <c r="V13" s="214">
        <v>0.0</v>
      </c>
      <c r="W13" s="214">
        <v>0.0</v>
      </c>
      <c r="X13" s="57">
        <f t="shared" si="10"/>
        <v>0</v>
      </c>
      <c r="AA13" s="229">
        <v>21108.3425</v>
      </c>
      <c r="AB13" s="229">
        <v>17940.21</v>
      </c>
      <c r="AD13" s="229">
        <v>21270.6625</v>
      </c>
      <c r="AE13" s="229">
        <v>20740.381999999998</v>
      </c>
      <c r="AJ13" s="229">
        <v>21108.3425</v>
      </c>
      <c r="AK13" s="229">
        <v>17940.21</v>
      </c>
      <c r="AM13" s="229">
        <v>21270.6625</v>
      </c>
      <c r="AN13" s="229">
        <v>20740.381999999998</v>
      </c>
    </row>
    <row r="14" ht="15.75" customHeight="1">
      <c r="A14" s="61">
        <v>18032.356</v>
      </c>
      <c r="B14" s="61">
        <f t="shared" si="12"/>
        <v>19634.52</v>
      </c>
      <c r="C14" s="207">
        <v>45906.0</v>
      </c>
      <c r="D14" s="208" t="str">
        <f t="shared" si="3"/>
        <v>sáb.</v>
      </c>
      <c r="E14" s="209">
        <v>20000.0</v>
      </c>
      <c r="F14" s="209">
        <v>19588.51</v>
      </c>
      <c r="G14" s="51">
        <f t="shared" si="4"/>
        <v>-411.49</v>
      </c>
      <c r="H14" s="210">
        <v>0.0</v>
      </c>
      <c r="I14" s="211">
        <f t="shared" si="5"/>
        <v>0</v>
      </c>
      <c r="J14" s="57"/>
      <c r="K14" s="57"/>
      <c r="L14" s="57"/>
      <c r="M14" s="57">
        <f t="shared" si="6"/>
        <v>0</v>
      </c>
      <c r="N14" s="212">
        <f t="shared" ref="N14:O14" si="15">C14</f>
        <v>45906</v>
      </c>
      <c r="O14" s="204" t="str">
        <f t="shared" si="15"/>
        <v>sáb.</v>
      </c>
      <c r="P14" s="213">
        <v>17000.0</v>
      </c>
      <c r="Q14" s="213">
        <v>11931.23</v>
      </c>
      <c r="R14" s="51">
        <f t="shared" si="8"/>
        <v>-5068.77</v>
      </c>
      <c r="S14" s="214">
        <v>0.0</v>
      </c>
      <c r="T14" s="211">
        <f t="shared" si="9"/>
        <v>0</v>
      </c>
      <c r="U14" s="214">
        <v>0.0</v>
      </c>
      <c r="V14" s="214">
        <v>0.0</v>
      </c>
      <c r="W14" s="214">
        <v>0.0</v>
      </c>
      <c r="X14" s="57">
        <f t="shared" si="10"/>
        <v>0</v>
      </c>
      <c r="AA14" s="167">
        <f t="shared" ref="AA14:AB14" si="16">SUM(AA7:AA13)</f>
        <v>73493.656</v>
      </c>
      <c r="AB14" s="167">
        <f t="shared" si="16"/>
        <v>72015.132</v>
      </c>
      <c r="AC14" s="66">
        <f>AB14/AA14-1</f>
        <v>-0.02011770921</v>
      </c>
      <c r="AD14" s="167">
        <f t="shared" ref="AD14:AE14" si="17">SUM(AD7:AD13)</f>
        <v>63600.617</v>
      </c>
      <c r="AE14" s="167">
        <f t="shared" si="17"/>
        <v>61752.5715</v>
      </c>
      <c r="AF14" s="66">
        <f>AE14/AD14-1</f>
        <v>-0.02905703729</v>
      </c>
      <c r="AJ14" s="167">
        <f t="shared" ref="AJ14:AK14" si="18">SUM(AJ7:AJ13)</f>
        <v>73493.656</v>
      </c>
      <c r="AK14" s="167">
        <f t="shared" si="18"/>
        <v>72015.132</v>
      </c>
      <c r="AL14" s="66">
        <f>AK14/AJ14-1</f>
        <v>-0.02011770921</v>
      </c>
      <c r="AM14" s="167">
        <f t="shared" ref="AM14:AN14" si="19">SUM(AM7:AM13)</f>
        <v>63600.617</v>
      </c>
      <c r="AN14" s="167">
        <f t="shared" si="19"/>
        <v>61752.5715</v>
      </c>
      <c r="AO14" s="66">
        <f>AN14/AM14-1</f>
        <v>-0.02905703729</v>
      </c>
    </row>
    <row r="15" ht="15.75" customHeight="1">
      <c r="A15" s="61">
        <v>22191.438000000002</v>
      </c>
      <c r="B15" s="61">
        <f t="shared" si="12"/>
        <v>17751.7625</v>
      </c>
      <c r="C15" s="207">
        <v>45907.0</v>
      </c>
      <c r="D15" s="208" t="str">
        <f t="shared" si="3"/>
        <v>dom.</v>
      </c>
      <c r="E15" s="209">
        <v>23000.0</v>
      </c>
      <c r="F15" s="209">
        <v>19147.5</v>
      </c>
      <c r="G15" s="51">
        <f t="shared" si="4"/>
        <v>-3852.5</v>
      </c>
      <c r="H15" s="210">
        <v>0.0</v>
      </c>
      <c r="I15" s="211">
        <f t="shared" si="5"/>
        <v>0</v>
      </c>
      <c r="J15" s="57"/>
      <c r="K15" s="57"/>
      <c r="L15" s="57"/>
      <c r="M15" s="57">
        <f t="shared" si="6"/>
        <v>0</v>
      </c>
      <c r="N15" s="212">
        <f t="shared" ref="N15:O15" si="20">C15</f>
        <v>45907</v>
      </c>
      <c r="O15" s="204" t="str">
        <f t="shared" si="20"/>
        <v>dom.</v>
      </c>
      <c r="P15" s="213">
        <v>23000.0</v>
      </c>
      <c r="Q15" s="213">
        <v>19032.829999999998</v>
      </c>
      <c r="R15" s="51">
        <f t="shared" si="8"/>
        <v>-3967.17</v>
      </c>
      <c r="S15" s="214">
        <v>0.0</v>
      </c>
      <c r="T15" s="211">
        <f t="shared" si="9"/>
        <v>0</v>
      </c>
      <c r="U15" s="214">
        <v>0.0</v>
      </c>
      <c r="V15" s="214">
        <v>0.0</v>
      </c>
      <c r="W15" s="214">
        <v>0.0</v>
      </c>
      <c r="X15" s="57">
        <f t="shared" si="10"/>
        <v>0</v>
      </c>
    </row>
    <row r="16" ht="15.75" customHeight="1">
      <c r="A16" s="167">
        <f>SUM(A9:A15)</f>
        <v>80679.796</v>
      </c>
      <c r="B16" s="61"/>
      <c r="C16" s="207">
        <v>45908.0</v>
      </c>
      <c r="D16" s="208" t="str">
        <f t="shared" si="3"/>
        <v>seg.</v>
      </c>
      <c r="E16" s="209">
        <v>5500.0</v>
      </c>
      <c r="F16" s="209">
        <v>4169.35</v>
      </c>
      <c r="G16" s="51">
        <f t="shared" si="4"/>
        <v>-1330.65</v>
      </c>
      <c r="H16" s="210">
        <v>0.0</v>
      </c>
      <c r="I16" s="211">
        <f t="shared" si="5"/>
        <v>0</v>
      </c>
      <c r="J16" s="57"/>
      <c r="K16" s="57"/>
      <c r="L16" s="57"/>
      <c r="M16" s="57">
        <f t="shared" si="6"/>
        <v>0</v>
      </c>
      <c r="N16" s="212">
        <f t="shared" ref="N16:O16" si="21">C16</f>
        <v>45908</v>
      </c>
      <c r="O16" s="204" t="str">
        <f t="shared" si="21"/>
        <v>seg.</v>
      </c>
      <c r="P16" s="213">
        <v>4500.0</v>
      </c>
      <c r="Q16" s="213">
        <v>3662.19</v>
      </c>
      <c r="R16" s="51">
        <f t="shared" si="8"/>
        <v>-837.81</v>
      </c>
      <c r="S16" s="214">
        <v>0.0</v>
      </c>
      <c r="T16" s="211">
        <f t="shared" si="9"/>
        <v>0</v>
      </c>
      <c r="U16" s="214">
        <v>0.0</v>
      </c>
      <c r="V16" s="214">
        <v>0.0</v>
      </c>
      <c r="W16" s="214">
        <v>0.0</v>
      </c>
      <c r="X16" s="57">
        <f t="shared" si="10"/>
        <v>0</v>
      </c>
      <c r="AJ16" s="46" t="s">
        <v>207</v>
      </c>
      <c r="AK16" s="6"/>
      <c r="AM16" s="46" t="s">
        <v>208</v>
      </c>
      <c r="AN16" s="6"/>
    </row>
    <row r="17" ht="15.75" customHeight="1">
      <c r="B17" s="61"/>
      <c r="C17" s="207">
        <v>45909.0</v>
      </c>
      <c r="D17" s="208" t="str">
        <f t="shared" si="3"/>
        <v>ter.</v>
      </c>
      <c r="E17" s="209">
        <v>8000.0</v>
      </c>
      <c r="F17" s="209">
        <v>7589.05</v>
      </c>
      <c r="G17" s="51">
        <f t="shared" si="4"/>
        <v>-410.95</v>
      </c>
      <c r="H17" s="210">
        <v>0.0</v>
      </c>
      <c r="I17" s="211">
        <f t="shared" si="5"/>
        <v>0</v>
      </c>
      <c r="J17" s="57"/>
      <c r="K17" s="57"/>
      <c r="L17" s="57"/>
      <c r="M17" s="57">
        <f t="shared" si="6"/>
        <v>0</v>
      </c>
      <c r="N17" s="212">
        <f t="shared" ref="N17:O17" si="22">C17</f>
        <v>45909</v>
      </c>
      <c r="O17" s="204" t="str">
        <f t="shared" si="22"/>
        <v>ter.</v>
      </c>
      <c r="P17" s="213">
        <v>5500.0</v>
      </c>
      <c r="Q17" s="213">
        <v>5752.25</v>
      </c>
      <c r="R17" s="51">
        <f t="shared" si="8"/>
        <v>252.25</v>
      </c>
      <c r="S17" s="214">
        <v>0.0</v>
      </c>
      <c r="T17" s="211">
        <f t="shared" si="9"/>
        <v>0</v>
      </c>
      <c r="U17" s="214">
        <v>0.0</v>
      </c>
      <c r="V17" s="214">
        <v>0.0</v>
      </c>
      <c r="W17" s="214">
        <v>0.0</v>
      </c>
      <c r="X17" s="57">
        <f t="shared" si="10"/>
        <v>0</v>
      </c>
      <c r="AB17" s="70"/>
      <c r="AC17" s="71" t="s">
        <v>52</v>
      </c>
      <c r="AD17" s="72"/>
      <c r="AE17" s="73" t="s">
        <v>53</v>
      </c>
      <c r="AJ17" s="261">
        <v>45505.0</v>
      </c>
      <c r="AK17" s="261">
        <v>45536.0</v>
      </c>
      <c r="AM17" s="261">
        <v>45505.0</v>
      </c>
      <c r="AN17" s="261">
        <v>45536.0</v>
      </c>
    </row>
    <row r="18" ht="15.75" customHeight="1">
      <c r="A18" s="175">
        <v>45870.0</v>
      </c>
      <c r="B18" s="61"/>
      <c r="C18" s="207">
        <v>45910.0</v>
      </c>
      <c r="D18" s="208" t="str">
        <f t="shared" si="3"/>
        <v>qua.</v>
      </c>
      <c r="E18" s="209">
        <v>7000.0</v>
      </c>
      <c r="F18" s="209">
        <v>8475.8</v>
      </c>
      <c r="G18" s="51">
        <f t="shared" si="4"/>
        <v>1475.8</v>
      </c>
      <c r="H18" s="210">
        <v>0.0</v>
      </c>
      <c r="I18" s="211">
        <f t="shared" si="5"/>
        <v>0</v>
      </c>
      <c r="J18" s="57"/>
      <c r="K18" s="57"/>
      <c r="L18" s="57"/>
      <c r="M18" s="57">
        <f t="shared" si="6"/>
        <v>0</v>
      </c>
      <c r="N18" s="212">
        <f t="shared" ref="N18:O18" si="23">C18</f>
        <v>45910</v>
      </c>
      <c r="O18" s="204" t="str">
        <f t="shared" si="23"/>
        <v>qua.</v>
      </c>
      <c r="P18" s="213">
        <v>6500.0</v>
      </c>
      <c r="Q18" s="213">
        <v>4194.53</v>
      </c>
      <c r="R18" s="51">
        <f t="shared" si="8"/>
        <v>-2305.47</v>
      </c>
      <c r="S18" s="214">
        <v>0.0</v>
      </c>
      <c r="T18" s="211">
        <f t="shared" si="9"/>
        <v>0</v>
      </c>
      <c r="U18" s="214">
        <v>0.0</v>
      </c>
      <c r="V18" s="214">
        <v>0.0</v>
      </c>
      <c r="W18" s="214">
        <v>0.0</v>
      </c>
      <c r="X18" s="57">
        <f t="shared" si="10"/>
        <v>0</v>
      </c>
      <c r="AB18" s="74" t="s">
        <v>29</v>
      </c>
      <c r="AC18" s="75">
        <v>355000.0</v>
      </c>
      <c r="AD18" s="2" t="s">
        <v>29</v>
      </c>
      <c r="AE18" s="76">
        <v>320000.0</v>
      </c>
      <c r="AI18" s="58" t="s">
        <v>45</v>
      </c>
      <c r="AJ18" s="229">
        <v>5923.387500000001</v>
      </c>
      <c r="AK18" s="229">
        <v>4521.622</v>
      </c>
      <c r="AM18" s="229">
        <v>3389.2725</v>
      </c>
      <c r="AN18" s="229">
        <v>3329.052</v>
      </c>
    </row>
    <row r="19" ht="15.75" customHeight="1">
      <c r="A19" s="61">
        <v>3843.7325</v>
      </c>
      <c r="B19" s="61"/>
      <c r="C19" s="207">
        <v>45911.0</v>
      </c>
      <c r="D19" s="208" t="str">
        <f t="shared" si="3"/>
        <v>qui.</v>
      </c>
      <c r="E19" s="209">
        <v>8000.0</v>
      </c>
      <c r="F19" s="209">
        <v>9203.95</v>
      </c>
      <c r="G19" s="51">
        <f t="shared" si="4"/>
        <v>1203.95</v>
      </c>
      <c r="H19" s="210">
        <v>0.0</v>
      </c>
      <c r="I19" s="211">
        <f t="shared" si="5"/>
        <v>0</v>
      </c>
      <c r="J19" s="57"/>
      <c r="K19" s="57"/>
      <c r="L19" s="57"/>
      <c r="M19" s="57">
        <f t="shared" si="6"/>
        <v>0</v>
      </c>
      <c r="N19" s="212">
        <f t="shared" ref="N19:O19" si="24">C19</f>
        <v>45911</v>
      </c>
      <c r="O19" s="204" t="str">
        <f t="shared" si="24"/>
        <v>qui.</v>
      </c>
      <c r="P19" s="213">
        <v>6500.0</v>
      </c>
      <c r="Q19" s="213">
        <v>5450.75</v>
      </c>
      <c r="R19" s="51">
        <f t="shared" si="8"/>
        <v>-1049.25</v>
      </c>
      <c r="S19" s="214">
        <v>0.0</v>
      </c>
      <c r="T19" s="211">
        <f t="shared" si="9"/>
        <v>0</v>
      </c>
      <c r="U19" s="214">
        <v>0.0</v>
      </c>
      <c r="V19" s="214">
        <v>0.0</v>
      </c>
      <c r="W19" s="214">
        <v>0.0</v>
      </c>
      <c r="X19" s="57">
        <f t="shared" si="10"/>
        <v>0</v>
      </c>
      <c r="AB19" s="74"/>
      <c r="AC19" s="2"/>
      <c r="AD19" s="2"/>
      <c r="AE19" s="77"/>
      <c r="AJ19" s="229">
        <v>5217.297500000001</v>
      </c>
      <c r="AK19" s="229">
        <v>5676.575</v>
      </c>
      <c r="AM19" s="229">
        <v>4368.817499999999</v>
      </c>
      <c r="AN19" s="229">
        <v>3416.5700000000006</v>
      </c>
    </row>
    <row r="20" ht="15.75" customHeight="1">
      <c r="A20" s="61">
        <v>4637.2225</v>
      </c>
      <c r="B20" s="61"/>
      <c r="C20" s="207">
        <v>45912.0</v>
      </c>
      <c r="D20" s="208" t="str">
        <f t="shared" si="3"/>
        <v>sex.</v>
      </c>
      <c r="E20" s="209">
        <v>14000.0</v>
      </c>
      <c r="F20" s="209">
        <v>10138.58</v>
      </c>
      <c r="G20" s="51">
        <f t="shared" si="4"/>
        <v>-3861.42</v>
      </c>
      <c r="H20" s="210">
        <v>0.0</v>
      </c>
      <c r="I20" s="211">
        <f t="shared" si="5"/>
        <v>0</v>
      </c>
      <c r="J20" s="57"/>
      <c r="K20" s="57"/>
      <c r="L20" s="57"/>
      <c r="M20" s="57">
        <f t="shared" si="6"/>
        <v>0</v>
      </c>
      <c r="N20" s="212">
        <f t="shared" ref="N20:O20" si="25">C20</f>
        <v>45912</v>
      </c>
      <c r="O20" s="204" t="str">
        <f t="shared" si="25"/>
        <v>sex.</v>
      </c>
      <c r="P20" s="213">
        <v>14500.0</v>
      </c>
      <c r="Q20" s="213">
        <v>9161.43</v>
      </c>
      <c r="R20" s="51">
        <f t="shared" si="8"/>
        <v>-5338.57</v>
      </c>
      <c r="S20" s="214">
        <v>0.0</v>
      </c>
      <c r="T20" s="211">
        <f t="shared" si="9"/>
        <v>0</v>
      </c>
      <c r="U20" s="214">
        <v>0.0</v>
      </c>
      <c r="V20" s="214">
        <v>0.0</v>
      </c>
      <c r="W20" s="214">
        <v>0.0</v>
      </c>
      <c r="X20" s="57">
        <f t="shared" si="10"/>
        <v>0</v>
      </c>
      <c r="AB20" s="74" t="s">
        <v>58</v>
      </c>
      <c r="AC20" s="75">
        <f>SUM(Q9:Q15)</f>
        <v>73992.43</v>
      </c>
      <c r="AD20" s="58" t="s">
        <v>58</v>
      </c>
      <c r="AE20" s="76">
        <f>SUM(W9:W15)</f>
        <v>0</v>
      </c>
      <c r="AJ20" s="229">
        <v>4712.1625</v>
      </c>
      <c r="AK20" s="229">
        <v>6934.362499999999</v>
      </c>
      <c r="AM20" s="229">
        <v>4588.5925</v>
      </c>
      <c r="AN20" s="229">
        <v>5175.125</v>
      </c>
    </row>
    <row r="21" ht="15.75" customHeight="1">
      <c r="A21" s="61">
        <v>5855.96</v>
      </c>
      <c r="B21" s="61"/>
      <c r="C21" s="207">
        <v>45913.0</v>
      </c>
      <c r="D21" s="208" t="str">
        <f t="shared" si="3"/>
        <v>sáb.</v>
      </c>
      <c r="E21" s="209">
        <v>20000.0</v>
      </c>
      <c r="F21" s="209">
        <v>17461.55</v>
      </c>
      <c r="G21" s="51">
        <f t="shared" si="4"/>
        <v>-2538.45</v>
      </c>
      <c r="H21" s="210">
        <v>0.0</v>
      </c>
      <c r="I21" s="211">
        <f t="shared" si="5"/>
        <v>0</v>
      </c>
      <c r="J21" s="57"/>
      <c r="K21" s="57"/>
      <c r="L21" s="57"/>
      <c r="M21" s="57">
        <f t="shared" si="6"/>
        <v>0</v>
      </c>
      <c r="N21" s="212">
        <f t="shared" ref="N21:O21" si="26">C21</f>
        <v>45913</v>
      </c>
      <c r="O21" s="204" t="str">
        <f t="shared" si="26"/>
        <v>sáb.</v>
      </c>
      <c r="P21" s="213">
        <v>17000.0</v>
      </c>
      <c r="Q21" s="213">
        <v>14505.09</v>
      </c>
      <c r="R21" s="51">
        <f t="shared" si="8"/>
        <v>-2494.91</v>
      </c>
      <c r="S21" s="214">
        <v>0.0</v>
      </c>
      <c r="T21" s="211">
        <f t="shared" si="9"/>
        <v>0</v>
      </c>
      <c r="U21" s="214">
        <v>0.0</v>
      </c>
      <c r="V21" s="214">
        <v>0.0</v>
      </c>
      <c r="W21" s="214">
        <v>0.0</v>
      </c>
      <c r="X21" s="57">
        <f t="shared" si="10"/>
        <v>0</v>
      </c>
      <c r="AB21" s="74"/>
      <c r="AC21" s="79">
        <f>AC20/AC18</f>
        <v>0.2084293803</v>
      </c>
      <c r="AE21" s="80">
        <f>AE20/AE18</f>
        <v>0</v>
      </c>
      <c r="AF21" s="66"/>
      <c r="AJ21" s="229">
        <v>7324.556</v>
      </c>
      <c r="AK21" s="229">
        <v>7458.387500000001</v>
      </c>
      <c r="AM21" s="229">
        <v>5034.896</v>
      </c>
      <c r="AN21" s="229">
        <v>7111.18</v>
      </c>
    </row>
    <row r="22" ht="15.75" customHeight="1">
      <c r="A22" s="61">
        <v>5742.765000000001</v>
      </c>
      <c r="B22" s="61"/>
      <c r="C22" s="207">
        <v>45914.0</v>
      </c>
      <c r="D22" s="208" t="str">
        <f t="shared" si="3"/>
        <v>dom.</v>
      </c>
      <c r="E22" s="209">
        <v>23000.0</v>
      </c>
      <c r="F22" s="209">
        <v>19296.75</v>
      </c>
      <c r="G22" s="51">
        <f t="shared" si="4"/>
        <v>-3703.25</v>
      </c>
      <c r="H22" s="210">
        <v>0.0</v>
      </c>
      <c r="I22" s="211">
        <f t="shared" si="5"/>
        <v>0</v>
      </c>
      <c r="J22" s="57"/>
      <c r="K22" s="57"/>
      <c r="L22" s="57"/>
      <c r="M22" s="57">
        <f t="shared" si="6"/>
        <v>0</v>
      </c>
      <c r="N22" s="212">
        <f t="shared" ref="N22:O22" si="27">C22</f>
        <v>45914</v>
      </c>
      <c r="O22" s="204" t="str">
        <f t="shared" si="27"/>
        <v>dom.</v>
      </c>
      <c r="P22" s="213">
        <v>23000.0</v>
      </c>
      <c r="Q22" s="213">
        <v>19739.21</v>
      </c>
      <c r="R22" s="51">
        <f t="shared" si="8"/>
        <v>-3260.79</v>
      </c>
      <c r="S22" s="214">
        <v>0.0</v>
      </c>
      <c r="T22" s="211">
        <f t="shared" si="9"/>
        <v>0</v>
      </c>
      <c r="U22" s="214">
        <v>0.0</v>
      </c>
      <c r="V22" s="214">
        <v>0.0</v>
      </c>
      <c r="W22" s="214">
        <v>0.0</v>
      </c>
      <c r="X22" s="57">
        <f t="shared" si="10"/>
        <v>0</v>
      </c>
      <c r="AB22" s="74"/>
      <c r="AC22" s="81"/>
      <c r="AE22" s="77"/>
      <c r="AJ22" s="229">
        <v>13353.779999999999</v>
      </c>
      <c r="AK22" s="229">
        <v>11258.9</v>
      </c>
      <c r="AM22" s="229">
        <v>9889.944</v>
      </c>
      <c r="AN22" s="229">
        <v>9871.1025</v>
      </c>
    </row>
    <row r="23" ht="15.75" customHeight="1">
      <c r="A23" s="61">
        <v>13629.676000000001</v>
      </c>
      <c r="B23" s="61"/>
      <c r="C23" s="207">
        <v>45915.0</v>
      </c>
      <c r="D23" s="208" t="str">
        <f t="shared" si="3"/>
        <v>seg.</v>
      </c>
      <c r="E23" s="209">
        <v>5500.0</v>
      </c>
      <c r="F23" s="209">
        <v>3244.25</v>
      </c>
      <c r="G23" s="51">
        <f t="shared" si="4"/>
        <v>-2255.75</v>
      </c>
      <c r="H23" s="210">
        <v>0.0</v>
      </c>
      <c r="I23" s="211">
        <f t="shared" si="5"/>
        <v>0</v>
      </c>
      <c r="J23" s="57"/>
      <c r="K23" s="57"/>
      <c r="L23" s="57"/>
      <c r="M23" s="57">
        <f t="shared" si="6"/>
        <v>0</v>
      </c>
      <c r="N23" s="212">
        <f t="shared" ref="N23:O23" si="28">C23</f>
        <v>45915</v>
      </c>
      <c r="O23" s="204" t="str">
        <f t="shared" si="28"/>
        <v>seg.</v>
      </c>
      <c r="P23" s="213">
        <v>4500.0</v>
      </c>
      <c r="Q23" s="213">
        <v>4676.8</v>
      </c>
      <c r="R23" s="51">
        <f t="shared" si="8"/>
        <v>176.8</v>
      </c>
      <c r="S23" s="214">
        <v>0.0</v>
      </c>
      <c r="T23" s="211">
        <f t="shared" si="9"/>
        <v>0</v>
      </c>
      <c r="U23" s="214">
        <v>0.0</v>
      </c>
      <c r="V23" s="214">
        <v>0.0</v>
      </c>
      <c r="W23" s="214">
        <v>0.0</v>
      </c>
      <c r="X23" s="57">
        <f t="shared" si="10"/>
        <v>0</v>
      </c>
      <c r="AB23" s="74" t="s">
        <v>62</v>
      </c>
      <c r="AC23" s="75">
        <f>SUM(Q16:Q22)</f>
        <v>62465.45</v>
      </c>
      <c r="AD23" s="58" t="s">
        <v>62</v>
      </c>
      <c r="AE23" s="76">
        <f>SUM(W16:W22)</f>
        <v>0</v>
      </c>
      <c r="AJ23" s="229">
        <v>15854.13</v>
      </c>
      <c r="AK23" s="229">
        <v>18225.075</v>
      </c>
      <c r="AM23" s="229">
        <v>15058.432</v>
      </c>
      <c r="AN23" s="229">
        <v>12109.160000000002</v>
      </c>
    </row>
    <row r="24" ht="15.75" customHeight="1">
      <c r="A24" s="61">
        <v>15838.128000000002</v>
      </c>
      <c r="B24" s="61"/>
      <c r="C24" s="207">
        <v>45916.0</v>
      </c>
      <c r="D24" s="208" t="str">
        <f t="shared" si="3"/>
        <v>ter.</v>
      </c>
      <c r="E24" s="209">
        <v>8000.0</v>
      </c>
      <c r="F24" s="209">
        <v>3509.25</v>
      </c>
      <c r="G24" s="51">
        <f t="shared" si="4"/>
        <v>-4490.75</v>
      </c>
      <c r="H24" s="210">
        <v>0.0</v>
      </c>
      <c r="I24" s="211">
        <f t="shared" si="5"/>
        <v>0</v>
      </c>
      <c r="J24" s="57"/>
      <c r="K24" s="57"/>
      <c r="L24" s="57"/>
      <c r="M24" s="57">
        <f t="shared" si="6"/>
        <v>0</v>
      </c>
      <c r="N24" s="212">
        <f t="shared" ref="N24:O24" si="29">C24</f>
        <v>45916</v>
      </c>
      <c r="O24" s="204" t="str">
        <f t="shared" si="29"/>
        <v>ter.</v>
      </c>
      <c r="P24" s="213">
        <v>5500.0</v>
      </c>
      <c r="Q24" s="213">
        <v>5135.93</v>
      </c>
      <c r="R24" s="51">
        <f t="shared" si="8"/>
        <v>-364.07</v>
      </c>
      <c r="S24" s="214">
        <v>0.0</v>
      </c>
      <c r="T24" s="211">
        <f t="shared" si="9"/>
        <v>0</v>
      </c>
      <c r="U24" s="214">
        <v>0.0</v>
      </c>
      <c r="V24" s="214">
        <v>0.0</v>
      </c>
      <c r="W24" s="214">
        <v>0.0</v>
      </c>
      <c r="X24" s="57">
        <f t="shared" si="10"/>
        <v>0</v>
      </c>
      <c r="AB24" s="74"/>
      <c r="AC24" s="79">
        <f>AC23/AC18</f>
        <v>0.1759590141</v>
      </c>
      <c r="AE24" s="80">
        <f>AE23/AE18</f>
        <v>0</v>
      </c>
      <c r="AJ24" s="229">
        <v>21108.3425</v>
      </c>
      <c r="AK24" s="229">
        <v>17940.21</v>
      </c>
      <c r="AM24" s="229">
        <v>21270.6625</v>
      </c>
      <c r="AN24" s="229">
        <v>20740.381999999998</v>
      </c>
    </row>
    <row r="25" ht="15.75" customHeight="1">
      <c r="A25" s="61">
        <v>23008.03</v>
      </c>
      <c r="B25" s="61"/>
      <c r="C25" s="207">
        <v>45917.0</v>
      </c>
      <c r="D25" s="208" t="str">
        <f t="shared" si="3"/>
        <v>qua.</v>
      </c>
      <c r="E25" s="209">
        <v>7000.0</v>
      </c>
      <c r="F25" s="209">
        <v>14457.38</v>
      </c>
      <c r="G25" s="51">
        <f t="shared" si="4"/>
        <v>7457.38</v>
      </c>
      <c r="H25" s="210">
        <v>0.0</v>
      </c>
      <c r="I25" s="211">
        <f t="shared" si="5"/>
        <v>0</v>
      </c>
      <c r="J25" s="57"/>
      <c r="K25" s="57"/>
      <c r="L25" s="57"/>
      <c r="M25" s="57">
        <f t="shared" si="6"/>
        <v>0</v>
      </c>
      <c r="N25" s="212">
        <f t="shared" ref="N25:O25" si="30">C25</f>
        <v>45917</v>
      </c>
      <c r="O25" s="204" t="str">
        <f t="shared" si="30"/>
        <v>qua.</v>
      </c>
      <c r="P25" s="213">
        <v>6500.0</v>
      </c>
      <c r="Q25" s="213">
        <v>5187.5</v>
      </c>
      <c r="R25" s="51">
        <f t="shared" si="8"/>
        <v>-1312.5</v>
      </c>
      <c r="S25" s="214">
        <v>0.0</v>
      </c>
      <c r="T25" s="211">
        <f t="shared" si="9"/>
        <v>0</v>
      </c>
      <c r="U25" s="214">
        <v>0.0</v>
      </c>
      <c r="V25" s="214">
        <v>0.0</v>
      </c>
      <c r="W25" s="214">
        <v>0.0</v>
      </c>
      <c r="X25" s="57">
        <f t="shared" si="10"/>
        <v>0</v>
      </c>
      <c r="AB25" s="74"/>
      <c r="AC25" s="81"/>
      <c r="AE25" s="77"/>
      <c r="AJ25" s="167">
        <f t="shared" ref="AJ25:AK25" si="31">SUM(AJ18:AJ24)</f>
        <v>73493.656</v>
      </c>
      <c r="AK25" s="167">
        <f t="shared" si="31"/>
        <v>72015.132</v>
      </c>
      <c r="AL25" s="66">
        <f>AK25/AJ25-1</f>
        <v>-0.02011770921</v>
      </c>
      <c r="AM25" s="167">
        <f t="shared" ref="AM25:AN25" si="32">SUM(AM18:AM24)</f>
        <v>63600.617</v>
      </c>
      <c r="AN25" s="167">
        <f t="shared" si="32"/>
        <v>61752.5715</v>
      </c>
      <c r="AO25" s="66">
        <f>AN25/AM25-1</f>
        <v>-0.02905703729</v>
      </c>
    </row>
    <row r="26" ht="19.5" customHeight="1">
      <c r="A26" s="167">
        <f>SUM(A19:A25)</f>
        <v>72555.514</v>
      </c>
      <c r="B26" s="61"/>
      <c r="C26" s="207">
        <v>45918.0</v>
      </c>
      <c r="D26" s="208" t="str">
        <f t="shared" si="3"/>
        <v>qui.</v>
      </c>
      <c r="E26" s="209">
        <v>8000.0</v>
      </c>
      <c r="F26" s="209">
        <v>6282.88</v>
      </c>
      <c r="G26" s="51">
        <f t="shared" si="4"/>
        <v>-1717.12</v>
      </c>
      <c r="H26" s="210">
        <v>0.0</v>
      </c>
      <c r="I26" s="211">
        <f t="shared" si="5"/>
        <v>0</v>
      </c>
      <c r="J26" s="57"/>
      <c r="K26" s="57"/>
      <c r="L26" s="57"/>
      <c r="M26" s="57">
        <f t="shared" si="6"/>
        <v>0</v>
      </c>
      <c r="N26" s="212">
        <f t="shared" ref="N26:O26" si="33">C26</f>
        <v>45918</v>
      </c>
      <c r="O26" s="204" t="str">
        <f t="shared" si="33"/>
        <v>qui.</v>
      </c>
      <c r="P26" s="213">
        <v>6500.0</v>
      </c>
      <c r="Q26" s="213">
        <v>5588.009999999999</v>
      </c>
      <c r="R26" s="51">
        <f t="shared" si="8"/>
        <v>-911.99</v>
      </c>
      <c r="S26" s="214">
        <v>0.0</v>
      </c>
      <c r="T26" s="211">
        <f t="shared" si="9"/>
        <v>0</v>
      </c>
      <c r="U26" s="214">
        <v>0.0</v>
      </c>
      <c r="V26" s="214">
        <v>0.0</v>
      </c>
      <c r="W26" s="214">
        <v>0.0</v>
      </c>
      <c r="X26" s="57">
        <f t="shared" si="10"/>
        <v>0</v>
      </c>
      <c r="AB26" s="74" t="s">
        <v>63</v>
      </c>
      <c r="AC26" s="75">
        <f>SUM(Q23:Q29)</f>
        <v>70835.93</v>
      </c>
      <c r="AD26" s="58" t="s">
        <v>63</v>
      </c>
      <c r="AE26" s="76">
        <f>SUM(W23:W29)</f>
        <v>0</v>
      </c>
    </row>
    <row r="27" ht="15.75" customHeight="1">
      <c r="B27" s="61"/>
      <c r="C27" s="207">
        <v>45919.0</v>
      </c>
      <c r="D27" s="208" t="str">
        <f t="shared" si="3"/>
        <v>sex.</v>
      </c>
      <c r="E27" s="209">
        <v>14000.0</v>
      </c>
      <c r="F27" s="209">
        <v>11524.88</v>
      </c>
      <c r="G27" s="51">
        <f t="shared" si="4"/>
        <v>-2475.12</v>
      </c>
      <c r="H27" s="210">
        <v>0.0</v>
      </c>
      <c r="I27" s="211">
        <f t="shared" si="5"/>
        <v>0</v>
      </c>
      <c r="J27" s="57"/>
      <c r="K27" s="57"/>
      <c r="L27" s="57"/>
      <c r="M27" s="57">
        <f t="shared" si="6"/>
        <v>0</v>
      </c>
      <c r="N27" s="212">
        <f t="shared" ref="N27:O27" si="34">C27</f>
        <v>45919</v>
      </c>
      <c r="O27" s="204" t="str">
        <f t="shared" si="34"/>
        <v>sex.</v>
      </c>
      <c r="P27" s="213">
        <v>14500.0</v>
      </c>
      <c r="Q27" s="213">
        <v>11611.960000000001</v>
      </c>
      <c r="R27" s="51">
        <f t="shared" si="8"/>
        <v>-2888.04</v>
      </c>
      <c r="S27" s="214">
        <v>0.0</v>
      </c>
      <c r="T27" s="211">
        <f t="shared" si="9"/>
        <v>0</v>
      </c>
      <c r="U27" s="214">
        <v>0.0</v>
      </c>
      <c r="V27" s="214">
        <v>0.0</v>
      </c>
      <c r="W27" s="214">
        <v>0.0</v>
      </c>
      <c r="X27" s="57">
        <f t="shared" si="10"/>
        <v>0</v>
      </c>
      <c r="AB27" s="74"/>
      <c r="AC27" s="79">
        <f>AC26/AC18</f>
        <v>0.199537831</v>
      </c>
      <c r="AE27" s="80">
        <f>AE26/AE18</f>
        <v>0</v>
      </c>
    </row>
    <row r="28" ht="15.75" customHeight="1">
      <c r="B28" s="61"/>
      <c r="C28" s="207">
        <v>45920.0</v>
      </c>
      <c r="D28" s="208" t="str">
        <f t="shared" si="3"/>
        <v>sáb.</v>
      </c>
      <c r="E28" s="209">
        <v>20000.0</v>
      </c>
      <c r="F28" s="209">
        <v>22065.51</v>
      </c>
      <c r="G28" s="51">
        <f t="shared" si="4"/>
        <v>2065.51</v>
      </c>
      <c r="H28" s="210">
        <v>0.0</v>
      </c>
      <c r="I28" s="211">
        <f t="shared" si="5"/>
        <v>0</v>
      </c>
      <c r="J28" s="57"/>
      <c r="K28" s="57"/>
      <c r="L28" s="57"/>
      <c r="M28" s="57">
        <f t="shared" si="6"/>
        <v>0</v>
      </c>
      <c r="N28" s="212">
        <f t="shared" ref="N28:O28" si="35">C28</f>
        <v>45920</v>
      </c>
      <c r="O28" s="204" t="str">
        <f t="shared" si="35"/>
        <v>sáb.</v>
      </c>
      <c r="P28" s="213">
        <v>17000.0</v>
      </c>
      <c r="Q28" s="213">
        <v>15198.060000000001</v>
      </c>
      <c r="R28" s="51">
        <f t="shared" si="8"/>
        <v>-1801.94</v>
      </c>
      <c r="S28" s="214">
        <v>0.0</v>
      </c>
      <c r="T28" s="211">
        <f t="shared" si="9"/>
        <v>0</v>
      </c>
      <c r="U28" s="214">
        <v>0.0</v>
      </c>
      <c r="V28" s="214">
        <v>0.0</v>
      </c>
      <c r="W28" s="214">
        <v>0.0</v>
      </c>
      <c r="X28" s="57">
        <f t="shared" si="10"/>
        <v>0</v>
      </c>
      <c r="AB28" s="74"/>
      <c r="AE28" s="82"/>
    </row>
    <row r="29" ht="15.75" customHeight="1">
      <c r="B29" s="61"/>
      <c r="C29" s="207">
        <v>45921.0</v>
      </c>
      <c r="D29" s="208" t="str">
        <f t="shared" si="3"/>
        <v>dom.</v>
      </c>
      <c r="E29" s="209">
        <v>23000.0</v>
      </c>
      <c r="F29" s="209">
        <v>14986.9</v>
      </c>
      <c r="G29" s="51">
        <f t="shared" si="4"/>
        <v>-8013.1</v>
      </c>
      <c r="H29" s="210">
        <v>0.0</v>
      </c>
      <c r="I29" s="211">
        <f t="shared" si="5"/>
        <v>0</v>
      </c>
      <c r="J29" s="57"/>
      <c r="K29" s="57"/>
      <c r="L29" s="57"/>
      <c r="M29" s="57">
        <f t="shared" si="6"/>
        <v>0</v>
      </c>
      <c r="N29" s="212">
        <f t="shared" ref="N29:O29" si="36">C29</f>
        <v>45921</v>
      </c>
      <c r="O29" s="204" t="str">
        <f t="shared" si="36"/>
        <v>dom.</v>
      </c>
      <c r="P29" s="213">
        <v>23000.0</v>
      </c>
      <c r="Q29" s="213">
        <v>23437.67</v>
      </c>
      <c r="R29" s="51">
        <f t="shared" si="8"/>
        <v>437.67</v>
      </c>
      <c r="S29" s="214">
        <v>0.0</v>
      </c>
      <c r="T29" s="211">
        <f t="shared" si="9"/>
        <v>0</v>
      </c>
      <c r="U29" s="214">
        <v>0.0</v>
      </c>
      <c r="V29" s="214">
        <v>0.0</v>
      </c>
      <c r="W29" s="214">
        <v>0.0</v>
      </c>
      <c r="X29" s="57">
        <f t="shared" si="10"/>
        <v>0</v>
      </c>
      <c r="AB29" s="74" t="s">
        <v>64</v>
      </c>
      <c r="AC29" s="61">
        <f>SUM(Q30:Q36)</f>
        <v>71241.77</v>
      </c>
      <c r="AD29" s="58" t="s">
        <v>64</v>
      </c>
      <c r="AE29" s="83">
        <f>SUM(W30:W36)</f>
        <v>0</v>
      </c>
    </row>
    <row r="30" ht="19.5" customHeight="1">
      <c r="B30" s="61"/>
      <c r="C30" s="207">
        <v>45922.0</v>
      </c>
      <c r="D30" s="208" t="str">
        <f t="shared" si="3"/>
        <v>seg.</v>
      </c>
      <c r="E30" s="209">
        <v>5500.0</v>
      </c>
      <c r="F30" s="209">
        <v>3755.75</v>
      </c>
      <c r="G30" s="51">
        <f t="shared" si="4"/>
        <v>-1744.25</v>
      </c>
      <c r="H30" s="210">
        <v>0.0</v>
      </c>
      <c r="I30" s="211">
        <f t="shared" si="5"/>
        <v>0</v>
      </c>
      <c r="J30" s="57"/>
      <c r="K30" s="57"/>
      <c r="L30" s="57"/>
      <c r="M30" s="57">
        <f t="shared" si="6"/>
        <v>0</v>
      </c>
      <c r="N30" s="212">
        <f t="shared" ref="N30:O30" si="37">C30</f>
        <v>45922</v>
      </c>
      <c r="O30" s="204" t="str">
        <f t="shared" si="37"/>
        <v>seg.</v>
      </c>
      <c r="P30" s="213">
        <v>4500.0</v>
      </c>
      <c r="Q30" s="213">
        <v>4293.27</v>
      </c>
      <c r="R30" s="51">
        <f t="shared" si="8"/>
        <v>-206.73</v>
      </c>
      <c r="S30" s="214">
        <v>0.0</v>
      </c>
      <c r="T30" s="211">
        <f t="shared" si="9"/>
        <v>0</v>
      </c>
      <c r="U30" s="214">
        <v>0.0</v>
      </c>
      <c r="V30" s="214">
        <v>0.0</v>
      </c>
      <c r="W30" s="214">
        <v>0.0</v>
      </c>
      <c r="X30" s="57">
        <f t="shared" si="10"/>
        <v>0</v>
      </c>
      <c r="AB30" s="74"/>
      <c r="AC30" s="79">
        <f>AC29/AC18</f>
        <v>0.2006810423</v>
      </c>
      <c r="AE30" s="80">
        <f>AE29/AE18</f>
        <v>0</v>
      </c>
    </row>
    <row r="31" ht="18.0" customHeight="1">
      <c r="B31" s="61"/>
      <c r="C31" s="207">
        <v>45923.0</v>
      </c>
      <c r="D31" s="208" t="str">
        <f t="shared" si="3"/>
        <v>ter.</v>
      </c>
      <c r="E31" s="209">
        <v>8000.0</v>
      </c>
      <c r="F31" s="209">
        <v>5633.5</v>
      </c>
      <c r="G31" s="51">
        <f t="shared" si="4"/>
        <v>-2366.5</v>
      </c>
      <c r="H31" s="210">
        <v>0.0</v>
      </c>
      <c r="I31" s="211">
        <f t="shared" si="5"/>
        <v>0</v>
      </c>
      <c r="J31" s="57"/>
      <c r="K31" s="57"/>
      <c r="L31" s="57"/>
      <c r="M31" s="57">
        <f t="shared" si="6"/>
        <v>0</v>
      </c>
      <c r="N31" s="212">
        <f t="shared" ref="N31:O31" si="38">C31</f>
        <v>45923</v>
      </c>
      <c r="O31" s="204" t="str">
        <f t="shared" si="38"/>
        <v>ter.</v>
      </c>
      <c r="P31" s="213">
        <v>5500.0</v>
      </c>
      <c r="Q31" s="213">
        <v>4504.989999999999</v>
      </c>
      <c r="R31" s="51">
        <f t="shared" si="8"/>
        <v>-995.01</v>
      </c>
      <c r="S31" s="214">
        <v>0.0</v>
      </c>
      <c r="T31" s="211">
        <f t="shared" si="9"/>
        <v>0</v>
      </c>
      <c r="U31" s="214">
        <v>0.0</v>
      </c>
      <c r="V31" s="214">
        <v>0.0</v>
      </c>
      <c r="W31" s="214">
        <v>0.0</v>
      </c>
      <c r="X31" s="57">
        <f t="shared" si="10"/>
        <v>0</v>
      </c>
      <c r="AB31" s="74" t="s">
        <v>65</v>
      </c>
      <c r="AC31" s="61">
        <f>SUM(Q37:Q39)</f>
        <v>10083.35</v>
      </c>
      <c r="AD31" s="58" t="s">
        <v>65</v>
      </c>
      <c r="AE31" s="83">
        <f>SUM(W37:W39)</f>
        <v>0</v>
      </c>
    </row>
    <row r="32" ht="15.75" customHeight="1">
      <c r="B32" s="61"/>
      <c r="C32" s="207">
        <v>45924.0</v>
      </c>
      <c r="D32" s="208" t="str">
        <f t="shared" si="3"/>
        <v>qua.</v>
      </c>
      <c r="E32" s="209">
        <v>7000.0</v>
      </c>
      <c r="F32" s="209">
        <v>10158.45</v>
      </c>
      <c r="G32" s="51">
        <f t="shared" si="4"/>
        <v>3158.45</v>
      </c>
      <c r="H32" s="210">
        <v>0.0</v>
      </c>
      <c r="I32" s="211">
        <f t="shared" si="5"/>
        <v>0</v>
      </c>
      <c r="J32" s="57"/>
      <c r="K32" s="57"/>
      <c r="L32" s="57"/>
      <c r="M32" s="57">
        <f t="shared" si="6"/>
        <v>0</v>
      </c>
      <c r="N32" s="212">
        <f t="shared" ref="N32:O32" si="39">C32</f>
        <v>45924</v>
      </c>
      <c r="O32" s="204" t="str">
        <f t="shared" si="39"/>
        <v>qua.</v>
      </c>
      <c r="P32" s="213">
        <v>6500.0</v>
      </c>
      <c r="Q32" s="213">
        <v>6175.63</v>
      </c>
      <c r="R32" s="51">
        <f t="shared" si="8"/>
        <v>-324.37</v>
      </c>
      <c r="S32" s="214">
        <v>0.0</v>
      </c>
      <c r="T32" s="211">
        <f t="shared" si="9"/>
        <v>0</v>
      </c>
      <c r="U32" s="214">
        <v>0.0</v>
      </c>
      <c r="V32" s="214">
        <v>0.0</v>
      </c>
      <c r="W32" s="214">
        <v>0.0</v>
      </c>
      <c r="X32" s="57">
        <f t="shared" si="10"/>
        <v>0</v>
      </c>
      <c r="AB32" s="84" t="s">
        <v>206</v>
      </c>
      <c r="AC32" s="85">
        <f>AC31/AC18</f>
        <v>0.02840380282</v>
      </c>
      <c r="AD32" s="84" t="s">
        <v>206</v>
      </c>
      <c r="AE32" s="87">
        <f>AE31/AE18</f>
        <v>0</v>
      </c>
    </row>
    <row r="33" ht="15.75" customHeight="1">
      <c r="B33" s="61"/>
      <c r="C33" s="207">
        <v>45925.0</v>
      </c>
      <c r="D33" s="208" t="str">
        <f t="shared" si="3"/>
        <v>qui.</v>
      </c>
      <c r="E33" s="209">
        <v>8000.0</v>
      </c>
      <c r="F33" s="209">
        <v>5073.75</v>
      </c>
      <c r="G33" s="51">
        <f t="shared" si="4"/>
        <v>-2926.25</v>
      </c>
      <c r="H33" s="210">
        <v>0.0</v>
      </c>
      <c r="I33" s="211">
        <f t="shared" si="5"/>
        <v>0</v>
      </c>
      <c r="J33" s="57"/>
      <c r="K33" s="57"/>
      <c r="L33" s="57"/>
      <c r="M33" s="57">
        <f t="shared" si="6"/>
        <v>0</v>
      </c>
      <c r="N33" s="212">
        <f t="shared" ref="N33:O33" si="40">C33</f>
        <v>45925</v>
      </c>
      <c r="O33" s="204" t="str">
        <f t="shared" si="40"/>
        <v>qui.</v>
      </c>
      <c r="P33" s="213">
        <v>6500.0</v>
      </c>
      <c r="Q33" s="213">
        <v>5978.070000000001</v>
      </c>
      <c r="R33" s="51">
        <f t="shared" si="8"/>
        <v>-521.93</v>
      </c>
      <c r="S33" s="214">
        <v>0.0</v>
      </c>
      <c r="T33" s="211">
        <f t="shared" si="9"/>
        <v>0</v>
      </c>
      <c r="U33" s="214">
        <v>0.0</v>
      </c>
      <c r="V33" s="214">
        <v>0.0</v>
      </c>
      <c r="W33" s="214">
        <v>0.0</v>
      </c>
      <c r="X33" s="57">
        <f t="shared" si="10"/>
        <v>0</v>
      </c>
    </row>
    <row r="34" ht="15.75" customHeight="1">
      <c r="B34" s="61"/>
      <c r="C34" s="207">
        <v>45926.0</v>
      </c>
      <c r="D34" s="208" t="str">
        <f t="shared" si="3"/>
        <v>sex.</v>
      </c>
      <c r="E34" s="209">
        <v>14000.0</v>
      </c>
      <c r="F34" s="209">
        <v>13612.3</v>
      </c>
      <c r="G34" s="51">
        <f t="shared" si="4"/>
        <v>-387.7</v>
      </c>
      <c r="H34" s="210">
        <v>0.0</v>
      </c>
      <c r="I34" s="211">
        <f t="shared" si="5"/>
        <v>0</v>
      </c>
      <c r="J34" s="57"/>
      <c r="K34" s="57"/>
      <c r="L34" s="57"/>
      <c r="M34" s="57">
        <f t="shared" si="6"/>
        <v>0</v>
      </c>
      <c r="N34" s="212">
        <f t="shared" ref="N34:O34" si="41">C34</f>
        <v>45926</v>
      </c>
      <c r="O34" s="204" t="str">
        <f t="shared" si="41"/>
        <v>sex.</v>
      </c>
      <c r="P34" s="213">
        <v>14500.0</v>
      </c>
      <c r="Q34" s="213">
        <v>11978.3</v>
      </c>
      <c r="R34" s="51">
        <f t="shared" si="8"/>
        <v>-2521.7</v>
      </c>
      <c r="S34" s="214">
        <v>0.0</v>
      </c>
      <c r="T34" s="211">
        <f t="shared" si="9"/>
        <v>0</v>
      </c>
      <c r="U34" s="214">
        <v>0.0</v>
      </c>
      <c r="V34" s="214">
        <v>0.0</v>
      </c>
      <c r="W34" s="214">
        <v>0.0</v>
      </c>
      <c r="X34" s="57">
        <f t="shared" si="10"/>
        <v>0</v>
      </c>
      <c r="AA34" s="259" t="s">
        <v>72</v>
      </c>
      <c r="AB34" s="93" t="s">
        <v>73</v>
      </c>
      <c r="AC34" s="94">
        <f>Q40</f>
        <v>288582.93</v>
      </c>
      <c r="AD34" s="164" t="s">
        <v>74</v>
      </c>
      <c r="AE34" s="96">
        <f>W40</f>
        <v>0</v>
      </c>
      <c r="AF34" s="259" t="s">
        <v>72</v>
      </c>
    </row>
    <row r="35" ht="19.5" customHeight="1">
      <c r="B35" s="61"/>
      <c r="C35" s="207">
        <v>45927.0</v>
      </c>
      <c r="D35" s="208" t="str">
        <f t="shared" si="3"/>
        <v>sáb.</v>
      </c>
      <c r="E35" s="209">
        <v>20000.0</v>
      </c>
      <c r="F35" s="209">
        <v>19422.51</v>
      </c>
      <c r="G35" s="51">
        <f t="shared" si="4"/>
        <v>-577.49</v>
      </c>
      <c r="H35" s="210">
        <v>0.0</v>
      </c>
      <c r="I35" s="211">
        <f t="shared" si="5"/>
        <v>0</v>
      </c>
      <c r="J35" s="57"/>
      <c r="K35" s="57"/>
      <c r="L35" s="57"/>
      <c r="M35" s="57">
        <f t="shared" si="6"/>
        <v>0</v>
      </c>
      <c r="N35" s="212">
        <f t="shared" ref="N35:O35" si="42">C35</f>
        <v>45927</v>
      </c>
      <c r="O35" s="204" t="str">
        <f t="shared" si="42"/>
        <v>sáb.</v>
      </c>
      <c r="P35" s="213">
        <v>17000.0</v>
      </c>
      <c r="Q35" s="213">
        <v>16239.809999999998</v>
      </c>
      <c r="R35" s="51">
        <f t="shared" si="8"/>
        <v>-760.19</v>
      </c>
      <c r="S35" s="214">
        <v>0.0</v>
      </c>
      <c r="T35" s="211">
        <f t="shared" si="9"/>
        <v>0</v>
      </c>
      <c r="U35" s="214">
        <v>0.0</v>
      </c>
      <c r="V35" s="214">
        <v>0.0</v>
      </c>
      <c r="W35" s="214">
        <v>0.0</v>
      </c>
      <c r="X35" s="57">
        <f t="shared" si="10"/>
        <v>0</v>
      </c>
      <c r="AA35" s="260">
        <f>AC35-AD35</f>
        <v>-0.187090338</v>
      </c>
      <c r="AB35" s="98"/>
      <c r="AC35" s="99">
        <f>AC34/AC18</f>
        <v>0.812909662</v>
      </c>
      <c r="AD35" s="181">
        <f>30/30</f>
        <v>1</v>
      </c>
      <c r="AE35" s="100">
        <f>AE34/AE18</f>
        <v>0</v>
      </c>
      <c r="AF35" s="260">
        <f>AE35-AD35</f>
        <v>-1</v>
      </c>
    </row>
    <row r="36" ht="15.75" customHeight="1">
      <c r="B36" s="61"/>
      <c r="C36" s="207">
        <v>45928.0</v>
      </c>
      <c r="D36" s="208" t="str">
        <f t="shared" si="3"/>
        <v>dom.</v>
      </c>
      <c r="E36" s="209">
        <v>23000.0</v>
      </c>
      <c r="F36" s="209">
        <v>17575.9</v>
      </c>
      <c r="G36" s="51">
        <f t="shared" si="4"/>
        <v>-5424.1</v>
      </c>
      <c r="H36" s="210">
        <v>0.0</v>
      </c>
      <c r="I36" s="211">
        <f t="shared" si="5"/>
        <v>0</v>
      </c>
      <c r="J36" s="57"/>
      <c r="K36" s="57"/>
      <c r="L36" s="57"/>
      <c r="M36" s="57">
        <f t="shared" si="6"/>
        <v>0</v>
      </c>
      <c r="N36" s="212">
        <f t="shared" ref="N36:O36" si="43">C36</f>
        <v>45928</v>
      </c>
      <c r="O36" s="204" t="str">
        <f t="shared" si="43"/>
        <v>dom.</v>
      </c>
      <c r="P36" s="213">
        <v>23000.0</v>
      </c>
      <c r="Q36" s="213">
        <v>22071.699999999997</v>
      </c>
      <c r="R36" s="51">
        <f t="shared" si="8"/>
        <v>-928.3</v>
      </c>
      <c r="S36" s="214">
        <v>0.0</v>
      </c>
      <c r="T36" s="211">
        <f t="shared" si="9"/>
        <v>0</v>
      </c>
      <c r="U36" s="214">
        <v>0.0</v>
      </c>
      <c r="V36" s="214">
        <v>0.0</v>
      </c>
      <c r="W36" s="214">
        <v>0.0</v>
      </c>
      <c r="X36" s="57">
        <f t="shared" si="10"/>
        <v>0</v>
      </c>
      <c r="AB36" s="98" t="s">
        <v>76</v>
      </c>
      <c r="AC36" s="104">
        <f>AC18-AC34</f>
        <v>66417.07</v>
      </c>
      <c r="AD36" s="99"/>
      <c r="AE36" s="106">
        <f>AE18-AE34</f>
        <v>320000</v>
      </c>
    </row>
    <row r="37" ht="15.75" customHeight="1">
      <c r="B37" s="61"/>
      <c r="C37" s="207">
        <v>45929.0</v>
      </c>
      <c r="D37" s="208" t="str">
        <f t="shared" si="3"/>
        <v>seg.</v>
      </c>
      <c r="E37" s="209">
        <v>5500.0</v>
      </c>
      <c r="F37" s="209">
        <v>2551.0</v>
      </c>
      <c r="G37" s="51">
        <f t="shared" si="4"/>
        <v>-2949</v>
      </c>
      <c r="H37" s="210">
        <v>0.0</v>
      </c>
      <c r="I37" s="211">
        <f t="shared" si="5"/>
        <v>0</v>
      </c>
      <c r="J37" s="57"/>
      <c r="K37" s="57"/>
      <c r="L37" s="57"/>
      <c r="M37" s="57">
        <f t="shared" si="6"/>
        <v>0</v>
      </c>
      <c r="N37" s="212">
        <f t="shared" ref="N37:O37" si="44">C37</f>
        <v>45929</v>
      </c>
      <c r="O37" s="204" t="str">
        <f t="shared" si="44"/>
        <v>seg.</v>
      </c>
      <c r="P37" s="213">
        <v>4500.0</v>
      </c>
      <c r="Q37" s="213">
        <v>4325.28</v>
      </c>
      <c r="R37" s="51">
        <f t="shared" si="8"/>
        <v>-174.72</v>
      </c>
      <c r="S37" s="214">
        <v>0.0</v>
      </c>
      <c r="T37" s="211">
        <f t="shared" si="9"/>
        <v>0</v>
      </c>
      <c r="U37" s="214">
        <v>0.0</v>
      </c>
      <c r="V37" s="214">
        <v>0.0</v>
      </c>
      <c r="W37" s="214">
        <v>0.0</v>
      </c>
      <c r="X37" s="57">
        <f t="shared" si="10"/>
        <v>0</v>
      </c>
      <c r="AB37" s="110"/>
      <c r="AC37" s="112">
        <f>AC36/AC18</f>
        <v>0.187090338</v>
      </c>
      <c r="AD37" s="112"/>
      <c r="AE37" s="113">
        <f>AE36/AE18</f>
        <v>1</v>
      </c>
    </row>
    <row r="38" ht="15.75" customHeight="1">
      <c r="B38" s="61"/>
      <c r="C38" s="207">
        <v>45930.0</v>
      </c>
      <c r="D38" s="208" t="str">
        <f t="shared" si="3"/>
        <v>ter.</v>
      </c>
      <c r="E38" s="209">
        <v>8000.0</v>
      </c>
      <c r="F38" s="209">
        <v>3922.7</v>
      </c>
      <c r="G38" s="51">
        <f t="shared" si="4"/>
        <v>-4077.3</v>
      </c>
      <c r="H38" s="210">
        <v>0.0</v>
      </c>
      <c r="I38" s="211">
        <f t="shared" si="5"/>
        <v>0</v>
      </c>
      <c r="J38" s="57"/>
      <c r="K38" s="57"/>
      <c r="L38" s="57"/>
      <c r="M38" s="57">
        <f t="shared" si="6"/>
        <v>0</v>
      </c>
      <c r="N38" s="212">
        <f t="shared" ref="N38:O38" si="45">C38</f>
        <v>45930</v>
      </c>
      <c r="O38" s="204" t="str">
        <f t="shared" si="45"/>
        <v>ter.</v>
      </c>
      <c r="P38" s="213">
        <v>5500.0</v>
      </c>
      <c r="Q38" s="213">
        <v>5758.070000000001</v>
      </c>
      <c r="R38" s="51">
        <f t="shared" si="8"/>
        <v>258.07</v>
      </c>
      <c r="S38" s="214">
        <v>0.0</v>
      </c>
      <c r="T38" s="211">
        <f t="shared" si="9"/>
        <v>0</v>
      </c>
      <c r="U38" s="214">
        <v>0.0</v>
      </c>
      <c r="V38" s="214">
        <v>0.0</v>
      </c>
      <c r="W38" s="214">
        <v>0.0</v>
      </c>
      <c r="X38" s="57">
        <f t="shared" si="10"/>
        <v>0</v>
      </c>
    </row>
    <row r="39" ht="15.75" customHeight="1">
      <c r="B39" s="61"/>
      <c r="C39" s="207"/>
      <c r="D39" s="208"/>
      <c r="E39" s="209"/>
      <c r="F39" s="282"/>
      <c r="G39" s="51">
        <f t="shared" si="4"/>
        <v>0</v>
      </c>
      <c r="H39" s="210">
        <v>0.0</v>
      </c>
      <c r="I39" s="211">
        <f t="shared" si="5"/>
        <v>0</v>
      </c>
      <c r="J39" s="57"/>
      <c r="K39" s="57"/>
      <c r="L39" s="57"/>
      <c r="M39" s="57">
        <f t="shared" si="6"/>
        <v>0</v>
      </c>
      <c r="N39" s="212" t="str">
        <f t="shared" ref="N39:O39" si="46">C39</f>
        <v/>
      </c>
      <c r="O39" s="204" t="str">
        <f t="shared" si="46"/>
        <v/>
      </c>
      <c r="P39" s="213"/>
      <c r="Q39" s="213"/>
      <c r="R39" s="51">
        <f t="shared" si="8"/>
        <v>0</v>
      </c>
      <c r="S39" s="217">
        <v>0.0</v>
      </c>
      <c r="T39" s="211">
        <f t="shared" si="9"/>
        <v>0</v>
      </c>
      <c r="U39" s="214">
        <v>0.0</v>
      </c>
      <c r="V39" s="214">
        <v>0.0</v>
      </c>
      <c r="W39" s="214">
        <v>0.0</v>
      </c>
      <c r="X39" s="57">
        <f t="shared" si="10"/>
        <v>0</v>
      </c>
    </row>
    <row r="40" ht="15.75" customHeight="1">
      <c r="B40" s="61"/>
      <c r="C40" s="218"/>
      <c r="D40" s="218"/>
      <c r="E40" s="219">
        <f t="shared" ref="E40:G40" si="47">SUM(E9:E39)</f>
        <v>355500</v>
      </c>
      <c r="F40" s="219">
        <f t="shared" si="47"/>
        <v>317352.4</v>
      </c>
      <c r="G40" s="105">
        <f t="shared" si="47"/>
        <v>-38147.6</v>
      </c>
      <c r="H40" s="105"/>
      <c r="I40" s="105"/>
      <c r="J40" s="105">
        <f t="shared" ref="J40:M40" si="48">SUM(J9:J39)</f>
        <v>0</v>
      </c>
      <c r="K40" s="105">
        <f t="shared" si="48"/>
        <v>0</v>
      </c>
      <c r="L40" s="105">
        <f t="shared" si="48"/>
        <v>0</v>
      </c>
      <c r="M40" s="105">
        <f t="shared" si="48"/>
        <v>0</v>
      </c>
      <c r="N40" s="286"/>
      <c r="O40" s="287"/>
      <c r="P40" s="222">
        <f>SUM(P9:P39)</f>
        <v>320000</v>
      </c>
      <c r="Q40" s="222">
        <f>SUM(Q9:Q39)-12-24</f>
        <v>288582.93</v>
      </c>
      <c r="R40" s="105">
        <f t="shared" ref="R40:S40" si="49">SUM(R9:R39)</f>
        <v>-31381.07</v>
      </c>
      <c r="S40" s="223">
        <f t="shared" si="49"/>
        <v>0</v>
      </c>
      <c r="T40" s="224"/>
      <c r="U40" s="223">
        <f t="shared" ref="U40:X40" si="50">SUM(U9:U39)</f>
        <v>0</v>
      </c>
      <c r="V40" s="223">
        <f t="shared" si="50"/>
        <v>0</v>
      </c>
      <c r="W40" s="223">
        <f t="shared" si="50"/>
        <v>0</v>
      </c>
      <c r="X40" s="223">
        <f t="shared" si="50"/>
        <v>0</v>
      </c>
      <c r="Z40" s="61"/>
    </row>
    <row r="41" ht="15.75" customHeight="1">
      <c r="B41" s="61"/>
      <c r="D41" s="61"/>
      <c r="E41" s="61"/>
      <c r="F41" s="225"/>
      <c r="G41" s="114"/>
      <c r="H41" s="226"/>
      <c r="I41" s="226"/>
      <c r="N41" s="61"/>
      <c r="P41" s="61"/>
      <c r="Q41" s="275"/>
      <c r="R41" s="114"/>
      <c r="S41" s="199"/>
      <c r="T41" s="200"/>
    </row>
    <row r="42" ht="15.75" customHeight="1">
      <c r="B42" s="61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200"/>
    </row>
    <row r="43" ht="15.75" customHeight="1">
      <c r="B43" s="61"/>
      <c r="C43" s="2"/>
      <c r="D43" s="2"/>
      <c r="E43" s="115" t="s">
        <v>77</v>
      </c>
      <c r="F43" s="118">
        <f>E40+G40</f>
        <v>317352.4</v>
      </c>
      <c r="P43" s="115" t="s">
        <v>77</v>
      </c>
      <c r="Q43" s="118">
        <f>P40+R40</f>
        <v>288618.93</v>
      </c>
      <c r="S43" s="199"/>
      <c r="T43" s="200"/>
    </row>
    <row r="44" ht="15.75" customHeight="1">
      <c r="B44" s="61"/>
      <c r="C44" s="122" t="s">
        <v>29</v>
      </c>
      <c r="D44" s="124">
        <f>E40</f>
        <v>355500</v>
      </c>
      <c r="E44" s="2"/>
      <c r="F44" s="2"/>
      <c r="N44" s="126" t="s">
        <v>29</v>
      </c>
      <c r="O44" s="124">
        <f>P40</f>
        <v>320000</v>
      </c>
      <c r="P44" s="2"/>
      <c r="Q44" s="2"/>
      <c r="S44" s="199"/>
      <c r="T44" s="200"/>
      <c r="Y44" s="58" t="str">
        <f>#REF!*8%+#REF!</f>
        <v>#REF!</v>
      </c>
    </row>
    <row r="45" ht="15.75" customHeight="1">
      <c r="B45" s="61"/>
      <c r="C45" s="61"/>
      <c r="D45" s="175"/>
      <c r="E45" s="61"/>
      <c r="F45" s="61"/>
      <c r="N45" s="175"/>
      <c r="O45" s="61"/>
      <c r="S45" s="199"/>
      <c r="T45" s="200"/>
    </row>
    <row r="46" ht="16.5" customHeight="1">
      <c r="B46" s="61"/>
      <c r="C46" s="61"/>
      <c r="D46" s="175"/>
      <c r="E46" s="61"/>
      <c r="F46" s="61"/>
      <c r="N46" s="175"/>
      <c r="O46" s="61"/>
      <c r="S46" s="199"/>
      <c r="T46" s="200"/>
    </row>
  </sheetData>
  <mergeCells count="10">
    <mergeCell ref="AJ5:AK5"/>
    <mergeCell ref="AJ16:AK16"/>
    <mergeCell ref="AM16:AN16"/>
    <mergeCell ref="C4:M6"/>
    <mergeCell ref="N4:X6"/>
    <mergeCell ref="AA5:AB5"/>
    <mergeCell ref="AD5:AE5"/>
    <mergeCell ref="AM5:AN5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X40">
    <cfRule type="cellIs" dxfId="0" priority="7" operator="greaterThanOrEqual">
      <formula>0</formula>
    </cfRule>
  </conditionalFormatting>
  <conditionalFormatting sqref="S40:X40">
    <cfRule type="cellIs" dxfId="1" priority="8" operator="lessThan">
      <formula>0</formula>
    </cfRule>
  </conditionalFormatting>
  <conditionalFormatting sqref="S40:X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13.0"/>
    <col customWidth="1" min="3" max="3" width="13.89"/>
    <col customWidth="1" min="4" max="4" width="16.56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3.78"/>
    <col customWidth="1" min="15" max="15" width="15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4" width="14.78"/>
    <col customWidth="1" min="25" max="25" width="13.33"/>
    <col customWidth="1" min="26" max="26" width="13.0"/>
    <col customWidth="1" min="27" max="27" width="10.56"/>
    <col customWidth="1" min="28" max="28" width="13.67"/>
    <col customWidth="1" min="29" max="29" width="15.78"/>
    <col customWidth="1" min="30" max="30" width="15.44"/>
    <col customWidth="1" min="31" max="31" width="16.0"/>
    <col customWidth="1" min="32" max="32" width="15.44"/>
    <col customWidth="1" min="33" max="33" width="11.11"/>
    <col customWidth="1" min="34" max="34" width="10.56"/>
    <col customWidth="1" min="35" max="36" width="13.0"/>
    <col customWidth="1" min="37" max="37" width="13.78"/>
    <col customWidth="1" min="38" max="39" width="13.0"/>
    <col customWidth="1" min="40" max="40" width="14.11"/>
    <col customWidth="1" min="41" max="41" width="13.44"/>
  </cols>
  <sheetData>
    <row r="1" ht="15.75" customHeight="1">
      <c r="E1" s="61"/>
      <c r="H1" s="61"/>
      <c r="I1" s="61"/>
      <c r="S1" s="199"/>
      <c r="T1" s="200"/>
    </row>
    <row r="2" ht="15.75" customHeight="1">
      <c r="E2" s="61"/>
      <c r="H2" s="61"/>
      <c r="I2" s="61"/>
      <c r="S2" s="199"/>
      <c r="T2" s="200"/>
    </row>
    <row r="3" ht="15.75" customHeight="1">
      <c r="C3" s="61"/>
      <c r="F3" s="75"/>
      <c r="G3" s="2"/>
      <c r="N3" s="2"/>
      <c r="O3" s="2"/>
      <c r="P3" s="2"/>
      <c r="Q3" s="2"/>
      <c r="S3" s="199"/>
      <c r="T3" s="200"/>
    </row>
    <row r="4" ht="15.75" customHeight="1"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C5" s="31"/>
      <c r="M5" s="32"/>
      <c r="N5" s="31"/>
      <c r="X5" s="32"/>
      <c r="AB5" s="46" t="s">
        <v>207</v>
      </c>
      <c r="AC5" s="6"/>
      <c r="AE5" s="46" t="s">
        <v>208</v>
      </c>
      <c r="AF5" s="6"/>
      <c r="AJ5" s="46" t="s">
        <v>207</v>
      </c>
      <c r="AK5" s="6"/>
      <c r="AM5" s="46" t="s">
        <v>208</v>
      </c>
      <c r="AN5" s="6"/>
    </row>
    <row r="6" ht="15.75" customHeight="1"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AB6" s="261">
        <v>45536.0</v>
      </c>
      <c r="AC6" s="261">
        <v>45566.0</v>
      </c>
      <c r="AE6" s="261">
        <v>45536.0</v>
      </c>
      <c r="AF6" s="261">
        <v>45566.0</v>
      </c>
      <c r="AJ6" s="261">
        <v>45536.0</v>
      </c>
      <c r="AK6" s="261">
        <v>45566.0</v>
      </c>
      <c r="AM6" s="261">
        <v>45536.0</v>
      </c>
      <c r="AN6" s="261">
        <v>45566.0</v>
      </c>
    </row>
    <row r="7" ht="15.75" customHeight="1"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AA7" s="2" t="s">
        <v>45</v>
      </c>
      <c r="AB7" s="229">
        <v>4521.622</v>
      </c>
      <c r="AC7" s="229">
        <v>4364.8724999999995</v>
      </c>
      <c r="AD7" s="2" t="s">
        <v>45</v>
      </c>
      <c r="AE7" s="229">
        <v>3329.0519999999997</v>
      </c>
      <c r="AF7" s="229">
        <v>3679.5</v>
      </c>
      <c r="AI7" s="2" t="s">
        <v>45</v>
      </c>
      <c r="AJ7" s="229">
        <v>4521.622</v>
      </c>
      <c r="AK7" s="229">
        <v>4364.8724999999995</v>
      </c>
      <c r="AL7" s="2" t="s">
        <v>45</v>
      </c>
      <c r="AM7" s="229">
        <v>3329.0519999999997</v>
      </c>
      <c r="AN7" s="229">
        <v>3679.5</v>
      </c>
    </row>
    <row r="8" ht="15.75" customHeight="1">
      <c r="A8" s="175">
        <v>45870.0</v>
      </c>
      <c r="B8" s="61" t="s">
        <v>209</v>
      </c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206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  <c r="AA8" s="8" t="s">
        <v>46</v>
      </c>
      <c r="AB8" s="229">
        <v>5676.575</v>
      </c>
      <c r="AC8" s="229">
        <v>4966.606</v>
      </c>
      <c r="AD8" s="8" t="s">
        <v>46</v>
      </c>
      <c r="AE8" s="229">
        <v>3416.5700000000006</v>
      </c>
      <c r="AF8" s="229">
        <v>3819.04</v>
      </c>
      <c r="AI8" s="8" t="s">
        <v>46</v>
      </c>
      <c r="AJ8" s="229">
        <v>5676.575</v>
      </c>
      <c r="AK8" s="229">
        <v>4966.606</v>
      </c>
      <c r="AL8" s="8" t="s">
        <v>46</v>
      </c>
      <c r="AM8" s="229">
        <v>3416.5700000000006</v>
      </c>
      <c r="AN8" s="229">
        <v>3819.04</v>
      </c>
    </row>
    <row r="9" ht="15.75" customHeight="1">
      <c r="A9" s="61">
        <v>5323.65</v>
      </c>
      <c r="B9" s="61">
        <f t="shared" ref="B9:B11" si="2">AVERAGE(F9,F16,F23,F30,F37)</f>
        <v>7090.778</v>
      </c>
      <c r="C9" s="207">
        <v>45931.0</v>
      </c>
      <c r="D9" s="208" t="str">
        <f t="shared" ref="D9:D39" si="3">TEXT(C9,"ddd")</f>
        <v>qua.</v>
      </c>
      <c r="E9" s="209">
        <v>8072.1</v>
      </c>
      <c r="F9" s="209">
        <v>8072.1</v>
      </c>
      <c r="G9" s="51">
        <f t="shared" ref="G9:G39" si="4">F9-E9</f>
        <v>0</v>
      </c>
      <c r="H9" s="210">
        <v>0.0</v>
      </c>
      <c r="I9" s="211">
        <f t="shared" ref="I9:I39" si="5">IF(H9=0,0,F9/H9)</f>
        <v>0</v>
      </c>
      <c r="J9" s="57"/>
      <c r="K9" s="57"/>
      <c r="L9" s="57"/>
      <c r="M9" s="57">
        <f t="shared" ref="M9:M39" si="6">J9+K9+L9</f>
        <v>0</v>
      </c>
      <c r="N9" s="212">
        <f t="shared" ref="N9:O9" si="1">C9</f>
        <v>45931</v>
      </c>
      <c r="O9" s="204" t="str">
        <f t="shared" si="1"/>
        <v>qua.</v>
      </c>
      <c r="P9" s="213">
        <v>5471.74</v>
      </c>
      <c r="Q9" s="213">
        <v>5471.74</v>
      </c>
      <c r="R9" s="51">
        <f t="shared" ref="R9:R39" si="8">Q9-P9</f>
        <v>0</v>
      </c>
      <c r="S9" s="214">
        <v>0.0</v>
      </c>
      <c r="T9" s="211">
        <f t="shared" ref="T9:T39" si="9">IF(S9=0,0,Q9/S9)</f>
        <v>0</v>
      </c>
      <c r="U9" s="214">
        <v>0.0</v>
      </c>
      <c r="V9" s="214">
        <v>0.0</v>
      </c>
      <c r="W9" s="214">
        <v>0.0</v>
      </c>
      <c r="X9" s="57">
        <f t="shared" ref="X9:X39" si="10">U9+V9+W9</f>
        <v>0</v>
      </c>
      <c r="AA9" s="2" t="s">
        <v>40</v>
      </c>
      <c r="AB9" s="229">
        <v>6934.362499999999</v>
      </c>
      <c r="AC9" s="229">
        <v>5873.394</v>
      </c>
      <c r="AD9" s="2" t="s">
        <v>40</v>
      </c>
      <c r="AE9" s="229">
        <v>5175.125</v>
      </c>
      <c r="AF9" s="229">
        <v>4718.598</v>
      </c>
      <c r="AI9" s="2" t="s">
        <v>40</v>
      </c>
      <c r="AJ9" s="229">
        <v>6934.362499999999</v>
      </c>
      <c r="AK9" s="229">
        <v>5873.394</v>
      </c>
      <c r="AL9" s="2" t="s">
        <v>40</v>
      </c>
      <c r="AM9" s="229">
        <v>5175.125</v>
      </c>
      <c r="AN9" s="229">
        <v>4718.598</v>
      </c>
    </row>
    <row r="10" ht="15.75" customHeight="1">
      <c r="A10" s="61">
        <v>8150.3325</v>
      </c>
      <c r="B10" s="61">
        <f t="shared" si="2"/>
        <v>6405.09</v>
      </c>
      <c r="C10" s="207">
        <v>45932.0</v>
      </c>
      <c r="D10" s="208" t="str">
        <f t="shared" si="3"/>
        <v>qui.</v>
      </c>
      <c r="E10" s="209">
        <v>4374.85</v>
      </c>
      <c r="F10" s="209">
        <v>4374.85</v>
      </c>
      <c r="G10" s="51">
        <f t="shared" si="4"/>
        <v>0</v>
      </c>
      <c r="H10" s="210">
        <v>0.0</v>
      </c>
      <c r="I10" s="211">
        <f t="shared" si="5"/>
        <v>0</v>
      </c>
      <c r="J10" s="57"/>
      <c r="K10" s="57"/>
      <c r="L10" s="57"/>
      <c r="M10" s="57">
        <f t="shared" si="6"/>
        <v>0</v>
      </c>
      <c r="N10" s="212">
        <f t="shared" ref="N10:O10" si="7">C10</f>
        <v>45932</v>
      </c>
      <c r="O10" s="204" t="str">
        <f t="shared" si="7"/>
        <v>qui.</v>
      </c>
      <c r="P10" s="213">
        <v>6983.49</v>
      </c>
      <c r="Q10" s="213">
        <v>6983.49</v>
      </c>
      <c r="R10" s="51">
        <f t="shared" si="8"/>
        <v>0</v>
      </c>
      <c r="S10" s="214">
        <v>0.0</v>
      </c>
      <c r="T10" s="211">
        <f t="shared" si="9"/>
        <v>0</v>
      </c>
      <c r="U10" s="214">
        <v>0.0</v>
      </c>
      <c r="V10" s="214">
        <v>0.0</v>
      </c>
      <c r="W10" s="214">
        <v>0.0</v>
      </c>
      <c r="X10" s="57">
        <f t="shared" si="10"/>
        <v>0</v>
      </c>
      <c r="AA10" s="2" t="s">
        <v>47</v>
      </c>
      <c r="AB10" s="229">
        <v>7458.387500000001</v>
      </c>
      <c r="AC10" s="229">
        <v>7715.460000000001</v>
      </c>
      <c r="AD10" s="2" t="s">
        <v>47</v>
      </c>
      <c r="AE10" s="229">
        <v>7111.18</v>
      </c>
      <c r="AF10" s="229">
        <v>6288.026</v>
      </c>
      <c r="AI10" s="2" t="s">
        <v>47</v>
      </c>
      <c r="AJ10" s="229">
        <v>7458.387500000001</v>
      </c>
      <c r="AK10" s="229">
        <v>7715.460000000001</v>
      </c>
      <c r="AL10" s="2" t="s">
        <v>47</v>
      </c>
      <c r="AM10" s="229">
        <v>7111.18</v>
      </c>
      <c r="AN10" s="229">
        <v>6288.026</v>
      </c>
    </row>
    <row r="11" ht="15.75" customHeight="1">
      <c r="A11" s="61">
        <v>6078.475</v>
      </c>
      <c r="B11" s="61">
        <f t="shared" si="2"/>
        <v>13295.328</v>
      </c>
      <c r="C11" s="207">
        <v>45933.0</v>
      </c>
      <c r="D11" s="208" t="str">
        <f t="shared" si="3"/>
        <v>sex.</v>
      </c>
      <c r="E11" s="209">
        <v>12958.95</v>
      </c>
      <c r="F11" s="209">
        <v>12958.95</v>
      </c>
      <c r="G11" s="51">
        <f t="shared" si="4"/>
        <v>0</v>
      </c>
      <c r="H11" s="210">
        <v>0.0</v>
      </c>
      <c r="I11" s="211">
        <f t="shared" si="5"/>
        <v>0</v>
      </c>
      <c r="J11" s="57"/>
      <c r="K11" s="57"/>
      <c r="L11" s="57"/>
      <c r="M11" s="57">
        <f t="shared" si="6"/>
        <v>0</v>
      </c>
      <c r="N11" s="212">
        <f t="shared" ref="N11:O11" si="11">C11</f>
        <v>45933</v>
      </c>
      <c r="O11" s="204" t="str">
        <f t="shared" si="11"/>
        <v>sex.</v>
      </c>
      <c r="P11" s="213">
        <v>8450.69</v>
      </c>
      <c r="Q11" s="213">
        <v>8596.7</v>
      </c>
      <c r="R11" s="51">
        <f t="shared" si="8"/>
        <v>146.01</v>
      </c>
      <c r="S11" s="214">
        <v>0.0</v>
      </c>
      <c r="T11" s="211">
        <f t="shared" si="9"/>
        <v>0</v>
      </c>
      <c r="U11" s="214">
        <v>0.0</v>
      </c>
      <c r="V11" s="214">
        <v>0.0</v>
      </c>
      <c r="W11" s="214">
        <v>0.0</v>
      </c>
      <c r="X11" s="57">
        <f t="shared" si="10"/>
        <v>0</v>
      </c>
      <c r="AA11" s="2" t="s">
        <v>48</v>
      </c>
      <c r="AB11" s="229">
        <v>11258.9</v>
      </c>
      <c r="AC11" s="229">
        <v>11172.994999999999</v>
      </c>
      <c r="AD11" s="2" t="s">
        <v>48</v>
      </c>
      <c r="AE11" s="229">
        <v>9871.1025</v>
      </c>
      <c r="AF11" s="229">
        <v>9252.77</v>
      </c>
      <c r="AI11" s="2" t="s">
        <v>48</v>
      </c>
      <c r="AJ11" s="229">
        <v>11258.9</v>
      </c>
      <c r="AK11" s="229">
        <v>11172.994999999999</v>
      </c>
      <c r="AL11" s="2" t="s">
        <v>48</v>
      </c>
      <c r="AM11" s="229">
        <v>9871.1025</v>
      </c>
      <c r="AN11" s="229">
        <v>9252.77</v>
      </c>
    </row>
    <row r="12" ht="15.75" customHeight="1">
      <c r="A12" s="61">
        <v>7703.532499999999</v>
      </c>
      <c r="B12" s="61">
        <f t="shared" ref="B12:B15" si="13">AVERAGE(F12,F19,F26,F33)</f>
        <v>20084.865</v>
      </c>
      <c r="C12" s="207">
        <v>45934.0</v>
      </c>
      <c r="D12" s="208" t="str">
        <f t="shared" si="3"/>
        <v>sáb.</v>
      </c>
      <c r="E12" s="209">
        <v>22060.11</v>
      </c>
      <c r="F12" s="209">
        <v>22060.11</v>
      </c>
      <c r="G12" s="51">
        <f t="shared" si="4"/>
        <v>0</v>
      </c>
      <c r="H12" s="210">
        <v>0.0</v>
      </c>
      <c r="I12" s="211">
        <f t="shared" si="5"/>
        <v>0</v>
      </c>
      <c r="J12" s="57"/>
      <c r="K12" s="57"/>
      <c r="L12" s="57"/>
      <c r="M12" s="57">
        <f t="shared" si="6"/>
        <v>0</v>
      </c>
      <c r="N12" s="212">
        <f t="shared" ref="N12:O12" si="12">C12</f>
        <v>45934</v>
      </c>
      <c r="O12" s="204" t="str">
        <f t="shared" si="12"/>
        <v>sáb.</v>
      </c>
      <c r="P12" s="213">
        <v>13593.210000000001</v>
      </c>
      <c r="Q12" s="213">
        <v>13593.210000000001</v>
      </c>
      <c r="R12" s="51">
        <f t="shared" si="8"/>
        <v>0</v>
      </c>
      <c r="S12" s="214">
        <v>0.0</v>
      </c>
      <c r="T12" s="211">
        <f t="shared" si="9"/>
        <v>0</v>
      </c>
      <c r="U12" s="214">
        <v>0.0</v>
      </c>
      <c r="V12" s="214">
        <v>0.0</v>
      </c>
      <c r="W12" s="214">
        <v>0.0</v>
      </c>
      <c r="X12" s="57">
        <f t="shared" si="10"/>
        <v>0</v>
      </c>
      <c r="AA12" s="2" t="s">
        <v>171</v>
      </c>
      <c r="AB12" s="229">
        <v>18225.075</v>
      </c>
      <c r="AC12" s="229">
        <v>21537.1875</v>
      </c>
      <c r="AD12" s="2" t="s">
        <v>171</v>
      </c>
      <c r="AE12" s="229">
        <v>12109.160000000002</v>
      </c>
      <c r="AF12" s="229">
        <v>15056.412499999999</v>
      </c>
      <c r="AI12" s="2" t="s">
        <v>171</v>
      </c>
      <c r="AJ12" s="229">
        <v>18225.075</v>
      </c>
      <c r="AK12" s="229">
        <v>21537.1875</v>
      </c>
      <c r="AL12" s="2" t="s">
        <v>171</v>
      </c>
      <c r="AM12" s="229">
        <v>12109.160000000002</v>
      </c>
      <c r="AN12" s="229">
        <v>15056.412499999999</v>
      </c>
    </row>
    <row r="13" ht="15.75" customHeight="1">
      <c r="A13" s="61">
        <v>13200.011999999999</v>
      </c>
      <c r="B13" s="61">
        <f t="shared" si="13"/>
        <v>20000.3875</v>
      </c>
      <c r="C13" s="207">
        <v>45935.0</v>
      </c>
      <c r="D13" s="208" t="str">
        <f t="shared" si="3"/>
        <v>dom.</v>
      </c>
      <c r="E13" s="209">
        <v>17130.75</v>
      </c>
      <c r="F13" s="209">
        <v>17130.75</v>
      </c>
      <c r="G13" s="51">
        <f t="shared" si="4"/>
        <v>0</v>
      </c>
      <c r="H13" s="210">
        <v>0.0</v>
      </c>
      <c r="I13" s="211">
        <f t="shared" si="5"/>
        <v>0</v>
      </c>
      <c r="J13" s="57"/>
      <c r="K13" s="57"/>
      <c r="L13" s="57"/>
      <c r="M13" s="57">
        <f t="shared" si="6"/>
        <v>0</v>
      </c>
      <c r="N13" s="212">
        <f t="shared" ref="N13:O13" si="14">C13</f>
        <v>45935</v>
      </c>
      <c r="O13" s="204" t="str">
        <f t="shared" si="14"/>
        <v>dom.</v>
      </c>
      <c r="P13" s="213">
        <v>19752.43</v>
      </c>
      <c r="Q13" s="213">
        <v>19752.43</v>
      </c>
      <c r="R13" s="51">
        <f t="shared" si="8"/>
        <v>0</v>
      </c>
      <c r="S13" s="214">
        <v>0.0</v>
      </c>
      <c r="T13" s="211">
        <f t="shared" si="9"/>
        <v>0</v>
      </c>
      <c r="U13" s="214">
        <v>0.0</v>
      </c>
      <c r="V13" s="214">
        <v>0.0</v>
      </c>
      <c r="W13" s="214">
        <v>0.0</v>
      </c>
      <c r="X13" s="57">
        <f t="shared" si="10"/>
        <v>0</v>
      </c>
      <c r="AA13" s="2" t="s">
        <v>44</v>
      </c>
      <c r="AB13" s="229">
        <v>17940.21</v>
      </c>
      <c r="AC13" s="229">
        <v>19904.07</v>
      </c>
      <c r="AD13" s="2" t="s">
        <v>44</v>
      </c>
      <c r="AE13" s="229">
        <v>20740.381999999998</v>
      </c>
      <c r="AF13" s="229">
        <v>21643.985</v>
      </c>
      <c r="AI13" s="2" t="s">
        <v>44</v>
      </c>
      <c r="AJ13" s="229">
        <v>17940.21</v>
      </c>
      <c r="AK13" s="229">
        <v>19904.07</v>
      </c>
      <c r="AL13" s="2" t="s">
        <v>44</v>
      </c>
      <c r="AM13" s="229">
        <v>20740.381999999998</v>
      </c>
      <c r="AN13" s="229">
        <v>21643.985</v>
      </c>
    </row>
    <row r="14" ht="15.75" customHeight="1">
      <c r="A14" s="61">
        <v>18032.356</v>
      </c>
      <c r="B14" s="61">
        <f t="shared" si="13"/>
        <v>5942.64</v>
      </c>
      <c r="C14" s="207">
        <v>45936.0</v>
      </c>
      <c r="D14" s="208" t="str">
        <f t="shared" si="3"/>
        <v>seg.</v>
      </c>
      <c r="E14" s="209">
        <v>3800.0</v>
      </c>
      <c r="F14" s="209">
        <v>3441.0</v>
      </c>
      <c r="G14" s="51">
        <f t="shared" si="4"/>
        <v>-359</v>
      </c>
      <c r="H14" s="210">
        <v>0.0</v>
      </c>
      <c r="I14" s="211">
        <f t="shared" si="5"/>
        <v>0</v>
      </c>
      <c r="J14" s="57"/>
      <c r="K14" s="57"/>
      <c r="L14" s="57"/>
      <c r="M14" s="57">
        <f t="shared" si="6"/>
        <v>0</v>
      </c>
      <c r="N14" s="212">
        <f t="shared" ref="N14:O14" si="15">C14</f>
        <v>45936</v>
      </c>
      <c r="O14" s="204" t="str">
        <f t="shared" si="15"/>
        <v>seg.</v>
      </c>
      <c r="P14" s="213">
        <v>4659.83</v>
      </c>
      <c r="Q14" s="213">
        <v>2830.95</v>
      </c>
      <c r="R14" s="51">
        <f t="shared" si="8"/>
        <v>-1828.88</v>
      </c>
      <c r="S14" s="214">
        <v>0.0</v>
      </c>
      <c r="T14" s="211">
        <f t="shared" si="9"/>
        <v>0</v>
      </c>
      <c r="U14" s="214">
        <v>0.0</v>
      </c>
      <c r="V14" s="214">
        <v>0.0</v>
      </c>
      <c r="W14" s="214">
        <v>0.0</v>
      </c>
      <c r="X14" s="57">
        <f t="shared" si="10"/>
        <v>0</v>
      </c>
      <c r="AB14" s="167">
        <v>72015.13200000001</v>
      </c>
      <c r="AC14" s="167">
        <f>SUM(AC7:AC13)</f>
        <v>75534.585</v>
      </c>
      <c r="AD14" s="66">
        <f>AC14/AB14-1</f>
        <v>0.04887102061</v>
      </c>
      <c r="AE14" s="167">
        <v>61752.5715</v>
      </c>
      <c r="AF14" s="167">
        <f>SUM(AF7:AF13)</f>
        <v>64458.3315</v>
      </c>
      <c r="AG14" s="66">
        <f>AF14/AE14-1</f>
        <v>0.04381615104</v>
      </c>
      <c r="AJ14" s="167">
        <v>72015.13200000001</v>
      </c>
      <c r="AK14" s="167">
        <f>SUM(AK7:AK13)</f>
        <v>75534.585</v>
      </c>
      <c r="AL14" s="66">
        <f>AK14/AJ14-1</f>
        <v>0.04887102061</v>
      </c>
      <c r="AM14" s="167">
        <v>61752.5715</v>
      </c>
      <c r="AN14" s="167">
        <f>SUM(AN7:AN13)</f>
        <v>64458.3315</v>
      </c>
      <c r="AO14" s="66">
        <f>AN14/AM14-1</f>
        <v>0.04381615104</v>
      </c>
    </row>
    <row r="15" ht="15.75" customHeight="1">
      <c r="A15" s="61">
        <v>22191.438000000002</v>
      </c>
      <c r="B15" s="61">
        <f t="shared" si="13"/>
        <v>5109.4375</v>
      </c>
      <c r="C15" s="207">
        <v>45937.0</v>
      </c>
      <c r="D15" s="208" t="str">
        <f t="shared" si="3"/>
        <v>ter.</v>
      </c>
      <c r="E15" s="209">
        <v>5500.0</v>
      </c>
      <c r="F15" s="209">
        <v>6101.75</v>
      </c>
      <c r="G15" s="51">
        <f t="shared" si="4"/>
        <v>601.75</v>
      </c>
      <c r="H15" s="210">
        <v>0.0</v>
      </c>
      <c r="I15" s="211">
        <f t="shared" si="5"/>
        <v>0</v>
      </c>
      <c r="J15" s="57"/>
      <c r="K15" s="57"/>
      <c r="L15" s="57"/>
      <c r="M15" s="57">
        <f t="shared" si="6"/>
        <v>0</v>
      </c>
      <c r="N15" s="212">
        <f t="shared" ref="N15:O15" si="16">C15</f>
        <v>45937</v>
      </c>
      <c r="O15" s="204" t="str">
        <f t="shared" si="16"/>
        <v>ter.</v>
      </c>
      <c r="P15" s="213">
        <v>5320.36</v>
      </c>
      <c r="Q15" s="213">
        <v>3193.2400000000002</v>
      </c>
      <c r="R15" s="51">
        <f t="shared" si="8"/>
        <v>-2127.12</v>
      </c>
      <c r="S15" s="214">
        <v>0.0</v>
      </c>
      <c r="T15" s="211">
        <f t="shared" si="9"/>
        <v>0</v>
      </c>
      <c r="U15" s="214">
        <v>0.0</v>
      </c>
      <c r="V15" s="214">
        <v>0.0</v>
      </c>
      <c r="W15" s="214">
        <v>0.0</v>
      </c>
      <c r="X15" s="57">
        <f t="shared" si="10"/>
        <v>0</v>
      </c>
    </row>
    <row r="16" ht="15.75" customHeight="1">
      <c r="A16" s="167">
        <f>SUM(A9:A15)</f>
        <v>80679.796</v>
      </c>
      <c r="B16" s="61"/>
      <c r="C16" s="207">
        <v>45938.0</v>
      </c>
      <c r="D16" s="208" t="str">
        <f t="shared" si="3"/>
        <v>qua.</v>
      </c>
      <c r="E16" s="209">
        <v>8500.0</v>
      </c>
      <c r="F16" s="209">
        <v>5641.0</v>
      </c>
      <c r="G16" s="51">
        <f t="shared" si="4"/>
        <v>-2859</v>
      </c>
      <c r="H16" s="210">
        <v>0.0</v>
      </c>
      <c r="I16" s="211">
        <f t="shared" si="5"/>
        <v>0</v>
      </c>
      <c r="J16" s="57"/>
      <c r="K16" s="57"/>
      <c r="L16" s="57"/>
      <c r="M16" s="57">
        <f t="shared" si="6"/>
        <v>0</v>
      </c>
      <c r="N16" s="212">
        <f t="shared" ref="N16:O16" si="17">C16</f>
        <v>45938</v>
      </c>
      <c r="O16" s="204" t="str">
        <f t="shared" si="17"/>
        <v>qua.</v>
      </c>
      <c r="P16" s="213">
        <v>5471.74</v>
      </c>
      <c r="Q16" s="213">
        <v>5209.55</v>
      </c>
      <c r="R16" s="51">
        <f t="shared" si="8"/>
        <v>-262.19</v>
      </c>
      <c r="S16" s="214">
        <v>0.0</v>
      </c>
      <c r="T16" s="211">
        <f t="shared" si="9"/>
        <v>0</v>
      </c>
      <c r="U16" s="214">
        <v>0.0</v>
      </c>
      <c r="V16" s="214">
        <v>0.0</v>
      </c>
      <c r="W16" s="214">
        <v>0.0</v>
      </c>
      <c r="X16" s="57">
        <f t="shared" si="10"/>
        <v>0</v>
      </c>
      <c r="AJ16" s="46" t="s">
        <v>211</v>
      </c>
      <c r="AK16" s="6"/>
      <c r="AM16" s="46" t="s">
        <v>212</v>
      </c>
      <c r="AN16" s="6"/>
    </row>
    <row r="17" ht="15.75" customHeight="1">
      <c r="B17" s="61"/>
      <c r="C17" s="207">
        <v>45939.0</v>
      </c>
      <c r="D17" s="208" t="str">
        <f t="shared" si="3"/>
        <v>qui.</v>
      </c>
      <c r="E17" s="209">
        <v>7600.0</v>
      </c>
      <c r="F17" s="209">
        <v>6152.9</v>
      </c>
      <c r="G17" s="51">
        <f t="shared" si="4"/>
        <v>-1447.1</v>
      </c>
      <c r="H17" s="210">
        <v>0.0</v>
      </c>
      <c r="I17" s="211">
        <f t="shared" si="5"/>
        <v>0</v>
      </c>
      <c r="J17" s="57"/>
      <c r="K17" s="57"/>
      <c r="L17" s="57"/>
      <c r="M17" s="57">
        <f t="shared" si="6"/>
        <v>0</v>
      </c>
      <c r="N17" s="212">
        <f t="shared" ref="N17:O17" si="18">C17</f>
        <v>45939</v>
      </c>
      <c r="O17" s="204" t="str">
        <f t="shared" si="18"/>
        <v>qui.</v>
      </c>
      <c r="P17" s="213">
        <v>6983.49</v>
      </c>
      <c r="Q17" s="213">
        <v>4042.92</v>
      </c>
      <c r="R17" s="51">
        <f t="shared" si="8"/>
        <v>-2940.57</v>
      </c>
      <c r="S17" s="214">
        <v>0.0</v>
      </c>
      <c r="T17" s="211">
        <f t="shared" si="9"/>
        <v>0</v>
      </c>
      <c r="U17" s="214">
        <v>0.0</v>
      </c>
      <c r="V17" s="214">
        <v>0.0</v>
      </c>
      <c r="W17" s="214">
        <v>0.0</v>
      </c>
      <c r="X17" s="57">
        <f t="shared" si="10"/>
        <v>0</v>
      </c>
      <c r="AC17" s="70"/>
      <c r="AD17" s="71" t="s">
        <v>52</v>
      </c>
      <c r="AE17" s="72"/>
      <c r="AF17" s="73" t="s">
        <v>53</v>
      </c>
      <c r="AJ17" s="261">
        <v>45901.0</v>
      </c>
      <c r="AK17" s="261">
        <v>45931.0</v>
      </c>
      <c r="AM17" s="261">
        <v>45901.0</v>
      </c>
      <c r="AN17" s="261">
        <v>45931.0</v>
      </c>
    </row>
    <row r="18" ht="15.75" customHeight="1">
      <c r="A18" s="175">
        <v>45870.0</v>
      </c>
      <c r="B18" s="61"/>
      <c r="C18" s="207">
        <v>45940.0</v>
      </c>
      <c r="D18" s="208" t="str">
        <f t="shared" si="3"/>
        <v>sex.</v>
      </c>
      <c r="E18" s="209">
        <v>15600.0</v>
      </c>
      <c r="F18" s="209">
        <v>11152.0</v>
      </c>
      <c r="G18" s="51">
        <f t="shared" si="4"/>
        <v>-4448</v>
      </c>
      <c r="H18" s="210">
        <v>0.0</v>
      </c>
      <c r="I18" s="211">
        <f t="shared" si="5"/>
        <v>0</v>
      </c>
      <c r="J18" s="57"/>
      <c r="K18" s="57"/>
      <c r="L18" s="57"/>
      <c r="M18" s="57">
        <f t="shared" si="6"/>
        <v>0</v>
      </c>
      <c r="N18" s="212">
        <f t="shared" ref="N18:O18" si="19">C18</f>
        <v>45940</v>
      </c>
      <c r="O18" s="204" t="str">
        <f t="shared" si="19"/>
        <v>sex.</v>
      </c>
      <c r="P18" s="213">
        <v>13000.0</v>
      </c>
      <c r="Q18" s="213">
        <v>12577.95</v>
      </c>
      <c r="R18" s="51">
        <f t="shared" si="8"/>
        <v>-422.05</v>
      </c>
      <c r="S18" s="214">
        <v>0.0</v>
      </c>
      <c r="T18" s="211">
        <f t="shared" si="9"/>
        <v>0</v>
      </c>
      <c r="U18" s="214">
        <v>0.0</v>
      </c>
      <c r="V18" s="214">
        <v>0.0</v>
      </c>
      <c r="W18" s="214">
        <v>0.0</v>
      </c>
      <c r="X18" s="57">
        <f t="shared" si="10"/>
        <v>0</v>
      </c>
      <c r="AC18" s="74" t="s">
        <v>29</v>
      </c>
      <c r="AD18" s="75">
        <v>355000.0</v>
      </c>
      <c r="AE18" s="2" t="s">
        <v>29</v>
      </c>
      <c r="AF18" s="76">
        <v>310000.0</v>
      </c>
      <c r="AI18" s="2" t="s">
        <v>45</v>
      </c>
      <c r="AJ18" s="229">
        <v>3791.5699999999997</v>
      </c>
      <c r="AK18" s="229">
        <v>5942.639999999999</v>
      </c>
      <c r="AL18" s="2" t="s">
        <v>45</v>
      </c>
      <c r="AM18" s="229">
        <v>4659.8279999999995</v>
      </c>
      <c r="AN18" s="229">
        <v>4927.014</v>
      </c>
    </row>
    <row r="19" ht="15.75" customHeight="1">
      <c r="A19" s="61">
        <v>3843.7325</v>
      </c>
      <c r="B19" s="61"/>
      <c r="C19" s="207">
        <v>45941.0</v>
      </c>
      <c r="D19" s="208" t="str">
        <f t="shared" si="3"/>
        <v>sáb.</v>
      </c>
      <c r="E19" s="209">
        <v>29500.0</v>
      </c>
      <c r="F19" s="209">
        <v>21428.9</v>
      </c>
      <c r="G19" s="51">
        <f t="shared" si="4"/>
        <v>-8071.1</v>
      </c>
      <c r="H19" s="210">
        <v>0.0</v>
      </c>
      <c r="I19" s="211">
        <f t="shared" si="5"/>
        <v>0</v>
      </c>
      <c r="J19" s="57"/>
      <c r="K19" s="57"/>
      <c r="L19" s="57"/>
      <c r="M19" s="57">
        <f t="shared" si="6"/>
        <v>0</v>
      </c>
      <c r="N19" s="212">
        <f t="shared" ref="N19:O19" si="20">C19</f>
        <v>45941</v>
      </c>
      <c r="O19" s="204" t="str">
        <f t="shared" si="20"/>
        <v>sáb.</v>
      </c>
      <c r="P19" s="213">
        <v>16000.0</v>
      </c>
      <c r="Q19" s="213">
        <v>13837.04</v>
      </c>
      <c r="R19" s="51">
        <f t="shared" si="8"/>
        <v>-2162.96</v>
      </c>
      <c r="S19" s="214">
        <v>0.0</v>
      </c>
      <c r="T19" s="211">
        <f t="shared" si="9"/>
        <v>0</v>
      </c>
      <c r="U19" s="214">
        <v>0.0</v>
      </c>
      <c r="V19" s="214">
        <v>0.0</v>
      </c>
      <c r="W19" s="214">
        <v>0.0</v>
      </c>
      <c r="X19" s="57">
        <f t="shared" si="10"/>
        <v>0</v>
      </c>
      <c r="AC19" s="74"/>
      <c r="AD19" s="2"/>
      <c r="AE19" s="2"/>
      <c r="AF19" s="77"/>
      <c r="AI19" s="8" t="s">
        <v>46</v>
      </c>
      <c r="AJ19" s="229">
        <v>5346.46</v>
      </c>
      <c r="AK19" s="229">
        <v>5109.4375</v>
      </c>
      <c r="AL19" s="8" t="s">
        <v>46</v>
      </c>
      <c r="AM19" s="229">
        <v>5320.356</v>
      </c>
      <c r="AN19" s="229">
        <v>5770.624000000001</v>
      </c>
    </row>
    <row r="20" ht="15.75" customHeight="1">
      <c r="A20" s="61">
        <v>4637.2225</v>
      </c>
      <c r="B20" s="61"/>
      <c r="C20" s="207">
        <v>45942.0</v>
      </c>
      <c r="D20" s="208" t="str">
        <f t="shared" si="3"/>
        <v>dom.</v>
      </c>
      <c r="E20" s="209">
        <v>24500.0</v>
      </c>
      <c r="F20" s="209">
        <v>25391.4</v>
      </c>
      <c r="G20" s="51">
        <f t="shared" si="4"/>
        <v>891.4</v>
      </c>
      <c r="H20" s="210">
        <v>0.0</v>
      </c>
      <c r="I20" s="211">
        <f t="shared" si="5"/>
        <v>0</v>
      </c>
      <c r="J20" s="57"/>
      <c r="K20" s="57"/>
      <c r="L20" s="57"/>
      <c r="M20" s="57">
        <f t="shared" si="6"/>
        <v>0</v>
      </c>
      <c r="N20" s="212">
        <f t="shared" ref="N20:O20" si="21">C20</f>
        <v>45942</v>
      </c>
      <c r="O20" s="204" t="str">
        <f t="shared" si="21"/>
        <v>dom.</v>
      </c>
      <c r="P20" s="213">
        <v>23000.0</v>
      </c>
      <c r="Q20" s="213">
        <v>21921.510000000002</v>
      </c>
      <c r="R20" s="51">
        <f t="shared" si="8"/>
        <v>-1078.49</v>
      </c>
      <c r="S20" s="214">
        <v>0.0</v>
      </c>
      <c r="T20" s="211">
        <f t="shared" si="9"/>
        <v>0</v>
      </c>
      <c r="U20" s="214">
        <v>0.0</v>
      </c>
      <c r="V20" s="214">
        <v>0.0</v>
      </c>
      <c r="W20" s="214">
        <v>0.0</v>
      </c>
      <c r="X20" s="57">
        <f t="shared" si="10"/>
        <v>0</v>
      </c>
      <c r="Y20" s="61"/>
      <c r="AC20" s="74" t="s">
        <v>58</v>
      </c>
      <c r="AD20" s="75">
        <f>SUM(Q9:Q15)</f>
        <v>60421.76</v>
      </c>
      <c r="AE20" s="58" t="s">
        <v>58</v>
      </c>
      <c r="AF20" s="76">
        <f>SUM(W9:W15)</f>
        <v>0</v>
      </c>
      <c r="AI20" s="2" t="s">
        <v>40</v>
      </c>
      <c r="AJ20" s="229">
        <v>9829.02</v>
      </c>
      <c r="AK20" s="229">
        <v>7090.778</v>
      </c>
      <c r="AL20" s="2" t="s">
        <v>40</v>
      </c>
      <c r="AM20" s="229">
        <v>5201.9825</v>
      </c>
      <c r="AN20" s="229">
        <v>11159.374</v>
      </c>
    </row>
    <row r="21" ht="15.75" customHeight="1">
      <c r="A21" s="61">
        <v>5855.96</v>
      </c>
      <c r="B21" s="61"/>
      <c r="C21" s="207">
        <v>45943.0</v>
      </c>
      <c r="D21" s="208" t="str">
        <f t="shared" si="3"/>
        <v>seg.</v>
      </c>
      <c r="E21" s="209">
        <v>3800.0</v>
      </c>
      <c r="F21" s="209">
        <v>4909.7</v>
      </c>
      <c r="G21" s="51">
        <f t="shared" si="4"/>
        <v>1109.7</v>
      </c>
      <c r="H21" s="210">
        <v>0.0</v>
      </c>
      <c r="I21" s="211">
        <f t="shared" si="5"/>
        <v>0</v>
      </c>
      <c r="J21" s="57"/>
      <c r="K21" s="57"/>
      <c r="L21" s="57"/>
      <c r="M21" s="57">
        <f t="shared" si="6"/>
        <v>0</v>
      </c>
      <c r="N21" s="212">
        <f t="shared" ref="N21:O21" si="22">C21</f>
        <v>45943</v>
      </c>
      <c r="O21" s="204" t="str">
        <f t="shared" si="22"/>
        <v>seg.</v>
      </c>
      <c r="P21" s="213">
        <v>5000.0</v>
      </c>
      <c r="Q21" s="213">
        <v>3370.1600000000003</v>
      </c>
      <c r="R21" s="51">
        <f t="shared" si="8"/>
        <v>-1629.84</v>
      </c>
      <c r="S21" s="214">
        <v>0.0</v>
      </c>
      <c r="T21" s="211">
        <f t="shared" si="9"/>
        <v>0</v>
      </c>
      <c r="U21" s="214">
        <v>0.0</v>
      </c>
      <c r="V21" s="214">
        <v>0.0</v>
      </c>
      <c r="W21" s="214">
        <v>0.0</v>
      </c>
      <c r="X21" s="57">
        <f t="shared" si="10"/>
        <v>0</v>
      </c>
      <c r="AC21" s="74"/>
      <c r="AD21" s="79">
        <f>AD20/AD18</f>
        <v>0.1702021408</v>
      </c>
      <c r="AF21" s="80">
        <f>AF20/AF18</f>
        <v>0</v>
      </c>
      <c r="AG21" s="66"/>
      <c r="AI21" s="2" t="s">
        <v>47</v>
      </c>
      <c r="AJ21" s="229">
        <v>7625.2075</v>
      </c>
      <c r="AK21" s="229">
        <v>6405.09</v>
      </c>
      <c r="AL21" s="2" t="s">
        <v>47</v>
      </c>
      <c r="AM21" s="229">
        <v>7241.069999999999</v>
      </c>
      <c r="AN21" s="229">
        <v>14423.9825</v>
      </c>
    </row>
    <row r="22" ht="15.75" customHeight="1">
      <c r="A22" s="61">
        <v>5742.765000000001</v>
      </c>
      <c r="B22" s="61"/>
      <c r="C22" s="207">
        <v>45944.0</v>
      </c>
      <c r="D22" s="208" t="str">
        <f t="shared" si="3"/>
        <v>ter.</v>
      </c>
      <c r="E22" s="209">
        <v>5500.0</v>
      </c>
      <c r="F22" s="209">
        <v>5802.0</v>
      </c>
      <c r="G22" s="51">
        <f t="shared" si="4"/>
        <v>302</v>
      </c>
      <c r="H22" s="210">
        <v>0.0</v>
      </c>
      <c r="I22" s="211">
        <f t="shared" si="5"/>
        <v>0</v>
      </c>
      <c r="J22" s="57"/>
      <c r="K22" s="57"/>
      <c r="L22" s="57"/>
      <c r="M22" s="57">
        <f t="shared" si="6"/>
        <v>0</v>
      </c>
      <c r="N22" s="212">
        <f t="shared" ref="N22:O22" si="23">C22</f>
        <v>45944</v>
      </c>
      <c r="O22" s="204" t="str">
        <f t="shared" si="23"/>
        <v>ter.</v>
      </c>
      <c r="P22" s="213">
        <v>5500.0</v>
      </c>
      <c r="Q22" s="213">
        <v>3144.75</v>
      </c>
      <c r="R22" s="51">
        <f t="shared" si="8"/>
        <v>-2355.25</v>
      </c>
      <c r="S22" s="214">
        <v>0.0</v>
      </c>
      <c r="T22" s="211">
        <f t="shared" si="9"/>
        <v>0</v>
      </c>
      <c r="U22" s="214">
        <v>0.0</v>
      </c>
      <c r="V22" s="214">
        <v>0.0</v>
      </c>
      <c r="W22" s="214">
        <v>0.0</v>
      </c>
      <c r="X22" s="57">
        <f t="shared" si="10"/>
        <v>0</v>
      </c>
      <c r="Y22" s="58">
        <f>82106.17+146.01</f>
        <v>82252.18</v>
      </c>
      <c r="AC22" s="74"/>
      <c r="AD22" s="81"/>
      <c r="AF22" s="77"/>
      <c r="AI22" s="2" t="s">
        <v>48</v>
      </c>
      <c r="AJ22" s="229">
        <v>13075.052499999998</v>
      </c>
      <c r="AK22" s="229">
        <v>13295.328</v>
      </c>
      <c r="AL22" s="2" t="s">
        <v>48</v>
      </c>
      <c r="AM22" s="229">
        <v>11697.55</v>
      </c>
      <c r="AN22" s="229">
        <v>20029.2825</v>
      </c>
    </row>
    <row r="23" ht="15.75" customHeight="1">
      <c r="A23" s="61">
        <v>13629.676000000001</v>
      </c>
      <c r="B23" s="61"/>
      <c r="C23" s="207">
        <v>45945.0</v>
      </c>
      <c r="D23" s="208" t="str">
        <f t="shared" si="3"/>
        <v>qua.</v>
      </c>
      <c r="E23" s="209">
        <v>8500.0</v>
      </c>
      <c r="F23" s="209">
        <v>7938.89</v>
      </c>
      <c r="G23" s="51">
        <f t="shared" si="4"/>
        <v>-561.11</v>
      </c>
      <c r="H23" s="210">
        <v>0.0</v>
      </c>
      <c r="I23" s="211">
        <f t="shared" si="5"/>
        <v>0</v>
      </c>
      <c r="J23" s="57"/>
      <c r="K23" s="57"/>
      <c r="L23" s="57"/>
      <c r="M23" s="57">
        <f t="shared" si="6"/>
        <v>0</v>
      </c>
      <c r="N23" s="212">
        <f t="shared" ref="N23:O23" si="24">C23</f>
        <v>45945</v>
      </c>
      <c r="O23" s="204" t="str">
        <f t="shared" si="24"/>
        <v>qua.</v>
      </c>
      <c r="P23" s="213">
        <v>5500.0</v>
      </c>
      <c r="Q23" s="213">
        <v>4544.65</v>
      </c>
      <c r="R23" s="51">
        <f t="shared" si="8"/>
        <v>-955.35</v>
      </c>
      <c r="S23" s="214">
        <v>0.0</v>
      </c>
      <c r="T23" s="211">
        <f t="shared" si="9"/>
        <v>0</v>
      </c>
      <c r="U23" s="214">
        <v>0.0</v>
      </c>
      <c r="V23" s="214">
        <v>0.0</v>
      </c>
      <c r="W23" s="214">
        <v>0.0</v>
      </c>
      <c r="X23" s="57">
        <f t="shared" si="10"/>
        <v>0</v>
      </c>
      <c r="AC23" s="74" t="s">
        <v>62</v>
      </c>
      <c r="AD23" s="75">
        <f>SUM(Q16:Q22)</f>
        <v>64103.88</v>
      </c>
      <c r="AE23" s="58" t="s">
        <v>62</v>
      </c>
      <c r="AF23" s="76">
        <f>SUM(W16:W22)</f>
        <v>0</v>
      </c>
      <c r="AI23" s="2" t="s">
        <v>171</v>
      </c>
      <c r="AJ23" s="229">
        <v>19634.519999999997</v>
      </c>
      <c r="AK23" s="229">
        <v>20084.865</v>
      </c>
      <c r="AL23" s="2" t="s">
        <v>171</v>
      </c>
      <c r="AM23" s="229">
        <v>14468.5475</v>
      </c>
      <c r="AN23" s="229">
        <v>3432.1800000000003</v>
      </c>
    </row>
    <row r="24" ht="15.75" customHeight="1">
      <c r="A24" s="61">
        <v>15838.128000000002</v>
      </c>
      <c r="B24" s="61"/>
      <c r="C24" s="207">
        <v>45946.0</v>
      </c>
      <c r="D24" s="208" t="str">
        <f t="shared" si="3"/>
        <v>qui.</v>
      </c>
      <c r="E24" s="209">
        <v>7600.0</v>
      </c>
      <c r="F24" s="209">
        <v>5090.0</v>
      </c>
      <c r="G24" s="51">
        <f t="shared" si="4"/>
        <v>-2510</v>
      </c>
      <c r="H24" s="210">
        <v>0.0</v>
      </c>
      <c r="I24" s="211">
        <f t="shared" si="5"/>
        <v>0</v>
      </c>
      <c r="J24" s="57"/>
      <c r="K24" s="57"/>
      <c r="L24" s="57"/>
      <c r="M24" s="57">
        <f t="shared" si="6"/>
        <v>0</v>
      </c>
      <c r="N24" s="212">
        <f t="shared" ref="N24:O24" si="25">C24</f>
        <v>45946</v>
      </c>
      <c r="O24" s="204" t="str">
        <f t="shared" si="25"/>
        <v>qui.</v>
      </c>
      <c r="P24" s="213">
        <v>7000.0</v>
      </c>
      <c r="Q24" s="213">
        <v>3823.63</v>
      </c>
      <c r="R24" s="51">
        <f t="shared" si="8"/>
        <v>-3176.37</v>
      </c>
      <c r="S24" s="214">
        <v>0.0</v>
      </c>
      <c r="T24" s="211">
        <f t="shared" si="9"/>
        <v>0</v>
      </c>
      <c r="U24" s="214">
        <v>0.0</v>
      </c>
      <c r="V24" s="214">
        <v>0.0</v>
      </c>
      <c r="W24" s="214">
        <v>0.0</v>
      </c>
      <c r="X24" s="57">
        <f t="shared" si="10"/>
        <v>0</v>
      </c>
      <c r="AC24" s="74"/>
      <c r="AD24" s="79">
        <f>AD23/AD18</f>
        <v>0.1805743099</v>
      </c>
      <c r="AF24" s="80">
        <f>AF23/AF18</f>
        <v>0</v>
      </c>
      <c r="AI24" s="2" t="s">
        <v>44</v>
      </c>
      <c r="AJ24" s="229">
        <v>17751.7625</v>
      </c>
      <c r="AK24" s="229">
        <v>20000.3875</v>
      </c>
      <c r="AL24" s="2" t="s">
        <v>44</v>
      </c>
      <c r="AM24" s="229">
        <v>21070.352499999997</v>
      </c>
      <c r="AN24" s="229">
        <v>3911.6924999999997</v>
      </c>
    </row>
    <row r="25" ht="15.75" customHeight="1">
      <c r="A25" s="61">
        <v>23008.03</v>
      </c>
      <c r="B25" s="61"/>
      <c r="C25" s="207">
        <v>45947.0</v>
      </c>
      <c r="D25" s="208" t="str">
        <f t="shared" si="3"/>
        <v>sex.</v>
      </c>
      <c r="E25" s="209">
        <v>12958.95</v>
      </c>
      <c r="F25" s="209">
        <v>12381.0</v>
      </c>
      <c r="G25" s="51">
        <f t="shared" si="4"/>
        <v>-577.95</v>
      </c>
      <c r="H25" s="210">
        <v>0.0</v>
      </c>
      <c r="I25" s="211">
        <f t="shared" si="5"/>
        <v>0</v>
      </c>
      <c r="J25" s="57"/>
      <c r="K25" s="57"/>
      <c r="L25" s="57"/>
      <c r="M25" s="57">
        <f t="shared" si="6"/>
        <v>0</v>
      </c>
      <c r="N25" s="212">
        <f t="shared" ref="N25:O25" si="26">C25</f>
        <v>45947</v>
      </c>
      <c r="O25" s="204" t="str">
        <f t="shared" si="26"/>
        <v>sex.</v>
      </c>
      <c r="P25" s="213">
        <v>12500.0</v>
      </c>
      <c r="Q25" s="213">
        <v>10493.11</v>
      </c>
      <c r="R25" s="51">
        <f t="shared" si="8"/>
        <v>-2006.89</v>
      </c>
      <c r="S25" s="214">
        <v>0.0</v>
      </c>
      <c r="T25" s="211">
        <f t="shared" si="9"/>
        <v>0</v>
      </c>
      <c r="U25" s="214">
        <v>0.0</v>
      </c>
      <c r="V25" s="214">
        <v>0.0</v>
      </c>
      <c r="W25" s="214">
        <v>0.0</v>
      </c>
      <c r="X25" s="57">
        <f t="shared" si="10"/>
        <v>0</v>
      </c>
      <c r="AC25" s="74"/>
      <c r="AD25" s="81"/>
      <c r="AF25" s="77"/>
      <c r="AJ25" s="167">
        <f t="shared" ref="AJ25:AK25" si="27">SUM(AJ18:AJ24)</f>
        <v>77053.5925</v>
      </c>
      <c r="AK25" s="167">
        <f t="shared" si="27"/>
        <v>77928.526</v>
      </c>
      <c r="AL25" s="66">
        <f>AK25/AJ25-1</f>
        <v>0.01135486966</v>
      </c>
      <c r="AM25" s="167">
        <f t="shared" ref="AM25:AN25" si="28">SUM(AM18:AM24)</f>
        <v>69659.6865</v>
      </c>
      <c r="AN25" s="167">
        <f t="shared" si="28"/>
        <v>63654.1495</v>
      </c>
      <c r="AO25" s="66">
        <f>AN25/AM25-1</f>
        <v>-0.08621251834</v>
      </c>
    </row>
    <row r="26" ht="19.5" customHeight="1">
      <c r="A26" s="167">
        <f>SUM(A19:A25)</f>
        <v>72555.514</v>
      </c>
      <c r="B26" s="61"/>
      <c r="C26" s="207">
        <v>45948.0</v>
      </c>
      <c r="D26" s="208" t="str">
        <f t="shared" si="3"/>
        <v>sáb.</v>
      </c>
      <c r="E26" s="209">
        <v>22400.0</v>
      </c>
      <c r="F26" s="209">
        <v>20964.7</v>
      </c>
      <c r="G26" s="51">
        <f t="shared" si="4"/>
        <v>-1435.3</v>
      </c>
      <c r="H26" s="210">
        <v>0.0</v>
      </c>
      <c r="I26" s="211">
        <f t="shared" si="5"/>
        <v>0</v>
      </c>
      <c r="J26" s="57"/>
      <c r="K26" s="57"/>
      <c r="L26" s="57"/>
      <c r="M26" s="57">
        <f t="shared" si="6"/>
        <v>0</v>
      </c>
      <c r="N26" s="212">
        <f t="shared" ref="N26:O26" si="29">C26</f>
        <v>45948</v>
      </c>
      <c r="O26" s="204" t="str">
        <f t="shared" si="29"/>
        <v>sáb.</v>
      </c>
      <c r="P26" s="213">
        <v>15000.0</v>
      </c>
      <c r="Q26" s="213">
        <v>15204.08</v>
      </c>
      <c r="R26" s="51">
        <f t="shared" si="8"/>
        <v>204.08</v>
      </c>
      <c r="S26" s="214">
        <v>0.0</v>
      </c>
      <c r="T26" s="211">
        <f t="shared" si="9"/>
        <v>0</v>
      </c>
      <c r="U26" s="214">
        <v>0.0</v>
      </c>
      <c r="V26" s="214">
        <v>0.0</v>
      </c>
      <c r="W26" s="214">
        <v>0.0</v>
      </c>
      <c r="X26" s="57">
        <f t="shared" si="10"/>
        <v>0</v>
      </c>
      <c r="AC26" s="74" t="s">
        <v>63</v>
      </c>
      <c r="AD26" s="75">
        <f>SUM(Q23:Q29)</f>
        <v>58985.82</v>
      </c>
      <c r="AE26" s="58" t="s">
        <v>63</v>
      </c>
      <c r="AF26" s="76">
        <f>SUM(W23:W29)</f>
        <v>0</v>
      </c>
    </row>
    <row r="27" ht="15.75" customHeight="1">
      <c r="C27" s="207">
        <v>45949.0</v>
      </c>
      <c r="D27" s="208" t="str">
        <f t="shared" si="3"/>
        <v>dom.</v>
      </c>
      <c r="E27" s="209">
        <v>17750.0</v>
      </c>
      <c r="F27" s="209">
        <v>13620.9</v>
      </c>
      <c r="G27" s="51">
        <f t="shared" si="4"/>
        <v>-4129.1</v>
      </c>
      <c r="H27" s="210">
        <v>0.0</v>
      </c>
      <c r="I27" s="211">
        <f t="shared" si="5"/>
        <v>0</v>
      </c>
      <c r="J27" s="57"/>
      <c r="K27" s="57"/>
      <c r="L27" s="57"/>
      <c r="M27" s="57">
        <f t="shared" si="6"/>
        <v>0</v>
      </c>
      <c r="N27" s="212">
        <f t="shared" ref="N27:O27" si="30">C27</f>
        <v>45949</v>
      </c>
      <c r="O27" s="204" t="str">
        <f t="shared" si="30"/>
        <v>dom.</v>
      </c>
      <c r="P27" s="213">
        <v>22500.0</v>
      </c>
      <c r="Q27" s="213">
        <v>18325.48</v>
      </c>
      <c r="R27" s="51">
        <f t="shared" si="8"/>
        <v>-4174.52</v>
      </c>
      <c r="S27" s="214">
        <v>0.0</v>
      </c>
      <c r="T27" s="211">
        <f t="shared" si="9"/>
        <v>0</v>
      </c>
      <c r="U27" s="214">
        <v>0.0</v>
      </c>
      <c r="V27" s="214">
        <v>0.0</v>
      </c>
      <c r="W27" s="214">
        <v>0.0</v>
      </c>
      <c r="X27" s="57">
        <f t="shared" si="10"/>
        <v>0</v>
      </c>
      <c r="AC27" s="74"/>
      <c r="AD27" s="79">
        <f>AD26/AD18</f>
        <v>0.1661572394</v>
      </c>
      <c r="AF27" s="80">
        <f>AF26/AF18</f>
        <v>0</v>
      </c>
    </row>
    <row r="28" ht="15.75" customHeight="1">
      <c r="C28" s="207">
        <v>45950.0</v>
      </c>
      <c r="D28" s="208" t="str">
        <f t="shared" si="3"/>
        <v>seg.</v>
      </c>
      <c r="E28" s="209">
        <v>3800.0</v>
      </c>
      <c r="F28" s="209">
        <v>4570.46</v>
      </c>
      <c r="G28" s="51">
        <f t="shared" si="4"/>
        <v>770.46</v>
      </c>
      <c r="H28" s="210">
        <v>0.0</v>
      </c>
      <c r="I28" s="211">
        <f t="shared" si="5"/>
        <v>0</v>
      </c>
      <c r="J28" s="57"/>
      <c r="K28" s="57"/>
      <c r="L28" s="57"/>
      <c r="M28" s="57">
        <f t="shared" si="6"/>
        <v>0</v>
      </c>
      <c r="N28" s="212">
        <f t="shared" ref="N28:O28" si="31">C28</f>
        <v>45950</v>
      </c>
      <c r="O28" s="204" t="str">
        <f t="shared" si="31"/>
        <v>seg.</v>
      </c>
      <c r="P28" s="213">
        <v>5000.0</v>
      </c>
      <c r="Q28" s="213">
        <v>2959.4</v>
      </c>
      <c r="R28" s="51">
        <f t="shared" si="8"/>
        <v>-2040.6</v>
      </c>
      <c r="S28" s="214">
        <v>0.0</v>
      </c>
      <c r="T28" s="211">
        <f t="shared" si="9"/>
        <v>0</v>
      </c>
      <c r="U28" s="214">
        <v>0.0</v>
      </c>
      <c r="V28" s="214">
        <v>0.0</v>
      </c>
      <c r="W28" s="214">
        <v>0.0</v>
      </c>
      <c r="X28" s="57">
        <f t="shared" si="10"/>
        <v>0</v>
      </c>
      <c r="AC28" s="74"/>
      <c r="AF28" s="82"/>
    </row>
    <row r="29" ht="15.75" customHeight="1">
      <c r="C29" s="207">
        <v>45951.0</v>
      </c>
      <c r="D29" s="208" t="str">
        <f t="shared" si="3"/>
        <v>ter.</v>
      </c>
      <c r="E29" s="209">
        <v>5500.0</v>
      </c>
      <c r="F29" s="282">
        <v>3006.0</v>
      </c>
      <c r="G29" s="51">
        <f t="shared" si="4"/>
        <v>-2494</v>
      </c>
      <c r="H29" s="210">
        <v>0.0</v>
      </c>
      <c r="I29" s="211">
        <f t="shared" si="5"/>
        <v>0</v>
      </c>
      <c r="J29" s="57"/>
      <c r="K29" s="57"/>
      <c r="L29" s="57"/>
      <c r="M29" s="57">
        <f t="shared" si="6"/>
        <v>0</v>
      </c>
      <c r="N29" s="212">
        <f t="shared" ref="N29:O29" si="32">C29</f>
        <v>45951</v>
      </c>
      <c r="O29" s="204" t="str">
        <f t="shared" si="32"/>
        <v>ter.</v>
      </c>
      <c r="P29" s="213">
        <v>5500.0</v>
      </c>
      <c r="Q29" s="213">
        <v>3635.47</v>
      </c>
      <c r="R29" s="51">
        <f t="shared" si="8"/>
        <v>-1864.53</v>
      </c>
      <c r="S29" s="214">
        <v>0.0</v>
      </c>
      <c r="T29" s="211">
        <f t="shared" si="9"/>
        <v>0</v>
      </c>
      <c r="U29" s="214">
        <v>0.0</v>
      </c>
      <c r="V29" s="214">
        <v>0.0</v>
      </c>
      <c r="W29" s="214">
        <v>0.0</v>
      </c>
      <c r="X29" s="57">
        <f t="shared" si="10"/>
        <v>0</v>
      </c>
      <c r="AC29" s="74" t="s">
        <v>64</v>
      </c>
      <c r="AD29" s="61">
        <f>SUM(Q30:Q36)</f>
        <v>72648.16</v>
      </c>
      <c r="AE29" s="58" t="s">
        <v>64</v>
      </c>
      <c r="AF29" s="83">
        <f>SUM(W30:W36)</f>
        <v>0</v>
      </c>
    </row>
    <row r="30" ht="19.5" customHeight="1">
      <c r="C30" s="207">
        <v>45952.0</v>
      </c>
      <c r="D30" s="208" t="str">
        <f t="shared" si="3"/>
        <v>qua.</v>
      </c>
      <c r="E30" s="209">
        <v>8500.0</v>
      </c>
      <c r="F30" s="282">
        <v>9968.4</v>
      </c>
      <c r="G30" s="51">
        <f t="shared" si="4"/>
        <v>1468.4</v>
      </c>
      <c r="H30" s="210">
        <v>0.0</v>
      </c>
      <c r="I30" s="211">
        <f t="shared" si="5"/>
        <v>0</v>
      </c>
      <c r="J30" s="57"/>
      <c r="K30" s="57"/>
      <c r="L30" s="57"/>
      <c r="M30" s="57">
        <f t="shared" si="6"/>
        <v>0</v>
      </c>
      <c r="N30" s="212">
        <f t="shared" ref="N30:O30" si="33">C30</f>
        <v>45952</v>
      </c>
      <c r="O30" s="204" t="str">
        <f t="shared" si="33"/>
        <v>qua.</v>
      </c>
      <c r="P30" s="213">
        <v>5500.0</v>
      </c>
      <c r="Q30" s="213">
        <v>5380.87</v>
      </c>
      <c r="R30" s="51">
        <f t="shared" si="8"/>
        <v>-119.13</v>
      </c>
      <c r="S30" s="214">
        <v>0.0</v>
      </c>
      <c r="T30" s="211">
        <f t="shared" si="9"/>
        <v>0</v>
      </c>
      <c r="U30" s="214">
        <v>0.0</v>
      </c>
      <c r="V30" s="214">
        <v>0.0</v>
      </c>
      <c r="W30" s="214">
        <v>0.0</v>
      </c>
      <c r="X30" s="57">
        <f t="shared" si="10"/>
        <v>0</v>
      </c>
      <c r="AC30" s="74"/>
      <c r="AD30" s="79">
        <f>AD29/AD18</f>
        <v>0.2046427042</v>
      </c>
      <c r="AF30" s="80">
        <f>AF29/AF18</f>
        <v>0</v>
      </c>
    </row>
    <row r="31" ht="18.0" customHeight="1">
      <c r="C31" s="207">
        <v>45953.0</v>
      </c>
      <c r="D31" s="208" t="str">
        <f t="shared" si="3"/>
        <v>qui.</v>
      </c>
      <c r="E31" s="209">
        <v>7600.0</v>
      </c>
      <c r="F31" s="282">
        <v>11713.2</v>
      </c>
      <c r="G31" s="51">
        <f t="shared" si="4"/>
        <v>4113.2</v>
      </c>
      <c r="H31" s="210">
        <v>0.0</v>
      </c>
      <c r="I31" s="211">
        <f t="shared" si="5"/>
        <v>0</v>
      </c>
      <c r="J31" s="57"/>
      <c r="K31" s="57"/>
      <c r="L31" s="57"/>
      <c r="M31" s="57">
        <f t="shared" si="6"/>
        <v>0</v>
      </c>
      <c r="N31" s="212">
        <f t="shared" ref="N31:O31" si="34">C31</f>
        <v>45953</v>
      </c>
      <c r="O31" s="204" t="str">
        <f t="shared" si="34"/>
        <v>qui.</v>
      </c>
      <c r="P31" s="213">
        <v>7000.0</v>
      </c>
      <c r="Q31" s="213">
        <v>8653.609999999999</v>
      </c>
      <c r="R31" s="51">
        <f t="shared" si="8"/>
        <v>1653.61</v>
      </c>
      <c r="S31" s="214">
        <v>0.0</v>
      </c>
      <c r="T31" s="211">
        <f t="shared" si="9"/>
        <v>0</v>
      </c>
      <c r="U31" s="214">
        <v>0.0</v>
      </c>
      <c r="V31" s="214">
        <v>0.0</v>
      </c>
      <c r="W31" s="214">
        <v>0.0</v>
      </c>
      <c r="X31" s="57">
        <f t="shared" si="10"/>
        <v>0</v>
      </c>
      <c r="AC31" s="74" t="s">
        <v>65</v>
      </c>
      <c r="AD31" s="61">
        <f>SUM(Q37:Q39)</f>
        <v>20313.99</v>
      </c>
      <c r="AE31" s="58" t="s">
        <v>65</v>
      </c>
      <c r="AF31" s="83">
        <f>SUM(W37:W39)</f>
        <v>0</v>
      </c>
    </row>
    <row r="32" ht="15.75" customHeight="1">
      <c r="C32" s="207">
        <v>45954.0</v>
      </c>
      <c r="D32" s="208" t="str">
        <f t="shared" si="3"/>
        <v>sex.</v>
      </c>
      <c r="E32" s="209">
        <v>13000.0</v>
      </c>
      <c r="F32" s="282">
        <v>13686.9</v>
      </c>
      <c r="G32" s="51">
        <f t="shared" si="4"/>
        <v>686.9</v>
      </c>
      <c r="H32" s="210">
        <v>0.0</v>
      </c>
      <c r="I32" s="211">
        <f t="shared" si="5"/>
        <v>0</v>
      </c>
      <c r="J32" s="57"/>
      <c r="K32" s="57"/>
      <c r="L32" s="57"/>
      <c r="M32" s="57">
        <f t="shared" si="6"/>
        <v>0</v>
      </c>
      <c r="N32" s="212">
        <f t="shared" ref="N32:O32" si="35">C32</f>
        <v>45954</v>
      </c>
      <c r="O32" s="204" t="str">
        <f t="shared" si="35"/>
        <v>sex.</v>
      </c>
      <c r="P32" s="213">
        <v>12500.0</v>
      </c>
      <c r="Q32" s="213">
        <v>13192.85</v>
      </c>
      <c r="R32" s="51">
        <f t="shared" si="8"/>
        <v>692.85</v>
      </c>
      <c r="S32" s="214">
        <v>0.0</v>
      </c>
      <c r="T32" s="211">
        <f t="shared" si="9"/>
        <v>0</v>
      </c>
      <c r="U32" s="214">
        <v>0.0</v>
      </c>
      <c r="V32" s="214">
        <v>0.0</v>
      </c>
      <c r="W32" s="214">
        <v>0.0</v>
      </c>
      <c r="X32" s="57">
        <f t="shared" si="10"/>
        <v>0</v>
      </c>
      <c r="AC32" s="84" t="s">
        <v>206</v>
      </c>
      <c r="AD32" s="85">
        <f>AD31/AD18</f>
        <v>0.05722250704</v>
      </c>
      <c r="AE32" s="84" t="s">
        <v>206</v>
      </c>
      <c r="AF32" s="87">
        <f>AF31/AF18</f>
        <v>0</v>
      </c>
    </row>
    <row r="33" ht="15.75" customHeight="1">
      <c r="A33" s="57" t="s">
        <v>213</v>
      </c>
      <c r="B33" s="229">
        <v>12544.0</v>
      </c>
      <c r="C33" s="207">
        <v>45955.0</v>
      </c>
      <c r="D33" s="208" t="str">
        <f t="shared" si="3"/>
        <v>sáb.</v>
      </c>
      <c r="E33" s="209">
        <v>22400.0</v>
      </c>
      <c r="F33" s="282">
        <v>15885.75</v>
      </c>
      <c r="G33" s="51">
        <f t="shared" si="4"/>
        <v>-6514.25</v>
      </c>
      <c r="H33" s="210">
        <v>0.0</v>
      </c>
      <c r="I33" s="211">
        <f t="shared" si="5"/>
        <v>0</v>
      </c>
      <c r="J33" s="57"/>
      <c r="K33" s="57"/>
      <c r="L33" s="57"/>
      <c r="M33" s="57">
        <f t="shared" si="6"/>
        <v>0</v>
      </c>
      <c r="N33" s="212">
        <f t="shared" ref="N33:O33" si="36">C33</f>
        <v>45955</v>
      </c>
      <c r="O33" s="204" t="str">
        <f t="shared" si="36"/>
        <v>sáb.</v>
      </c>
      <c r="P33" s="213">
        <v>15000.0</v>
      </c>
      <c r="Q33" s="213">
        <v>15061.6</v>
      </c>
      <c r="R33" s="51">
        <f t="shared" si="8"/>
        <v>61.6</v>
      </c>
      <c r="S33" s="214">
        <v>0.0</v>
      </c>
      <c r="T33" s="211">
        <f t="shared" si="9"/>
        <v>0</v>
      </c>
      <c r="U33" s="214">
        <v>0.0</v>
      </c>
      <c r="V33" s="214">
        <v>0.0</v>
      </c>
      <c r="W33" s="214">
        <v>0.0</v>
      </c>
      <c r="X33" s="57">
        <f t="shared" si="10"/>
        <v>0</v>
      </c>
    </row>
    <row r="34" ht="15.75" customHeight="1">
      <c r="A34" s="57" t="s">
        <v>214</v>
      </c>
      <c r="B34" s="229">
        <f>16297-200</f>
        <v>16097</v>
      </c>
      <c r="C34" s="207">
        <v>45956.0</v>
      </c>
      <c r="D34" s="208" t="str">
        <f t="shared" si="3"/>
        <v>dom.</v>
      </c>
      <c r="E34" s="209">
        <v>17750.0</v>
      </c>
      <c r="F34" s="282">
        <v>23858.5</v>
      </c>
      <c r="G34" s="51">
        <f t="shared" si="4"/>
        <v>6108.5</v>
      </c>
      <c r="H34" s="210">
        <v>0.0</v>
      </c>
      <c r="I34" s="211">
        <f t="shared" si="5"/>
        <v>0</v>
      </c>
      <c r="J34" s="57"/>
      <c r="K34" s="57"/>
      <c r="L34" s="57"/>
      <c r="M34" s="57">
        <f t="shared" si="6"/>
        <v>0</v>
      </c>
      <c r="N34" s="212">
        <f t="shared" ref="N34:O34" si="37">C34</f>
        <v>45956</v>
      </c>
      <c r="O34" s="204" t="str">
        <f t="shared" si="37"/>
        <v>dom.</v>
      </c>
      <c r="P34" s="213">
        <v>22500.0</v>
      </c>
      <c r="Q34" s="213">
        <v>20117.71</v>
      </c>
      <c r="R34" s="51">
        <f t="shared" si="8"/>
        <v>-2382.29</v>
      </c>
      <c r="S34" s="214">
        <v>0.0</v>
      </c>
      <c r="T34" s="211">
        <f t="shared" si="9"/>
        <v>0</v>
      </c>
      <c r="U34" s="214">
        <v>0.0</v>
      </c>
      <c r="V34" s="214">
        <v>0.0</v>
      </c>
      <c r="W34" s="214">
        <v>0.0</v>
      </c>
      <c r="X34" s="57">
        <f t="shared" si="10"/>
        <v>0</v>
      </c>
      <c r="AB34" s="278" t="s">
        <v>72</v>
      </c>
      <c r="AC34" s="93" t="s">
        <v>73</v>
      </c>
      <c r="AD34" s="94">
        <f>Q40</f>
        <v>276437.61</v>
      </c>
      <c r="AE34" s="164" t="s">
        <v>74</v>
      </c>
      <c r="AF34" s="96">
        <f>W40</f>
        <v>0</v>
      </c>
      <c r="AG34" s="278" t="s">
        <v>72</v>
      </c>
    </row>
    <row r="35" ht="19.5" customHeight="1">
      <c r="A35" s="279" t="s">
        <v>215</v>
      </c>
      <c r="B35" s="280">
        <f>B34/B33-1</f>
        <v>0.2832429847</v>
      </c>
      <c r="C35" s="207">
        <v>45957.0</v>
      </c>
      <c r="D35" s="208" t="str">
        <f t="shared" si="3"/>
        <v>seg.</v>
      </c>
      <c r="E35" s="209">
        <v>3800.0</v>
      </c>
      <c r="F35" s="209">
        <v>10849.4</v>
      </c>
      <c r="G35" s="51">
        <f t="shared" si="4"/>
        <v>7049.4</v>
      </c>
      <c r="H35" s="210">
        <v>0.0</v>
      </c>
      <c r="I35" s="211">
        <f t="shared" si="5"/>
        <v>0</v>
      </c>
      <c r="J35" s="57"/>
      <c r="K35" s="57"/>
      <c r="L35" s="57"/>
      <c r="M35" s="57">
        <f t="shared" si="6"/>
        <v>0</v>
      </c>
      <c r="N35" s="212">
        <f t="shared" ref="N35:O35" si="38">C35</f>
        <v>45957</v>
      </c>
      <c r="O35" s="204" t="str">
        <f t="shared" si="38"/>
        <v>seg.</v>
      </c>
      <c r="P35" s="213">
        <v>5000.0</v>
      </c>
      <c r="Q35" s="213">
        <v>4568.21</v>
      </c>
      <c r="R35" s="51">
        <f t="shared" si="8"/>
        <v>-431.79</v>
      </c>
      <c r="S35" s="214">
        <v>0.0</v>
      </c>
      <c r="T35" s="211">
        <f t="shared" si="9"/>
        <v>0</v>
      </c>
      <c r="U35" s="214">
        <v>0.0</v>
      </c>
      <c r="V35" s="214">
        <v>0.0</v>
      </c>
      <c r="W35" s="214">
        <v>0.0</v>
      </c>
      <c r="X35" s="57">
        <f t="shared" si="10"/>
        <v>0</v>
      </c>
      <c r="AB35" s="281">
        <f>AD35-AE35</f>
        <v>-0.221302507</v>
      </c>
      <c r="AC35" s="98"/>
      <c r="AD35" s="99">
        <f>AD34/AD18</f>
        <v>0.778697493</v>
      </c>
      <c r="AE35" s="165">
        <f>31/31</f>
        <v>1</v>
      </c>
      <c r="AF35" s="100">
        <f>AF34/AF18</f>
        <v>0</v>
      </c>
      <c r="AG35" s="281">
        <f>AF35-AE35</f>
        <v>-1</v>
      </c>
    </row>
    <row r="36" ht="15.75" customHeight="1">
      <c r="C36" s="207">
        <v>45958.0</v>
      </c>
      <c r="D36" s="208" t="str">
        <f t="shared" si="3"/>
        <v>ter.</v>
      </c>
      <c r="E36" s="209">
        <v>5500.0</v>
      </c>
      <c r="F36" s="282">
        <v>5528.0</v>
      </c>
      <c r="G36" s="51">
        <f t="shared" si="4"/>
        <v>28</v>
      </c>
      <c r="H36" s="210">
        <v>0.0</v>
      </c>
      <c r="I36" s="211">
        <f t="shared" si="5"/>
        <v>0</v>
      </c>
      <c r="J36" s="57"/>
      <c r="K36" s="57"/>
      <c r="L36" s="57"/>
      <c r="M36" s="57">
        <f t="shared" si="6"/>
        <v>0</v>
      </c>
      <c r="N36" s="212">
        <f t="shared" ref="N36:O36" si="39">C36</f>
        <v>45958</v>
      </c>
      <c r="O36" s="204" t="str">
        <f t="shared" si="39"/>
        <v>ter.</v>
      </c>
      <c r="P36" s="213">
        <v>5500.0</v>
      </c>
      <c r="Q36" s="213">
        <v>5673.3099999999995</v>
      </c>
      <c r="R36" s="51">
        <f t="shared" si="8"/>
        <v>173.31</v>
      </c>
      <c r="S36" s="214">
        <v>0.0</v>
      </c>
      <c r="T36" s="211">
        <f t="shared" si="9"/>
        <v>0</v>
      </c>
      <c r="U36" s="214">
        <v>0.0</v>
      </c>
      <c r="V36" s="214">
        <v>0.0</v>
      </c>
      <c r="W36" s="214">
        <v>0.0</v>
      </c>
      <c r="X36" s="57">
        <f t="shared" si="10"/>
        <v>0</v>
      </c>
      <c r="AC36" s="98" t="s">
        <v>76</v>
      </c>
      <c r="AD36" s="104">
        <f>AD18-AD34</f>
        <v>78562.39</v>
      </c>
      <c r="AE36" s="99"/>
      <c r="AF36" s="106">
        <f>AF18-AF34</f>
        <v>310000</v>
      </c>
    </row>
    <row r="37" ht="15.75" customHeight="1">
      <c r="C37" s="207">
        <v>45959.0</v>
      </c>
      <c r="D37" s="208" t="str">
        <f t="shared" si="3"/>
        <v>qua.</v>
      </c>
      <c r="E37" s="209">
        <v>8500.0</v>
      </c>
      <c r="F37" s="282">
        <v>3833.5</v>
      </c>
      <c r="G37" s="51">
        <f t="shared" si="4"/>
        <v>-4666.5</v>
      </c>
      <c r="H37" s="210">
        <v>0.0</v>
      </c>
      <c r="I37" s="211">
        <f t="shared" si="5"/>
        <v>0</v>
      </c>
      <c r="J37" s="57"/>
      <c r="K37" s="57"/>
      <c r="L37" s="57"/>
      <c r="M37" s="57">
        <f t="shared" si="6"/>
        <v>0</v>
      </c>
      <c r="N37" s="212">
        <f t="shared" ref="N37:O37" si="40">C37</f>
        <v>45959</v>
      </c>
      <c r="O37" s="204" t="str">
        <f t="shared" si="40"/>
        <v>qua.</v>
      </c>
      <c r="P37" s="213">
        <v>5500.0</v>
      </c>
      <c r="Q37" s="213">
        <v>4028.2599999999998</v>
      </c>
      <c r="R37" s="51">
        <f t="shared" si="8"/>
        <v>-1471.74</v>
      </c>
      <c r="S37" s="214">
        <v>0.0</v>
      </c>
      <c r="T37" s="211">
        <f t="shared" si="9"/>
        <v>0</v>
      </c>
      <c r="U37" s="214">
        <v>0.0</v>
      </c>
      <c r="V37" s="214">
        <v>0.0</v>
      </c>
      <c r="W37" s="214">
        <v>0.0</v>
      </c>
      <c r="X37" s="57">
        <f t="shared" si="10"/>
        <v>0</v>
      </c>
      <c r="AC37" s="110"/>
      <c r="AD37" s="112">
        <f>AD36/AD18</f>
        <v>0.221302507</v>
      </c>
      <c r="AE37" s="112"/>
      <c r="AF37" s="113">
        <f>AF36/AF18</f>
        <v>1</v>
      </c>
    </row>
    <row r="38" ht="15.75" customHeight="1">
      <c r="C38" s="207">
        <v>45960.0</v>
      </c>
      <c r="D38" s="208" t="str">
        <f t="shared" si="3"/>
        <v>qui.</v>
      </c>
      <c r="E38" s="209">
        <v>7600.0</v>
      </c>
      <c r="F38" s="282">
        <v>4694.5</v>
      </c>
      <c r="G38" s="51">
        <f t="shared" si="4"/>
        <v>-2905.5</v>
      </c>
      <c r="H38" s="210">
        <v>0.0</v>
      </c>
      <c r="I38" s="211">
        <f t="shared" si="5"/>
        <v>0</v>
      </c>
      <c r="J38" s="57"/>
      <c r="K38" s="57"/>
      <c r="L38" s="57"/>
      <c r="M38" s="57">
        <f t="shared" si="6"/>
        <v>0</v>
      </c>
      <c r="N38" s="212">
        <f t="shared" ref="N38:O38" si="41">C38</f>
        <v>45960</v>
      </c>
      <c r="O38" s="204" t="str">
        <f t="shared" si="41"/>
        <v>qui.</v>
      </c>
      <c r="P38" s="213">
        <v>7000.0</v>
      </c>
      <c r="Q38" s="213">
        <v>5349.469999999999</v>
      </c>
      <c r="R38" s="51">
        <f t="shared" si="8"/>
        <v>-1650.53</v>
      </c>
      <c r="S38" s="214">
        <v>0.0</v>
      </c>
      <c r="T38" s="211">
        <f t="shared" si="9"/>
        <v>0</v>
      </c>
      <c r="U38" s="214">
        <v>0.0</v>
      </c>
      <c r="V38" s="214">
        <v>0.0</v>
      </c>
      <c r="W38" s="214">
        <v>0.0</v>
      </c>
      <c r="X38" s="57">
        <f t="shared" si="10"/>
        <v>0</v>
      </c>
    </row>
    <row r="39" ht="15.75" customHeight="1">
      <c r="C39" s="207">
        <v>45961.0</v>
      </c>
      <c r="D39" s="208" t="str">
        <f t="shared" si="3"/>
        <v>sex.</v>
      </c>
      <c r="E39" s="209">
        <v>13000.0</v>
      </c>
      <c r="F39" s="282">
        <v>16297.79</v>
      </c>
      <c r="G39" s="51">
        <f t="shared" si="4"/>
        <v>3297.79</v>
      </c>
      <c r="H39" s="210">
        <v>0.0</v>
      </c>
      <c r="I39" s="211">
        <f t="shared" si="5"/>
        <v>0</v>
      </c>
      <c r="J39" s="57"/>
      <c r="K39" s="57"/>
      <c r="L39" s="57"/>
      <c r="M39" s="57">
        <f t="shared" si="6"/>
        <v>0</v>
      </c>
      <c r="N39" s="212">
        <f t="shared" ref="N39:O39" si="42">C39</f>
        <v>45961</v>
      </c>
      <c r="O39" s="204" t="str">
        <f t="shared" si="42"/>
        <v>sex.</v>
      </c>
      <c r="P39" s="213">
        <v>12500.0</v>
      </c>
      <c r="Q39" s="213">
        <v>10936.259999999998</v>
      </c>
      <c r="R39" s="51">
        <f t="shared" si="8"/>
        <v>-1563.74</v>
      </c>
      <c r="S39" s="214">
        <v>0.0</v>
      </c>
      <c r="T39" s="211">
        <f t="shared" si="9"/>
        <v>0</v>
      </c>
      <c r="U39" s="214">
        <v>0.0</v>
      </c>
      <c r="V39" s="214">
        <v>0.0</v>
      </c>
      <c r="W39" s="214">
        <v>0.0</v>
      </c>
      <c r="X39" s="57">
        <f t="shared" si="10"/>
        <v>0</v>
      </c>
    </row>
    <row r="40" ht="15.75" customHeight="1">
      <c r="C40" s="218"/>
      <c r="D40" s="218"/>
      <c r="E40" s="219">
        <f t="shared" ref="E40:G40" si="43">SUM(E9:E39)</f>
        <v>355055.71</v>
      </c>
      <c r="F40" s="219">
        <f t="shared" si="43"/>
        <v>338505.3</v>
      </c>
      <c r="G40" s="105">
        <f t="shared" si="43"/>
        <v>-16550.41</v>
      </c>
      <c r="H40" s="105"/>
      <c r="I40" s="105"/>
      <c r="J40" s="105">
        <f t="shared" ref="J40:M40" si="44">SUM(J9:J39)</f>
        <v>0</v>
      </c>
      <c r="K40" s="105">
        <f t="shared" si="44"/>
        <v>0</v>
      </c>
      <c r="L40" s="105">
        <f t="shared" si="44"/>
        <v>0</v>
      </c>
      <c r="M40" s="105">
        <f t="shared" si="44"/>
        <v>0</v>
      </c>
      <c r="N40" s="286"/>
      <c r="O40" s="287"/>
      <c r="P40" s="222">
        <f>SUM(P9:P39)</f>
        <v>310186.98</v>
      </c>
      <c r="Q40" s="222">
        <f>SUM(Q9:Q39)-12-24</f>
        <v>276437.61</v>
      </c>
      <c r="R40" s="105">
        <f t="shared" ref="R40:S40" si="45">SUM(R9:R39)</f>
        <v>-33713.37</v>
      </c>
      <c r="S40" s="223">
        <f t="shared" si="45"/>
        <v>0</v>
      </c>
      <c r="T40" s="224"/>
      <c r="U40" s="223">
        <f t="shared" ref="U40:X40" si="46">SUM(U9:U39)</f>
        <v>0</v>
      </c>
      <c r="V40" s="223">
        <f t="shared" si="46"/>
        <v>0</v>
      </c>
      <c r="W40" s="223">
        <f t="shared" si="46"/>
        <v>0</v>
      </c>
      <c r="X40" s="223">
        <f t="shared" si="46"/>
        <v>0</v>
      </c>
      <c r="AA40" s="61"/>
      <c r="AF40" s="61"/>
    </row>
    <row r="41" ht="15.75" customHeight="1">
      <c r="D41" s="61"/>
      <c r="E41" s="61"/>
      <c r="F41" s="225"/>
      <c r="G41" s="114"/>
      <c r="H41" s="226"/>
      <c r="I41" s="226"/>
      <c r="N41" s="61"/>
      <c r="P41" s="61"/>
      <c r="Q41" s="275"/>
      <c r="R41" s="114"/>
      <c r="S41" s="199"/>
      <c r="T41" s="200"/>
    </row>
    <row r="42" ht="15.75" customHeight="1"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200"/>
    </row>
    <row r="43" ht="15.75" customHeight="1">
      <c r="C43" s="2"/>
      <c r="D43" s="2"/>
      <c r="E43" s="115" t="s">
        <v>77</v>
      </c>
      <c r="F43" s="118">
        <f>E40+G40</f>
        <v>338505.3</v>
      </c>
      <c r="P43" s="115" t="s">
        <v>77</v>
      </c>
      <c r="Q43" s="118">
        <f>P40+R40</f>
        <v>276473.61</v>
      </c>
      <c r="S43" s="199"/>
      <c r="T43" s="200"/>
    </row>
    <row r="44" ht="15.75" customHeight="1">
      <c r="C44" s="122" t="s">
        <v>29</v>
      </c>
      <c r="D44" s="124">
        <f>E40</f>
        <v>355055.71</v>
      </c>
      <c r="E44" s="2"/>
      <c r="F44" s="2"/>
      <c r="N44" s="126" t="s">
        <v>29</v>
      </c>
      <c r="O44" s="124">
        <f>P40</f>
        <v>310186.98</v>
      </c>
      <c r="P44" s="2"/>
      <c r="Q44" s="2"/>
      <c r="S44" s="199"/>
      <c r="T44" s="200"/>
    </row>
    <row r="45" ht="15.75" customHeight="1">
      <c r="C45" s="61"/>
      <c r="D45" s="175"/>
      <c r="E45" s="61"/>
      <c r="F45" s="61"/>
      <c r="N45" s="175"/>
      <c r="O45" s="61"/>
      <c r="S45" s="199"/>
      <c r="T45" s="200"/>
    </row>
    <row r="46" ht="16.5" customHeight="1">
      <c r="C46" s="61"/>
      <c r="D46" s="175"/>
      <c r="E46" s="61"/>
      <c r="F46" s="61"/>
      <c r="N46" s="175"/>
      <c r="O46" s="61"/>
      <c r="S46" s="199"/>
      <c r="T46" s="200"/>
    </row>
    <row r="47" ht="16.5" customHeight="1">
      <c r="C47" s="61"/>
      <c r="D47" s="175"/>
      <c r="E47" s="61"/>
      <c r="F47" s="61"/>
      <c r="N47" s="175"/>
      <c r="O47" s="61"/>
      <c r="S47" s="199"/>
      <c r="T47" s="200"/>
    </row>
    <row r="48" ht="16.5" customHeight="1">
      <c r="C48" s="61"/>
      <c r="D48" s="175"/>
      <c r="E48" s="61"/>
      <c r="F48" s="61"/>
      <c r="N48" s="175"/>
      <c r="O48" s="61"/>
      <c r="S48" s="199"/>
      <c r="T48" s="200"/>
    </row>
    <row r="49" ht="16.5" customHeight="1">
      <c r="C49" s="61"/>
      <c r="D49" s="175"/>
      <c r="E49" s="61"/>
      <c r="F49" s="61"/>
      <c r="N49" s="175"/>
      <c r="O49" s="61"/>
      <c r="S49" s="199"/>
      <c r="T49" s="200"/>
    </row>
    <row r="50" ht="16.5" customHeight="1">
      <c r="C50" s="61"/>
      <c r="D50" s="175"/>
      <c r="E50" s="61"/>
      <c r="F50" s="61"/>
      <c r="N50" s="175"/>
      <c r="O50" s="61"/>
      <c r="S50" s="199"/>
      <c r="T50" s="200"/>
    </row>
  </sheetData>
  <mergeCells count="10">
    <mergeCell ref="AJ5:AK5"/>
    <mergeCell ref="AJ16:AK16"/>
    <mergeCell ref="AM16:AN16"/>
    <mergeCell ref="C4:M6"/>
    <mergeCell ref="N4:X6"/>
    <mergeCell ref="AB5:AC5"/>
    <mergeCell ref="AE5:AF5"/>
    <mergeCell ref="AM5:AN5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X40">
    <cfRule type="cellIs" dxfId="0" priority="7" operator="greaterThanOrEqual">
      <formula>0</formula>
    </cfRule>
  </conditionalFormatting>
  <conditionalFormatting sqref="S40:X40">
    <cfRule type="cellIs" dxfId="1" priority="8" operator="lessThan">
      <formula>0</formula>
    </cfRule>
  </conditionalFormatting>
  <conditionalFormatting sqref="S40:X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67"/>
    <col customWidth="1" min="3" max="3" width="13.89"/>
    <col customWidth="1" min="4" max="4" width="16.56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3.78"/>
    <col customWidth="1" min="15" max="15" width="15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5" width="14.78"/>
    <col customWidth="1" min="26" max="26" width="10.56"/>
    <col customWidth="1" min="27" max="27" width="13.67"/>
    <col customWidth="1" min="28" max="28" width="15.78"/>
    <col customWidth="1" min="29" max="29" width="15.44"/>
    <col customWidth="1" min="30" max="30" width="16.0"/>
    <col customWidth="1" min="31" max="31" width="15.44"/>
    <col customWidth="1" min="32" max="32" width="14.78"/>
    <col customWidth="1" min="33" max="33" width="10.56"/>
    <col customWidth="1" min="34" max="35" width="13.67"/>
    <col customWidth="1" min="36" max="36" width="13.78"/>
    <col customWidth="1" min="37" max="38" width="13.67"/>
  </cols>
  <sheetData>
    <row r="1" ht="15.75" customHeight="1">
      <c r="E1" s="61"/>
      <c r="H1" s="61"/>
      <c r="I1" s="61"/>
      <c r="S1" s="199"/>
      <c r="T1" s="200"/>
    </row>
    <row r="2" ht="15.75" customHeight="1">
      <c r="E2" s="61"/>
      <c r="H2" s="61"/>
      <c r="I2" s="61"/>
      <c r="S2" s="199"/>
      <c r="T2" s="200"/>
    </row>
    <row r="3" ht="15.75" customHeight="1">
      <c r="A3" s="61"/>
      <c r="B3" s="61"/>
      <c r="C3" s="61"/>
      <c r="F3" s="75"/>
      <c r="G3" s="2"/>
      <c r="N3" s="2"/>
      <c r="O3" s="2"/>
      <c r="P3" s="2"/>
      <c r="Q3" s="2"/>
      <c r="S3" s="199"/>
      <c r="T3" s="200"/>
    </row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A5" s="288"/>
      <c r="B5" s="288"/>
      <c r="C5" s="31"/>
      <c r="M5" s="32"/>
      <c r="N5" s="31"/>
      <c r="X5" s="32"/>
      <c r="AA5" s="46" t="s">
        <v>207</v>
      </c>
      <c r="AB5" s="6"/>
      <c r="AD5" s="46" t="s">
        <v>208</v>
      </c>
      <c r="AE5" s="6"/>
      <c r="AH5" s="46" t="s">
        <v>207</v>
      </c>
      <c r="AI5" s="6"/>
      <c r="AK5" s="46" t="s">
        <v>208</v>
      </c>
      <c r="AL5" s="6"/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AA6" s="261">
        <v>45566.0</v>
      </c>
      <c r="AB6" s="261">
        <v>45597.0</v>
      </c>
      <c r="AD6" s="261">
        <v>45566.0</v>
      </c>
      <c r="AE6" s="261">
        <v>45597.0</v>
      </c>
      <c r="AH6" s="261">
        <v>45566.0</v>
      </c>
      <c r="AI6" s="261">
        <v>45597.0</v>
      </c>
      <c r="AK6" s="261">
        <v>45566.0</v>
      </c>
      <c r="AL6" s="261">
        <v>45597.0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289"/>
      <c r="Z7" s="2" t="s">
        <v>45</v>
      </c>
      <c r="AA7" s="229">
        <v>4364.8724999999995</v>
      </c>
      <c r="AB7" s="229">
        <v>6956.9574999999995</v>
      </c>
      <c r="AC7" s="75"/>
      <c r="AD7" s="229">
        <v>3679.5</v>
      </c>
      <c r="AE7" s="229">
        <v>4259.725</v>
      </c>
      <c r="AF7" s="75"/>
      <c r="AG7" s="2" t="s">
        <v>45</v>
      </c>
      <c r="AH7" s="229">
        <v>4364.8724999999995</v>
      </c>
      <c r="AI7" s="229">
        <v>6956.9574999999995</v>
      </c>
      <c r="AJ7" s="75"/>
      <c r="AK7" s="229">
        <v>3679.5</v>
      </c>
      <c r="AL7" s="229">
        <v>4259.725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206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  <c r="Y8" s="8"/>
      <c r="Z8" s="8" t="s">
        <v>46</v>
      </c>
      <c r="AA8" s="229">
        <v>4966.606</v>
      </c>
      <c r="AB8" s="229">
        <v>7071.375</v>
      </c>
      <c r="AC8" s="75"/>
      <c r="AD8" s="229">
        <v>3819.04</v>
      </c>
      <c r="AE8" s="229">
        <v>6624.1875</v>
      </c>
      <c r="AF8" s="75"/>
      <c r="AG8" s="8" t="s">
        <v>46</v>
      </c>
      <c r="AH8" s="229">
        <v>4966.606</v>
      </c>
      <c r="AI8" s="229">
        <v>7071.375</v>
      </c>
      <c r="AJ8" s="75"/>
      <c r="AK8" s="229">
        <v>3819.04</v>
      </c>
      <c r="AL8" s="229">
        <v>6624.1875</v>
      </c>
    </row>
    <row r="9" ht="15.75" customHeight="1">
      <c r="A9" s="8"/>
      <c r="B9" s="8"/>
      <c r="C9" s="207">
        <v>45962.0</v>
      </c>
      <c r="D9" s="208" t="str">
        <f t="shared" ref="D9:D38" si="2">TEXT(C9,"ddd")</f>
        <v>sáb.</v>
      </c>
      <c r="E9" s="209">
        <v>22000.0</v>
      </c>
      <c r="F9" s="209">
        <f>18176</f>
        <v>18176</v>
      </c>
      <c r="G9" s="51">
        <f t="shared" ref="G9:G39" si="3">F9-E9</f>
        <v>-3824</v>
      </c>
      <c r="H9" s="210">
        <v>0.0</v>
      </c>
      <c r="I9" s="211">
        <f t="shared" ref="I9:I39" si="4">IF(H9=0,0,F9/H9)</f>
        <v>0</v>
      </c>
      <c r="J9" s="57"/>
      <c r="K9" s="57"/>
      <c r="L9" s="57"/>
      <c r="M9" s="57">
        <f t="shared" ref="M9:M39" si="5">J9+K9+L9</f>
        <v>0</v>
      </c>
      <c r="N9" s="212">
        <f t="shared" ref="N9:O9" si="1">C9</f>
        <v>45962</v>
      </c>
      <c r="O9" s="204" t="str">
        <f t="shared" si="1"/>
        <v>sáb.</v>
      </c>
      <c r="P9" s="213">
        <v>15000.0</v>
      </c>
      <c r="Q9" s="213">
        <f>102.6+6124.46+6268.59-684.93</f>
        <v>11810.72</v>
      </c>
      <c r="R9" s="51">
        <f t="shared" ref="R9:R39" si="7">Q9-P9</f>
        <v>-3189.28</v>
      </c>
      <c r="S9" s="140">
        <v>74.0</v>
      </c>
      <c r="T9" s="211">
        <f t="shared" ref="T9:T39" si="8">IF(S9=0,0,Q9/S9)</f>
        <v>159.6043243</v>
      </c>
      <c r="U9" s="214">
        <v>0.0</v>
      </c>
      <c r="V9" s="214">
        <v>0.0</v>
      </c>
      <c r="W9" s="214">
        <v>0.0</v>
      </c>
      <c r="X9" s="57">
        <f t="shared" ref="X9:X39" si="9">U9+V9+W9</f>
        <v>0</v>
      </c>
      <c r="Y9" s="14"/>
      <c r="Z9" s="2" t="s">
        <v>40</v>
      </c>
      <c r="AA9" s="229">
        <v>5873.394</v>
      </c>
      <c r="AB9" s="229">
        <v>7822.735000000001</v>
      </c>
      <c r="AC9" s="75"/>
      <c r="AD9" s="229">
        <v>4718.598</v>
      </c>
      <c r="AE9" s="229">
        <v>6950.98</v>
      </c>
      <c r="AF9" s="75"/>
      <c r="AG9" s="2" t="s">
        <v>40</v>
      </c>
      <c r="AH9" s="229">
        <v>5873.394</v>
      </c>
      <c r="AI9" s="229">
        <v>7822.735000000001</v>
      </c>
      <c r="AJ9" s="75"/>
      <c r="AK9" s="229">
        <v>4718.598</v>
      </c>
      <c r="AL9" s="229">
        <v>6950.98</v>
      </c>
    </row>
    <row r="10" ht="15.75" customHeight="1">
      <c r="A10" s="8"/>
      <c r="B10" s="8"/>
      <c r="C10" s="207">
        <v>45963.0</v>
      </c>
      <c r="D10" s="208" t="str">
        <f t="shared" si="2"/>
        <v>dom.</v>
      </c>
      <c r="E10" s="209">
        <v>21500.0</v>
      </c>
      <c r="F10" s="209">
        <f>19863.5</f>
        <v>19863.5</v>
      </c>
      <c r="G10" s="51">
        <f t="shared" si="3"/>
        <v>-1636.5</v>
      </c>
      <c r="H10" s="210">
        <v>0.0</v>
      </c>
      <c r="I10" s="211">
        <f t="shared" si="4"/>
        <v>0</v>
      </c>
      <c r="J10" s="57"/>
      <c r="K10" s="57"/>
      <c r="L10" s="57"/>
      <c r="M10" s="57">
        <f t="shared" si="5"/>
        <v>0</v>
      </c>
      <c r="N10" s="212">
        <f t="shared" ref="N10:O10" si="6">C10</f>
        <v>45963</v>
      </c>
      <c r="O10" s="204" t="str">
        <f t="shared" si="6"/>
        <v>dom.</v>
      </c>
      <c r="P10" s="213">
        <v>19000.0</v>
      </c>
      <c r="Q10" s="213">
        <f>14989.14+9813.67-1419.95</f>
        <v>23382.86</v>
      </c>
      <c r="R10" s="51">
        <f t="shared" si="7"/>
        <v>4382.86</v>
      </c>
      <c r="S10" s="140">
        <v>132.0</v>
      </c>
      <c r="T10" s="211">
        <f t="shared" si="8"/>
        <v>177.1428788</v>
      </c>
      <c r="U10" s="214">
        <v>0.0</v>
      </c>
      <c r="V10" s="214">
        <v>0.0</v>
      </c>
      <c r="W10" s="214">
        <v>0.0</v>
      </c>
      <c r="X10" s="57">
        <f t="shared" si="9"/>
        <v>0</v>
      </c>
      <c r="Y10" s="14"/>
      <c r="Z10" s="2" t="s">
        <v>47</v>
      </c>
      <c r="AA10" s="229">
        <v>7715.460000000001</v>
      </c>
      <c r="AB10" s="229">
        <v>9199.76</v>
      </c>
      <c r="AC10" s="75"/>
      <c r="AD10" s="229">
        <v>6288.026</v>
      </c>
      <c r="AE10" s="229">
        <v>6111.594999999999</v>
      </c>
      <c r="AF10" s="75"/>
      <c r="AG10" s="2" t="s">
        <v>47</v>
      </c>
      <c r="AH10" s="229">
        <v>7715.460000000001</v>
      </c>
      <c r="AI10" s="229">
        <v>9199.76</v>
      </c>
      <c r="AJ10" s="75"/>
      <c r="AK10" s="229">
        <v>6288.026</v>
      </c>
      <c r="AL10" s="229">
        <v>6111.594999999999</v>
      </c>
    </row>
    <row r="11" ht="15.75" customHeight="1">
      <c r="A11" s="8"/>
      <c r="B11" s="8"/>
      <c r="C11" s="207">
        <v>45964.0</v>
      </c>
      <c r="D11" s="208" t="str">
        <f t="shared" si="2"/>
        <v>seg.</v>
      </c>
      <c r="E11" s="209">
        <v>6000.0</v>
      </c>
      <c r="F11" s="209">
        <f>4481.6</f>
        <v>4481.6</v>
      </c>
      <c r="G11" s="51">
        <f t="shared" si="3"/>
        <v>-1518.4</v>
      </c>
      <c r="H11" s="210">
        <v>0.0</v>
      </c>
      <c r="I11" s="211">
        <f t="shared" si="4"/>
        <v>0</v>
      </c>
      <c r="J11" s="57"/>
      <c r="K11" s="57"/>
      <c r="L11" s="57"/>
      <c r="M11" s="57">
        <f t="shared" si="5"/>
        <v>0</v>
      </c>
      <c r="N11" s="212">
        <f t="shared" ref="N11:O11" si="10">C11</f>
        <v>45964</v>
      </c>
      <c r="O11" s="204" t="str">
        <f t="shared" si="10"/>
        <v>seg.</v>
      </c>
      <c r="P11" s="213">
        <v>4000.0</v>
      </c>
      <c r="Q11" s="213">
        <f>3221.26+3009.64-287.97</f>
        <v>5942.93</v>
      </c>
      <c r="R11" s="51">
        <f t="shared" si="7"/>
        <v>1942.93</v>
      </c>
      <c r="S11" s="140">
        <v>38.0</v>
      </c>
      <c r="T11" s="211">
        <f t="shared" si="8"/>
        <v>156.3928947</v>
      </c>
      <c r="U11" s="214">
        <v>0.0</v>
      </c>
      <c r="V11" s="214">
        <v>0.0</v>
      </c>
      <c r="W11" s="214">
        <v>0.0</v>
      </c>
      <c r="X11" s="57">
        <f t="shared" si="9"/>
        <v>0</v>
      </c>
      <c r="Y11" s="14"/>
      <c r="Z11" s="2" t="s">
        <v>48</v>
      </c>
      <c r="AA11" s="229">
        <v>11172.994999999999</v>
      </c>
      <c r="AB11" s="229">
        <v>16865.704</v>
      </c>
      <c r="AC11" s="75"/>
      <c r="AD11" s="229">
        <v>9252.77</v>
      </c>
      <c r="AE11" s="229">
        <v>10936.856000000002</v>
      </c>
      <c r="AF11" s="75"/>
      <c r="AG11" s="2" t="s">
        <v>48</v>
      </c>
      <c r="AH11" s="229">
        <v>11172.994999999999</v>
      </c>
      <c r="AI11" s="229">
        <v>16865.704</v>
      </c>
      <c r="AJ11" s="75"/>
      <c r="AK11" s="229">
        <v>9252.77</v>
      </c>
      <c r="AL11" s="229">
        <v>10936.856000000002</v>
      </c>
    </row>
    <row r="12" ht="15.75" customHeight="1">
      <c r="A12" s="8"/>
      <c r="B12" s="8"/>
      <c r="C12" s="207">
        <v>45965.0</v>
      </c>
      <c r="D12" s="208" t="str">
        <f t="shared" si="2"/>
        <v>ter.</v>
      </c>
      <c r="E12" s="209">
        <v>7000.0</v>
      </c>
      <c r="F12" s="209">
        <f>3241</f>
        <v>3241</v>
      </c>
      <c r="G12" s="51">
        <f t="shared" si="3"/>
        <v>-3759</v>
      </c>
      <c r="H12" s="210">
        <v>0.0</v>
      </c>
      <c r="I12" s="211">
        <f t="shared" si="4"/>
        <v>0</v>
      </c>
      <c r="J12" s="57"/>
      <c r="K12" s="57"/>
      <c r="L12" s="57"/>
      <c r="M12" s="57">
        <f t="shared" si="5"/>
        <v>0</v>
      </c>
      <c r="N12" s="212">
        <f t="shared" ref="N12:O12" si="11">C12</f>
        <v>45965</v>
      </c>
      <c r="O12" s="204" t="str">
        <f t="shared" si="11"/>
        <v>ter.</v>
      </c>
      <c r="P12" s="213">
        <v>6500.0</v>
      </c>
      <c r="Q12" s="213">
        <f>3140.23+168+1970.5-182.98</f>
        <v>5095.75</v>
      </c>
      <c r="R12" s="51">
        <f t="shared" si="7"/>
        <v>-1404.25</v>
      </c>
      <c r="S12" s="140">
        <v>33.0</v>
      </c>
      <c r="T12" s="211">
        <f t="shared" si="8"/>
        <v>154.4166667</v>
      </c>
      <c r="U12" s="214">
        <v>0.0</v>
      </c>
      <c r="V12" s="214">
        <v>0.0</v>
      </c>
      <c r="W12" s="214">
        <v>0.0</v>
      </c>
      <c r="X12" s="57">
        <f t="shared" si="9"/>
        <v>0</v>
      </c>
      <c r="Y12" s="14"/>
      <c r="Z12" s="2" t="s">
        <v>171</v>
      </c>
      <c r="AA12" s="229">
        <v>21537.1875</v>
      </c>
      <c r="AB12" s="229">
        <v>20724.992</v>
      </c>
      <c r="AC12" s="75"/>
      <c r="AD12" s="229">
        <v>15056.412499999999</v>
      </c>
      <c r="AE12" s="229">
        <v>14289.11</v>
      </c>
      <c r="AF12" s="75"/>
      <c r="AG12" s="2" t="s">
        <v>171</v>
      </c>
      <c r="AH12" s="229">
        <v>21537.1875</v>
      </c>
      <c r="AI12" s="229">
        <v>20724.992</v>
      </c>
      <c r="AJ12" s="75"/>
      <c r="AK12" s="229">
        <v>15056.412499999999</v>
      </c>
      <c r="AL12" s="229">
        <v>14289.11</v>
      </c>
    </row>
    <row r="13" ht="15.75" customHeight="1">
      <c r="A13" s="8"/>
      <c r="B13" s="8"/>
      <c r="C13" s="207">
        <v>45966.0</v>
      </c>
      <c r="D13" s="208" t="str">
        <f t="shared" si="2"/>
        <v>qua.</v>
      </c>
      <c r="E13" s="209">
        <v>8000.0</v>
      </c>
      <c r="F13" s="209">
        <f>3921.3</f>
        <v>3921.3</v>
      </c>
      <c r="G13" s="51">
        <f t="shared" si="3"/>
        <v>-4078.7</v>
      </c>
      <c r="H13" s="210">
        <v>0.0</v>
      </c>
      <c r="I13" s="211">
        <f t="shared" si="4"/>
        <v>0</v>
      </c>
      <c r="J13" s="57"/>
      <c r="K13" s="57"/>
      <c r="L13" s="57"/>
      <c r="M13" s="57">
        <f t="shared" si="5"/>
        <v>0</v>
      </c>
      <c r="N13" s="212">
        <f t="shared" ref="N13:O13" si="12">C13</f>
        <v>45966</v>
      </c>
      <c r="O13" s="204" t="str">
        <f t="shared" si="12"/>
        <v>qua.</v>
      </c>
      <c r="P13" s="213">
        <v>7000.0</v>
      </c>
      <c r="Q13" s="213">
        <f>1477.43+2704.25-111.98</f>
        <v>4069.7</v>
      </c>
      <c r="R13" s="51">
        <f t="shared" si="7"/>
        <v>-2930.3</v>
      </c>
      <c r="S13" s="140">
        <v>29.0</v>
      </c>
      <c r="T13" s="211">
        <f t="shared" si="8"/>
        <v>140.3344828</v>
      </c>
      <c r="U13" s="214">
        <v>0.0</v>
      </c>
      <c r="V13" s="214">
        <v>0.0</v>
      </c>
      <c r="W13" s="214">
        <v>0.0</v>
      </c>
      <c r="X13" s="57">
        <f t="shared" si="9"/>
        <v>0</v>
      </c>
      <c r="Y13" s="14"/>
      <c r="Z13" s="2" t="s">
        <v>44</v>
      </c>
      <c r="AA13" s="229">
        <v>19904.07</v>
      </c>
      <c r="AB13" s="229">
        <v>19405.65</v>
      </c>
      <c r="AC13" s="75"/>
      <c r="AD13" s="229">
        <v>21643.985</v>
      </c>
      <c r="AE13" s="229">
        <v>19964.7775</v>
      </c>
      <c r="AF13" s="75"/>
      <c r="AG13" s="2" t="s">
        <v>44</v>
      </c>
      <c r="AH13" s="229">
        <v>19904.07</v>
      </c>
      <c r="AI13" s="229">
        <v>19405.65</v>
      </c>
      <c r="AJ13" s="75"/>
      <c r="AK13" s="229">
        <v>21643.985</v>
      </c>
      <c r="AL13" s="229">
        <v>19964.7775</v>
      </c>
    </row>
    <row r="14" ht="15.75" customHeight="1">
      <c r="A14" s="8"/>
      <c r="B14" s="8"/>
      <c r="C14" s="207">
        <v>45967.0</v>
      </c>
      <c r="D14" s="208" t="str">
        <f t="shared" si="2"/>
        <v>qui.</v>
      </c>
      <c r="E14" s="209">
        <v>9000.0</v>
      </c>
      <c r="F14" s="209">
        <f>6040.1</f>
        <v>6040.1</v>
      </c>
      <c r="G14" s="51">
        <f t="shared" si="3"/>
        <v>-2959.9</v>
      </c>
      <c r="H14" s="210">
        <v>0.0</v>
      </c>
      <c r="I14" s="211">
        <f t="shared" si="4"/>
        <v>0</v>
      </c>
      <c r="J14" s="57"/>
      <c r="K14" s="57"/>
      <c r="L14" s="57"/>
      <c r="M14" s="57">
        <f t="shared" si="5"/>
        <v>0</v>
      </c>
      <c r="N14" s="212">
        <f t="shared" ref="N14:O14" si="13">C14</f>
        <v>45967</v>
      </c>
      <c r="O14" s="204" t="str">
        <f t="shared" si="13"/>
        <v>qui.</v>
      </c>
      <c r="P14" s="213">
        <v>6500.0</v>
      </c>
      <c r="Q14" s="213">
        <f>3182.31+1333.5-188</f>
        <v>4327.81</v>
      </c>
      <c r="R14" s="51">
        <f t="shared" si="7"/>
        <v>-2172.19</v>
      </c>
      <c r="S14" s="140">
        <v>30.0</v>
      </c>
      <c r="T14" s="211">
        <f t="shared" si="8"/>
        <v>144.2603333</v>
      </c>
      <c r="U14" s="214">
        <v>0.0</v>
      </c>
      <c r="V14" s="214">
        <v>0.0</v>
      </c>
      <c r="W14" s="214">
        <v>0.0</v>
      </c>
      <c r="X14" s="57">
        <f t="shared" si="9"/>
        <v>0</v>
      </c>
      <c r="Y14" s="14"/>
      <c r="AA14" s="167">
        <v>75534.58499999999</v>
      </c>
      <c r="AB14" s="167">
        <f>SUM(AB7:AB13)</f>
        <v>88047.1735</v>
      </c>
      <c r="AC14" s="61"/>
      <c r="AD14" s="167">
        <v>64458.3315</v>
      </c>
      <c r="AE14" s="167">
        <f>SUM(AE7:AE13)</f>
        <v>69137.231</v>
      </c>
      <c r="AF14" s="61"/>
      <c r="AH14" s="167">
        <v>75534.58499999999</v>
      </c>
      <c r="AI14" s="167">
        <f>SUM(AI7:AI13)</f>
        <v>88047.1735</v>
      </c>
      <c r="AJ14" s="61"/>
      <c r="AK14" s="167">
        <v>64458.3315</v>
      </c>
      <c r="AL14" s="167">
        <f>SUM(AL7:AL13)</f>
        <v>69137.231</v>
      </c>
    </row>
    <row r="15" ht="15.75" customHeight="1">
      <c r="A15" s="8"/>
      <c r="B15" s="8"/>
      <c r="C15" s="207">
        <v>45968.0</v>
      </c>
      <c r="D15" s="208" t="str">
        <f t="shared" si="2"/>
        <v>sex.</v>
      </c>
      <c r="E15" s="209">
        <v>15500.0</v>
      </c>
      <c r="F15" s="209">
        <f>202+12372.4-161</f>
        <v>12413.4</v>
      </c>
      <c r="G15" s="51">
        <f t="shared" si="3"/>
        <v>-3086.6</v>
      </c>
      <c r="H15" s="210">
        <v>0.0</v>
      </c>
      <c r="I15" s="211">
        <f t="shared" si="4"/>
        <v>0</v>
      </c>
      <c r="J15" s="57"/>
      <c r="K15" s="57"/>
      <c r="L15" s="57"/>
      <c r="M15" s="57">
        <f t="shared" si="5"/>
        <v>0</v>
      </c>
      <c r="N15" s="212">
        <f t="shared" ref="N15:O15" si="14">C15</f>
        <v>45968</v>
      </c>
      <c r="O15" s="204" t="str">
        <f t="shared" si="14"/>
        <v>sex.</v>
      </c>
      <c r="P15" s="213">
        <v>11000.0</v>
      </c>
      <c r="Q15" s="213">
        <f>6997.18+6483.22-784.61</f>
        <v>12695.79</v>
      </c>
      <c r="R15" s="51">
        <f t="shared" si="7"/>
        <v>1695.79</v>
      </c>
      <c r="S15" s="140">
        <v>77.0</v>
      </c>
      <c r="T15" s="211">
        <f t="shared" si="8"/>
        <v>164.8803896</v>
      </c>
      <c r="U15" s="214">
        <v>0.0</v>
      </c>
      <c r="V15" s="214">
        <v>0.0</v>
      </c>
      <c r="W15" s="214">
        <v>0.0</v>
      </c>
      <c r="X15" s="57">
        <f t="shared" si="9"/>
        <v>0</v>
      </c>
      <c r="Y15" s="14"/>
      <c r="AB15" s="66">
        <f>AB14/AA14-1</f>
        <v>0.1656537664</v>
      </c>
      <c r="AE15" s="66">
        <f>AE14/AD14-1</f>
        <v>0.07258797104</v>
      </c>
      <c r="AI15" s="66">
        <f>AI14/AH14-1</f>
        <v>0.1656537664</v>
      </c>
      <c r="AL15" s="66">
        <f>AL14/AK14-1</f>
        <v>0.07258797104</v>
      </c>
    </row>
    <row r="16" ht="15.75" customHeight="1">
      <c r="A16" s="8"/>
      <c r="B16" s="8"/>
      <c r="C16" s="207">
        <v>45969.0</v>
      </c>
      <c r="D16" s="208" t="str">
        <f t="shared" si="2"/>
        <v>sáb.</v>
      </c>
      <c r="E16" s="209">
        <v>22000.0</v>
      </c>
      <c r="F16" s="209">
        <f>1304+25602</f>
        <v>26906</v>
      </c>
      <c r="G16" s="51">
        <f t="shared" si="3"/>
        <v>4906</v>
      </c>
      <c r="H16" s="210">
        <v>0.0</v>
      </c>
      <c r="I16" s="211">
        <f t="shared" si="4"/>
        <v>0</v>
      </c>
      <c r="J16" s="57"/>
      <c r="K16" s="57"/>
      <c r="L16" s="57"/>
      <c r="M16" s="57">
        <f t="shared" si="5"/>
        <v>0</v>
      </c>
      <c r="N16" s="212">
        <f t="shared" ref="N16:O16" si="15">C16</f>
        <v>45969</v>
      </c>
      <c r="O16" s="204" t="str">
        <f t="shared" si="15"/>
        <v>sáb.</v>
      </c>
      <c r="P16" s="213">
        <v>15000.0</v>
      </c>
      <c r="Q16" s="213">
        <f>6166.27+17+5489.55-887.97</f>
        <v>10784.85</v>
      </c>
      <c r="R16" s="51">
        <f t="shared" si="7"/>
        <v>-4215.15</v>
      </c>
      <c r="S16" s="140">
        <v>69.0</v>
      </c>
      <c r="T16" s="211">
        <f t="shared" si="8"/>
        <v>156.3021739</v>
      </c>
      <c r="U16" s="214">
        <v>0.0</v>
      </c>
      <c r="V16" s="214">
        <v>0.0</v>
      </c>
      <c r="W16" s="214">
        <v>0.0</v>
      </c>
      <c r="X16" s="57">
        <f t="shared" si="9"/>
        <v>0</v>
      </c>
      <c r="Y16" s="14"/>
    </row>
    <row r="17" ht="15.75" customHeight="1">
      <c r="A17" s="8"/>
      <c r="B17" s="8"/>
      <c r="C17" s="207">
        <v>45970.0</v>
      </c>
      <c r="D17" s="208" t="str">
        <f t="shared" si="2"/>
        <v>dom.</v>
      </c>
      <c r="E17" s="209">
        <v>21500.0</v>
      </c>
      <c r="F17" s="209">
        <f>21371</f>
        <v>21371</v>
      </c>
      <c r="G17" s="51">
        <f t="shared" si="3"/>
        <v>-129</v>
      </c>
      <c r="H17" s="210">
        <v>0.0</v>
      </c>
      <c r="I17" s="211">
        <f t="shared" si="4"/>
        <v>0</v>
      </c>
      <c r="J17" s="57"/>
      <c r="K17" s="57"/>
      <c r="L17" s="57"/>
      <c r="M17" s="57">
        <f t="shared" si="5"/>
        <v>0</v>
      </c>
      <c r="N17" s="212">
        <f t="shared" ref="N17:O17" si="16">C17</f>
        <v>45970</v>
      </c>
      <c r="O17" s="204" t="str">
        <f t="shared" si="16"/>
        <v>dom.</v>
      </c>
      <c r="P17" s="213">
        <v>19000.0</v>
      </c>
      <c r="Q17" s="213">
        <f>16355.59+3825.01+3819.59-1531.94</f>
        <v>22468.25</v>
      </c>
      <c r="R17" s="51">
        <f t="shared" si="7"/>
        <v>3468.25</v>
      </c>
      <c r="S17" s="140">
        <v>136.0</v>
      </c>
      <c r="T17" s="211">
        <f t="shared" si="8"/>
        <v>165.2077206</v>
      </c>
      <c r="U17" s="214">
        <v>0.0</v>
      </c>
      <c r="V17" s="214">
        <v>0.0</v>
      </c>
      <c r="W17" s="214">
        <v>0.0</v>
      </c>
      <c r="X17" s="57">
        <f t="shared" si="9"/>
        <v>0</v>
      </c>
      <c r="Y17" s="14"/>
      <c r="AB17" s="70"/>
      <c r="AC17" s="71" t="s">
        <v>52</v>
      </c>
      <c r="AD17" s="72"/>
      <c r="AE17" s="73" t="s">
        <v>53</v>
      </c>
      <c r="AH17" s="46" t="s">
        <v>211</v>
      </c>
      <c r="AI17" s="6"/>
      <c r="AK17" s="46" t="s">
        <v>212</v>
      </c>
      <c r="AL17" s="6"/>
    </row>
    <row r="18" ht="15.75" customHeight="1">
      <c r="A18" s="8"/>
      <c r="B18" s="8"/>
      <c r="C18" s="207">
        <v>45971.0</v>
      </c>
      <c r="D18" s="208" t="str">
        <f t="shared" si="2"/>
        <v>seg.</v>
      </c>
      <c r="E18" s="209">
        <v>6000.0</v>
      </c>
      <c r="F18" s="209">
        <f>1870+501.5</f>
        <v>2371.5</v>
      </c>
      <c r="G18" s="51">
        <f t="shared" si="3"/>
        <v>-3628.5</v>
      </c>
      <c r="H18" s="210">
        <v>0.0</v>
      </c>
      <c r="I18" s="211">
        <f t="shared" si="4"/>
        <v>0</v>
      </c>
      <c r="J18" s="57"/>
      <c r="K18" s="57"/>
      <c r="L18" s="57"/>
      <c r="M18" s="57">
        <f t="shared" si="5"/>
        <v>0</v>
      </c>
      <c r="N18" s="212">
        <f t="shared" ref="N18:O18" si="17">C18</f>
        <v>45971</v>
      </c>
      <c r="O18" s="204" t="str">
        <f t="shared" si="17"/>
        <v>seg.</v>
      </c>
      <c r="P18" s="213">
        <v>4000.0</v>
      </c>
      <c r="Q18" s="213">
        <f>1981.16+2169.52-193.99</f>
        <v>3956.69</v>
      </c>
      <c r="R18" s="51">
        <f t="shared" si="7"/>
        <v>-43.31</v>
      </c>
      <c r="S18" s="140">
        <v>24.0</v>
      </c>
      <c r="T18" s="211">
        <f t="shared" si="8"/>
        <v>164.8620833</v>
      </c>
      <c r="U18" s="214">
        <v>0.0</v>
      </c>
      <c r="V18" s="214">
        <v>0.0</v>
      </c>
      <c r="W18" s="214">
        <v>0.0</v>
      </c>
      <c r="X18" s="57">
        <f t="shared" si="9"/>
        <v>0</v>
      </c>
      <c r="Y18" s="14"/>
      <c r="AB18" s="74" t="s">
        <v>29</v>
      </c>
      <c r="AC18" s="75">
        <v>400000.0</v>
      </c>
      <c r="AD18" s="2" t="s">
        <v>29</v>
      </c>
      <c r="AE18" s="76">
        <v>310000.0</v>
      </c>
      <c r="AH18" s="261">
        <v>45931.0</v>
      </c>
      <c r="AI18" s="261">
        <v>45962.0</v>
      </c>
      <c r="AK18" s="261">
        <v>45931.0</v>
      </c>
      <c r="AL18" s="261">
        <v>45962.0</v>
      </c>
    </row>
    <row r="19" ht="15.75" customHeight="1">
      <c r="A19" s="8"/>
      <c r="B19" s="8"/>
      <c r="C19" s="207">
        <v>45972.0</v>
      </c>
      <c r="D19" s="208" t="str">
        <f t="shared" si="2"/>
        <v>ter.</v>
      </c>
      <c r="E19" s="209">
        <v>7000.0</v>
      </c>
      <c r="F19" s="209">
        <f>3168.5</f>
        <v>3168.5</v>
      </c>
      <c r="G19" s="51">
        <f t="shared" si="3"/>
        <v>-3831.5</v>
      </c>
      <c r="H19" s="210">
        <v>0.0</v>
      </c>
      <c r="I19" s="211">
        <f t="shared" si="4"/>
        <v>0</v>
      </c>
      <c r="J19" s="57"/>
      <c r="K19" s="57"/>
      <c r="L19" s="57"/>
      <c r="M19" s="57">
        <f t="shared" si="5"/>
        <v>0</v>
      </c>
      <c r="N19" s="212">
        <f t="shared" ref="N19:O19" si="18">C19</f>
        <v>45972</v>
      </c>
      <c r="O19" s="204" t="str">
        <f t="shared" si="18"/>
        <v>ter.</v>
      </c>
      <c r="P19" s="213">
        <v>6500.0</v>
      </c>
      <c r="Q19" s="213">
        <f>3181.02+1135.4-123.99</f>
        <v>4192.43</v>
      </c>
      <c r="R19" s="51">
        <f t="shared" si="7"/>
        <v>-2307.57</v>
      </c>
      <c r="S19" s="140">
        <v>24.0</v>
      </c>
      <c r="T19" s="211">
        <f t="shared" si="8"/>
        <v>174.6845833</v>
      </c>
      <c r="U19" s="214">
        <v>0.0</v>
      </c>
      <c r="V19" s="214">
        <v>0.0</v>
      </c>
      <c r="W19" s="214">
        <v>0.0</v>
      </c>
      <c r="X19" s="57">
        <f t="shared" si="9"/>
        <v>0</v>
      </c>
      <c r="Y19" s="14"/>
      <c r="AB19" s="74"/>
      <c r="AC19" s="2"/>
      <c r="AD19" s="2"/>
      <c r="AE19" s="77"/>
      <c r="AG19" s="2" t="s">
        <v>45</v>
      </c>
      <c r="AH19" s="229">
        <v>5942.639999999999</v>
      </c>
      <c r="AI19" s="229">
        <v>5260.175000000001</v>
      </c>
      <c r="AJ19" s="75"/>
      <c r="AK19" s="229">
        <v>4927.014</v>
      </c>
      <c r="AL19" s="229">
        <v>4761.0425</v>
      </c>
    </row>
    <row r="20" ht="15.75" customHeight="1">
      <c r="A20" s="8"/>
      <c r="B20" s="8"/>
      <c r="C20" s="207">
        <v>45973.0</v>
      </c>
      <c r="D20" s="208" t="str">
        <f t="shared" si="2"/>
        <v>qua.</v>
      </c>
      <c r="E20" s="209">
        <v>8000.0</v>
      </c>
      <c r="F20" s="209">
        <f>214+6751</f>
        <v>6965</v>
      </c>
      <c r="G20" s="51">
        <f t="shared" si="3"/>
        <v>-1035</v>
      </c>
      <c r="H20" s="210">
        <v>0.0</v>
      </c>
      <c r="I20" s="211">
        <f t="shared" si="4"/>
        <v>0</v>
      </c>
      <c r="J20" s="57"/>
      <c r="K20" s="57"/>
      <c r="L20" s="57"/>
      <c r="M20" s="57">
        <f t="shared" si="5"/>
        <v>0</v>
      </c>
      <c r="N20" s="212">
        <f t="shared" ref="N20:O20" si="19">C20</f>
        <v>45973</v>
      </c>
      <c r="O20" s="204" t="str">
        <f t="shared" si="19"/>
        <v>qua.</v>
      </c>
      <c r="P20" s="213">
        <v>7000.0</v>
      </c>
      <c r="Q20" s="213">
        <f>2815.26+1128+379.13-106.96</f>
        <v>4215.43</v>
      </c>
      <c r="R20" s="51">
        <f t="shared" si="7"/>
        <v>-2784.57</v>
      </c>
      <c r="S20" s="140">
        <v>29.0</v>
      </c>
      <c r="T20" s="211">
        <f t="shared" si="8"/>
        <v>145.3596552</v>
      </c>
      <c r="U20" s="214">
        <v>0.0</v>
      </c>
      <c r="V20" s="214">
        <v>0.0</v>
      </c>
      <c r="W20" s="214">
        <v>0.0</v>
      </c>
      <c r="X20" s="57">
        <f t="shared" si="9"/>
        <v>0</v>
      </c>
      <c r="Y20" s="14"/>
      <c r="AB20" s="74" t="s">
        <v>58</v>
      </c>
      <c r="AC20" s="75">
        <f>SUM(P9:P15)</f>
        <v>69000</v>
      </c>
      <c r="AD20" s="58" t="s">
        <v>58</v>
      </c>
      <c r="AE20" s="76">
        <f>SUM(V9:V15)</f>
        <v>0</v>
      </c>
      <c r="AG20" s="8" t="s">
        <v>46</v>
      </c>
      <c r="AH20" s="229">
        <v>5109.4375</v>
      </c>
      <c r="AI20" s="229">
        <v>5726.200000000001</v>
      </c>
      <c r="AJ20" s="75"/>
      <c r="AK20" s="229">
        <v>5770.624000000001</v>
      </c>
      <c r="AL20" s="229">
        <v>4973.817500000001</v>
      </c>
    </row>
    <row r="21" ht="15.75" customHeight="1">
      <c r="A21" s="8"/>
      <c r="B21" s="8"/>
      <c r="C21" s="207">
        <v>45974.0</v>
      </c>
      <c r="D21" s="208" t="str">
        <f t="shared" si="2"/>
        <v>qui.</v>
      </c>
      <c r="E21" s="209">
        <v>9000.0</v>
      </c>
      <c r="F21" s="209">
        <f>9257.1</f>
        <v>9257.1</v>
      </c>
      <c r="G21" s="51">
        <f t="shared" si="3"/>
        <v>257.1</v>
      </c>
      <c r="H21" s="210">
        <v>0.0</v>
      </c>
      <c r="I21" s="211">
        <f t="shared" si="4"/>
        <v>0</v>
      </c>
      <c r="J21" s="57"/>
      <c r="K21" s="57"/>
      <c r="L21" s="57"/>
      <c r="M21" s="57">
        <f t="shared" si="5"/>
        <v>0</v>
      </c>
      <c r="N21" s="212">
        <f t="shared" ref="N21:O21" si="20">C21</f>
        <v>45974</v>
      </c>
      <c r="O21" s="204" t="str">
        <f t="shared" si="20"/>
        <v>qui.</v>
      </c>
      <c r="P21" s="213">
        <v>6500.0</v>
      </c>
      <c r="Q21" s="213">
        <f>2702.22+3264.03-296.97</f>
        <v>5669.28</v>
      </c>
      <c r="R21" s="51">
        <f t="shared" si="7"/>
        <v>-830.72</v>
      </c>
      <c r="S21" s="140">
        <v>34.0</v>
      </c>
      <c r="T21" s="211">
        <f t="shared" si="8"/>
        <v>166.7435294</v>
      </c>
      <c r="U21" s="214">
        <v>0.0</v>
      </c>
      <c r="V21" s="214">
        <v>0.0</v>
      </c>
      <c r="W21" s="214">
        <v>0.0</v>
      </c>
      <c r="X21" s="57">
        <f t="shared" si="9"/>
        <v>0</v>
      </c>
      <c r="Y21" s="14"/>
      <c r="AB21" s="74"/>
      <c r="AC21" s="79">
        <f>AC20/AC18</f>
        <v>0.1725</v>
      </c>
      <c r="AE21" s="80">
        <f>AE20/AE18</f>
        <v>0</v>
      </c>
      <c r="AF21" s="66"/>
      <c r="AG21" s="2" t="s">
        <v>40</v>
      </c>
      <c r="AH21" s="229">
        <v>7090.778</v>
      </c>
      <c r="AI21" s="229">
        <v>6901.01</v>
      </c>
      <c r="AJ21" s="75"/>
      <c r="AK21" s="229">
        <v>11159.374</v>
      </c>
      <c r="AL21" s="229">
        <v>4829.335000000001</v>
      </c>
    </row>
    <row r="22" ht="15.75" customHeight="1">
      <c r="A22" s="8"/>
      <c r="B22" s="8"/>
      <c r="C22" s="207">
        <v>45975.0</v>
      </c>
      <c r="D22" s="208" t="str">
        <f t="shared" si="2"/>
        <v>sex.</v>
      </c>
      <c r="E22" s="209">
        <v>15500.0</v>
      </c>
      <c r="F22" s="209">
        <f>13248-329</f>
        <v>12919</v>
      </c>
      <c r="G22" s="51">
        <f t="shared" si="3"/>
        <v>-2581</v>
      </c>
      <c r="H22" s="210">
        <v>0.0</v>
      </c>
      <c r="I22" s="211">
        <f t="shared" si="4"/>
        <v>0</v>
      </c>
      <c r="J22" s="57"/>
      <c r="K22" s="57"/>
      <c r="L22" s="57"/>
      <c r="M22" s="57">
        <f t="shared" si="5"/>
        <v>0</v>
      </c>
      <c r="N22" s="212">
        <f t="shared" ref="N22:O22" si="21">C22</f>
        <v>45975</v>
      </c>
      <c r="O22" s="204" t="str">
        <f t="shared" si="21"/>
        <v>sex.</v>
      </c>
      <c r="P22" s="213">
        <v>11000.0</v>
      </c>
      <c r="Q22" s="213">
        <f>7621.51+4834.29-774.96</f>
        <v>11680.84</v>
      </c>
      <c r="R22" s="51">
        <f t="shared" si="7"/>
        <v>680.84</v>
      </c>
      <c r="S22" s="140">
        <v>68.0</v>
      </c>
      <c r="T22" s="211">
        <f t="shared" si="8"/>
        <v>171.7770588</v>
      </c>
      <c r="U22" s="214">
        <v>0.0</v>
      </c>
      <c r="V22" s="214">
        <v>0.0</v>
      </c>
      <c r="W22" s="214">
        <v>0.0</v>
      </c>
      <c r="X22" s="57">
        <f t="shared" si="9"/>
        <v>0</v>
      </c>
      <c r="Y22" s="14"/>
      <c r="AB22" s="74"/>
      <c r="AC22" s="81"/>
      <c r="AE22" s="77"/>
      <c r="AG22" s="2" t="s">
        <v>47</v>
      </c>
      <c r="AH22" s="229">
        <v>6405.09</v>
      </c>
      <c r="AI22" s="229">
        <v>7972.25</v>
      </c>
      <c r="AJ22" s="75"/>
      <c r="AK22" s="229">
        <v>14423.9825</v>
      </c>
      <c r="AL22" s="229">
        <v>7339.642500000001</v>
      </c>
    </row>
    <row r="23" ht="15.75" customHeight="1">
      <c r="A23" s="8"/>
      <c r="B23" s="8"/>
      <c r="C23" s="207">
        <v>45976.0</v>
      </c>
      <c r="D23" s="208" t="str">
        <f t="shared" si="2"/>
        <v>sáb.</v>
      </c>
      <c r="E23" s="209">
        <v>22000.0</v>
      </c>
      <c r="F23" s="209">
        <f>16+16796.2</f>
        <v>16812.2</v>
      </c>
      <c r="G23" s="51">
        <f t="shared" si="3"/>
        <v>-5187.8</v>
      </c>
      <c r="H23" s="210">
        <v>0.0</v>
      </c>
      <c r="I23" s="211">
        <f t="shared" si="4"/>
        <v>0</v>
      </c>
      <c r="J23" s="57"/>
      <c r="K23" s="57"/>
      <c r="L23" s="57"/>
      <c r="M23" s="57">
        <f t="shared" si="5"/>
        <v>0</v>
      </c>
      <c r="N23" s="212">
        <f t="shared" ref="N23:O23" si="22">C23</f>
        <v>45976</v>
      </c>
      <c r="O23" s="204" t="str">
        <f t="shared" si="22"/>
        <v>sáb.</v>
      </c>
      <c r="P23" s="213">
        <v>15000.0</v>
      </c>
      <c r="Q23" s="213">
        <f>6765.54+7587.53-835.02</f>
        <v>13518.05</v>
      </c>
      <c r="R23" s="51">
        <f t="shared" si="7"/>
        <v>-1481.95</v>
      </c>
      <c r="S23" s="140">
        <v>84.0</v>
      </c>
      <c r="T23" s="211">
        <f t="shared" si="8"/>
        <v>160.9291667</v>
      </c>
      <c r="U23" s="214">
        <v>0.0</v>
      </c>
      <c r="V23" s="214">
        <v>0.0</v>
      </c>
      <c r="W23" s="214">
        <v>0.0</v>
      </c>
      <c r="X23" s="57">
        <f t="shared" si="9"/>
        <v>0</v>
      </c>
      <c r="Y23" s="14"/>
      <c r="AB23" s="74" t="s">
        <v>62</v>
      </c>
      <c r="AC23" s="75">
        <f>SUM(P16:P22)</f>
        <v>69000</v>
      </c>
      <c r="AD23" s="58" t="s">
        <v>62</v>
      </c>
      <c r="AE23" s="76">
        <f>SUM(V16:V22)</f>
        <v>0</v>
      </c>
      <c r="AG23" s="2" t="s">
        <v>48</v>
      </c>
      <c r="AH23" s="229">
        <v>13295.328</v>
      </c>
      <c r="AI23" s="229">
        <v>14406.087500000001</v>
      </c>
      <c r="AJ23" s="75"/>
      <c r="AK23" s="229">
        <v>20029.2825</v>
      </c>
      <c r="AL23" s="229">
        <v>11182.3925</v>
      </c>
    </row>
    <row r="24" ht="15.75" customHeight="1">
      <c r="A24" s="8"/>
      <c r="B24" s="8"/>
      <c r="C24" s="207">
        <v>45977.0</v>
      </c>
      <c r="D24" s="208" t="str">
        <f t="shared" si="2"/>
        <v>dom.</v>
      </c>
      <c r="E24" s="209">
        <v>21500.0</v>
      </c>
      <c r="F24" s="209">
        <f>22738.83</f>
        <v>22738.83</v>
      </c>
      <c r="G24" s="51">
        <f t="shared" si="3"/>
        <v>1238.83</v>
      </c>
      <c r="H24" s="210">
        <v>0.0</v>
      </c>
      <c r="I24" s="211">
        <f t="shared" si="4"/>
        <v>0</v>
      </c>
      <c r="J24" s="57"/>
      <c r="K24" s="57"/>
      <c r="L24" s="57"/>
      <c r="M24" s="57">
        <f t="shared" si="5"/>
        <v>0</v>
      </c>
      <c r="N24" s="212">
        <f t="shared" ref="N24:O24" si="23">C24</f>
        <v>45977</v>
      </c>
      <c r="O24" s="204" t="str">
        <f t="shared" si="23"/>
        <v>dom.</v>
      </c>
      <c r="P24" s="213">
        <v>19000.0</v>
      </c>
      <c r="Q24" s="213">
        <f>9807.54+10037.19-1339.97</f>
        <v>18504.76</v>
      </c>
      <c r="R24" s="51">
        <f t="shared" si="7"/>
        <v>-495.24</v>
      </c>
      <c r="S24" s="140">
        <v>110.0</v>
      </c>
      <c r="T24" s="211">
        <f t="shared" si="8"/>
        <v>168.2250909</v>
      </c>
      <c r="U24" s="214">
        <v>0.0</v>
      </c>
      <c r="V24" s="214">
        <v>0.0</v>
      </c>
      <c r="W24" s="214">
        <v>0.0</v>
      </c>
      <c r="X24" s="57">
        <f t="shared" si="9"/>
        <v>0</v>
      </c>
      <c r="Y24" s="14"/>
      <c r="AB24" s="74"/>
      <c r="AC24" s="79">
        <f>AC23/AC18</f>
        <v>0.1725</v>
      </c>
      <c r="AE24" s="80">
        <f>AE23/AE18</f>
        <v>0</v>
      </c>
      <c r="AG24" s="2" t="s">
        <v>171</v>
      </c>
      <c r="AH24" s="229">
        <v>20084.865</v>
      </c>
      <c r="AI24" s="229">
        <v>19618.392</v>
      </c>
      <c r="AJ24" s="75"/>
      <c r="AK24" s="229">
        <v>3432.1800000000003</v>
      </c>
      <c r="AL24" s="229">
        <v>13800.653999999999</v>
      </c>
    </row>
    <row r="25" ht="15.75" customHeight="1">
      <c r="A25" s="8"/>
      <c r="B25" s="8"/>
      <c r="C25" s="207">
        <v>45978.0</v>
      </c>
      <c r="D25" s="208" t="str">
        <f t="shared" si="2"/>
        <v>seg.</v>
      </c>
      <c r="E25" s="209">
        <v>6000.0</v>
      </c>
      <c r="F25" s="209">
        <f>9964.7</f>
        <v>9964.7</v>
      </c>
      <c r="G25" s="51">
        <f t="shared" si="3"/>
        <v>3964.7</v>
      </c>
      <c r="H25" s="210">
        <v>0.0</v>
      </c>
      <c r="I25" s="211">
        <f t="shared" si="4"/>
        <v>0</v>
      </c>
      <c r="J25" s="57"/>
      <c r="K25" s="57"/>
      <c r="L25" s="57"/>
      <c r="M25" s="57">
        <f t="shared" si="5"/>
        <v>0</v>
      </c>
      <c r="N25" s="212">
        <f t="shared" ref="N25:O25" si="24">C25</f>
        <v>45978</v>
      </c>
      <c r="O25" s="204" t="str">
        <f t="shared" si="24"/>
        <v>seg.</v>
      </c>
      <c r="P25" s="213">
        <v>4000.0</v>
      </c>
      <c r="Q25" s="213">
        <f>3648.63+2068.34-239.97</f>
        <v>5477</v>
      </c>
      <c r="R25" s="51">
        <f t="shared" si="7"/>
        <v>1477</v>
      </c>
      <c r="S25" s="140">
        <v>29.0</v>
      </c>
      <c r="T25" s="211">
        <f t="shared" si="8"/>
        <v>188.862069</v>
      </c>
      <c r="U25" s="214">
        <v>0.0</v>
      </c>
      <c r="V25" s="214">
        <v>0.0</v>
      </c>
      <c r="W25" s="214">
        <v>0.0</v>
      </c>
      <c r="X25" s="57">
        <f t="shared" si="9"/>
        <v>0</v>
      </c>
      <c r="Y25" s="14"/>
      <c r="AB25" s="74"/>
      <c r="AC25" s="81"/>
      <c r="AE25" s="77"/>
      <c r="AG25" s="2" t="s">
        <v>44</v>
      </c>
      <c r="AH25" s="229">
        <v>20000.3875</v>
      </c>
      <c r="AI25" s="229">
        <v>21435.246000000003</v>
      </c>
      <c r="AJ25" s="75"/>
      <c r="AK25" s="229">
        <v>3911.6924999999997</v>
      </c>
      <c r="AL25" s="229">
        <v>21033.566</v>
      </c>
    </row>
    <row r="26" ht="19.5" customHeight="1">
      <c r="A26" s="8"/>
      <c r="B26" s="8"/>
      <c r="C26" s="207">
        <v>45979.0</v>
      </c>
      <c r="D26" s="208" t="str">
        <f t="shared" si="2"/>
        <v>ter.</v>
      </c>
      <c r="E26" s="209">
        <v>7000.0</v>
      </c>
      <c r="F26" s="209">
        <f>4329.7</f>
        <v>4329.7</v>
      </c>
      <c r="G26" s="51">
        <f t="shared" si="3"/>
        <v>-2670.3</v>
      </c>
      <c r="H26" s="210">
        <v>0.0</v>
      </c>
      <c r="I26" s="211">
        <f t="shared" si="4"/>
        <v>0</v>
      </c>
      <c r="J26" s="57"/>
      <c r="K26" s="57"/>
      <c r="L26" s="57"/>
      <c r="M26" s="57">
        <f t="shared" si="5"/>
        <v>0</v>
      </c>
      <c r="N26" s="212">
        <f t="shared" ref="N26:O26" si="25">C26</f>
        <v>45979</v>
      </c>
      <c r="O26" s="204" t="str">
        <f t="shared" si="25"/>
        <v>ter.</v>
      </c>
      <c r="P26" s="213">
        <v>6500.0</v>
      </c>
      <c r="Q26" s="213">
        <f>2169.38+1517.11+580.05-121.98</f>
        <v>4144.56</v>
      </c>
      <c r="R26" s="51">
        <f t="shared" si="7"/>
        <v>-2355.44</v>
      </c>
      <c r="S26" s="140">
        <v>23.0</v>
      </c>
      <c r="T26" s="211">
        <f t="shared" si="8"/>
        <v>180.1982609</v>
      </c>
      <c r="U26" s="214">
        <v>0.0</v>
      </c>
      <c r="V26" s="214">
        <v>0.0</v>
      </c>
      <c r="W26" s="214">
        <v>0.0</v>
      </c>
      <c r="X26" s="57">
        <f t="shared" si="9"/>
        <v>0</v>
      </c>
      <c r="Y26" s="14"/>
      <c r="AB26" s="74" t="s">
        <v>63</v>
      </c>
      <c r="AC26" s="75">
        <f>SUM(P23:P29)</f>
        <v>69000</v>
      </c>
      <c r="AD26" s="58" t="s">
        <v>63</v>
      </c>
      <c r="AE26" s="76">
        <f>SUM(V23:V29)</f>
        <v>0</v>
      </c>
      <c r="AH26" s="167">
        <f t="shared" ref="AH26:AI26" si="26">SUM(AH19:AH25)</f>
        <v>77928.526</v>
      </c>
      <c r="AI26" s="167">
        <f t="shared" si="26"/>
        <v>81319.3605</v>
      </c>
      <c r="AJ26" s="61"/>
      <c r="AK26" s="167">
        <f t="shared" ref="AK26:AL26" si="27">SUM(AK19:AK25)</f>
        <v>63654.1495</v>
      </c>
      <c r="AL26" s="167">
        <f t="shared" si="27"/>
        <v>67920.45</v>
      </c>
    </row>
    <row r="27" ht="15.75" customHeight="1">
      <c r="A27" s="8"/>
      <c r="B27" s="8"/>
      <c r="C27" s="207">
        <v>45980.0</v>
      </c>
      <c r="D27" s="208" t="str">
        <f t="shared" si="2"/>
        <v>qua.</v>
      </c>
      <c r="E27" s="209">
        <v>8000.0</v>
      </c>
      <c r="F27" s="209">
        <f>241+8002.74</f>
        <v>8243.74</v>
      </c>
      <c r="G27" s="51">
        <f t="shared" si="3"/>
        <v>243.74</v>
      </c>
      <c r="H27" s="210">
        <v>0.0</v>
      </c>
      <c r="I27" s="211">
        <f t="shared" si="4"/>
        <v>0</v>
      </c>
      <c r="J27" s="57"/>
      <c r="K27" s="57"/>
      <c r="L27" s="57"/>
      <c r="M27" s="57">
        <f t="shared" si="5"/>
        <v>0</v>
      </c>
      <c r="N27" s="212">
        <f t="shared" ref="N27:O27" si="28">C27</f>
        <v>45980</v>
      </c>
      <c r="O27" s="204" t="str">
        <f t="shared" si="28"/>
        <v>qua.</v>
      </c>
      <c r="P27" s="213">
        <v>7000.0</v>
      </c>
      <c r="Q27" s="213">
        <f>4872.16+2819.53-240.95</f>
        <v>7450.74</v>
      </c>
      <c r="R27" s="51">
        <f t="shared" si="7"/>
        <v>450.74</v>
      </c>
      <c r="S27" s="140">
        <v>44.0</v>
      </c>
      <c r="T27" s="211">
        <f t="shared" si="8"/>
        <v>169.335</v>
      </c>
      <c r="U27" s="214">
        <v>0.0</v>
      </c>
      <c r="V27" s="214">
        <v>0.0</v>
      </c>
      <c r="W27" s="214">
        <v>0.0</v>
      </c>
      <c r="X27" s="57">
        <f t="shared" si="9"/>
        <v>0</v>
      </c>
      <c r="Y27" s="14"/>
      <c r="AB27" s="74"/>
      <c r="AC27" s="79">
        <f>AC26/AC18</f>
        <v>0.1725</v>
      </c>
      <c r="AE27" s="80">
        <f>AE26/AE18</f>
        <v>0</v>
      </c>
      <c r="AI27" s="66">
        <f>AI26/AH26-1</f>
        <v>0.04351210878</v>
      </c>
      <c r="AL27" s="66">
        <f>AL26/AK26-1</f>
        <v>0.06702313256</v>
      </c>
    </row>
    <row r="28" ht="15.75" customHeight="1">
      <c r="A28" s="8"/>
      <c r="B28" s="8"/>
      <c r="C28" s="207">
        <v>45981.0</v>
      </c>
      <c r="D28" s="208" t="str">
        <f t="shared" si="2"/>
        <v>qui.</v>
      </c>
      <c r="E28" s="209">
        <v>9000.0</v>
      </c>
      <c r="F28" s="209">
        <f>10470.7</f>
        <v>10470.7</v>
      </c>
      <c r="G28" s="51">
        <f t="shared" si="3"/>
        <v>1470.7</v>
      </c>
      <c r="H28" s="210">
        <v>0.0</v>
      </c>
      <c r="I28" s="211">
        <f t="shared" si="4"/>
        <v>0</v>
      </c>
      <c r="J28" s="57"/>
      <c r="K28" s="57"/>
      <c r="L28" s="57"/>
      <c r="M28" s="57">
        <f t="shared" si="5"/>
        <v>0</v>
      </c>
      <c r="N28" s="212">
        <f t="shared" ref="N28:O28" si="29">C28</f>
        <v>45981</v>
      </c>
      <c r="O28" s="204" t="str">
        <f t="shared" si="29"/>
        <v>qui.</v>
      </c>
      <c r="P28" s="213">
        <v>6500.0</v>
      </c>
      <c r="Q28" s="213">
        <f>6274.56+161+6945.88-944.98</f>
        <v>12436.46</v>
      </c>
      <c r="R28" s="51">
        <f t="shared" si="7"/>
        <v>5936.46</v>
      </c>
      <c r="S28" s="140">
        <v>73.0</v>
      </c>
      <c r="T28" s="211">
        <f t="shared" si="8"/>
        <v>170.3624658</v>
      </c>
      <c r="U28" s="214">
        <v>0.0</v>
      </c>
      <c r="V28" s="214">
        <v>0.0</v>
      </c>
      <c r="W28" s="214">
        <v>0.0</v>
      </c>
      <c r="X28" s="57">
        <f t="shared" si="9"/>
        <v>0</v>
      </c>
      <c r="Y28" s="14"/>
      <c r="AB28" s="74"/>
      <c r="AE28" s="82"/>
    </row>
    <row r="29" ht="15.75" customHeight="1">
      <c r="A29" s="8"/>
      <c r="B29" s="8"/>
      <c r="C29" s="207">
        <v>45982.0</v>
      </c>
      <c r="D29" s="208" t="str">
        <f t="shared" si="2"/>
        <v>sex.</v>
      </c>
      <c r="E29" s="209">
        <v>15500.0</v>
      </c>
      <c r="F29" s="209">
        <f>15535.2-343</f>
        <v>15192.2</v>
      </c>
      <c r="G29" s="51">
        <f t="shared" si="3"/>
        <v>-307.8</v>
      </c>
      <c r="H29" s="210">
        <v>0.0</v>
      </c>
      <c r="I29" s="211">
        <f t="shared" si="4"/>
        <v>0</v>
      </c>
      <c r="J29" s="57"/>
      <c r="K29" s="57"/>
      <c r="L29" s="57"/>
      <c r="M29" s="57">
        <f t="shared" si="5"/>
        <v>0</v>
      </c>
      <c r="N29" s="212">
        <f t="shared" ref="N29:O29" si="30">C29</f>
        <v>45982</v>
      </c>
      <c r="O29" s="204" t="str">
        <f t="shared" si="30"/>
        <v>sex.</v>
      </c>
      <c r="P29" s="213">
        <v>11000.0</v>
      </c>
      <c r="Q29" s="213">
        <f>3659.58+154.5+4534.95-298.95</f>
        <v>8050.08</v>
      </c>
      <c r="R29" s="51">
        <f t="shared" si="7"/>
        <v>-2949.92</v>
      </c>
      <c r="S29" s="140">
        <v>48.0</v>
      </c>
      <c r="T29" s="211">
        <f t="shared" si="8"/>
        <v>167.71</v>
      </c>
      <c r="U29" s="214">
        <v>0.0</v>
      </c>
      <c r="V29" s="214">
        <v>0.0</v>
      </c>
      <c r="W29" s="214">
        <v>0.0</v>
      </c>
      <c r="X29" s="57">
        <f t="shared" si="9"/>
        <v>0</v>
      </c>
      <c r="Y29" s="14"/>
      <c r="AB29" s="74" t="s">
        <v>64</v>
      </c>
      <c r="AC29" s="61">
        <f>SUM(P30:P36)</f>
        <v>69000</v>
      </c>
      <c r="AD29" s="58" t="s">
        <v>64</v>
      </c>
      <c r="AE29" s="83">
        <f>SUM(V30:V36)</f>
        <v>0</v>
      </c>
    </row>
    <row r="30" ht="19.5" customHeight="1">
      <c r="A30" s="8"/>
      <c r="B30" s="8"/>
      <c r="C30" s="207">
        <v>45983.0</v>
      </c>
      <c r="D30" s="208" t="str">
        <f t="shared" si="2"/>
        <v>sáb.</v>
      </c>
      <c r="E30" s="209">
        <v>22000.0</v>
      </c>
      <c r="F30" s="209">
        <f>21979.5</f>
        <v>21979.5</v>
      </c>
      <c r="G30" s="51">
        <f t="shared" si="3"/>
        <v>-20.5</v>
      </c>
      <c r="H30" s="210">
        <v>0.0</v>
      </c>
      <c r="I30" s="211">
        <f t="shared" si="4"/>
        <v>0</v>
      </c>
      <c r="J30" s="57"/>
      <c r="K30" s="57"/>
      <c r="L30" s="57"/>
      <c r="M30" s="57">
        <f t="shared" si="5"/>
        <v>0</v>
      </c>
      <c r="N30" s="212">
        <f t="shared" ref="N30:O30" si="31">C30</f>
        <v>45983</v>
      </c>
      <c r="O30" s="204" t="str">
        <f t="shared" si="31"/>
        <v>sáb.</v>
      </c>
      <c r="P30" s="213">
        <v>15000.0</v>
      </c>
      <c r="Q30" s="213">
        <f>10211.73+84.9+3821.67-939.96</f>
        <v>13178.34</v>
      </c>
      <c r="R30" s="51">
        <f t="shared" si="7"/>
        <v>-1821.66</v>
      </c>
      <c r="S30" s="140">
        <v>81.0</v>
      </c>
      <c r="T30" s="211">
        <f t="shared" si="8"/>
        <v>162.6955556</v>
      </c>
      <c r="U30" s="214">
        <v>0.0</v>
      </c>
      <c r="V30" s="214">
        <v>0.0</v>
      </c>
      <c r="W30" s="214">
        <v>0.0</v>
      </c>
      <c r="X30" s="57">
        <f t="shared" si="9"/>
        <v>0</v>
      </c>
      <c r="Y30" s="14"/>
      <c r="AB30" s="74"/>
      <c r="AC30" s="79">
        <f>AC29/AC18</f>
        <v>0.1725</v>
      </c>
      <c r="AE30" s="80">
        <f>AE29/AE18</f>
        <v>0</v>
      </c>
    </row>
    <row r="31" ht="18.0" customHeight="1">
      <c r="A31" s="8"/>
      <c r="B31" s="8"/>
      <c r="C31" s="207">
        <v>45984.0</v>
      </c>
      <c r="D31" s="208" t="str">
        <f t="shared" si="2"/>
        <v>dom.</v>
      </c>
      <c r="E31" s="209">
        <v>21500.0</v>
      </c>
      <c r="F31" s="209">
        <f>359+19034.4</f>
        <v>19393.4</v>
      </c>
      <c r="G31" s="51">
        <f t="shared" si="3"/>
        <v>-2106.6</v>
      </c>
      <c r="H31" s="210">
        <v>0.0</v>
      </c>
      <c r="I31" s="211">
        <f t="shared" si="4"/>
        <v>0</v>
      </c>
      <c r="J31" s="57"/>
      <c r="K31" s="57"/>
      <c r="L31" s="57"/>
      <c r="M31" s="57">
        <f t="shared" si="5"/>
        <v>0</v>
      </c>
      <c r="N31" s="212">
        <f t="shared" ref="N31:O31" si="32">C31</f>
        <v>45984</v>
      </c>
      <c r="O31" s="204" t="str">
        <f t="shared" si="32"/>
        <v>dom.</v>
      </c>
      <c r="P31" s="213">
        <v>19000.0</v>
      </c>
      <c r="Q31" s="213">
        <f>13106.96+8306.3-1372.93</f>
        <v>20040.33</v>
      </c>
      <c r="R31" s="51">
        <f t="shared" si="7"/>
        <v>1040.33</v>
      </c>
      <c r="S31" s="140">
        <v>132.0</v>
      </c>
      <c r="T31" s="211">
        <f t="shared" si="8"/>
        <v>151.8206818</v>
      </c>
      <c r="U31" s="214">
        <v>0.0</v>
      </c>
      <c r="V31" s="214">
        <v>0.0</v>
      </c>
      <c r="W31" s="214">
        <v>0.0</v>
      </c>
      <c r="X31" s="57">
        <f t="shared" si="9"/>
        <v>0</v>
      </c>
      <c r="Y31" s="14"/>
      <c r="AB31" s="74" t="s">
        <v>65</v>
      </c>
      <c r="AC31" s="61">
        <f>SUM(P37:P39)</f>
        <v>34000</v>
      </c>
      <c r="AD31" s="58" t="s">
        <v>65</v>
      </c>
      <c r="AE31" s="83">
        <f>SUM(V37:V39)</f>
        <v>0</v>
      </c>
    </row>
    <row r="32" ht="15.75" customHeight="1">
      <c r="A32" s="8"/>
      <c r="B32" s="8"/>
      <c r="C32" s="207">
        <v>45985.0</v>
      </c>
      <c r="D32" s="208" t="str">
        <f t="shared" si="2"/>
        <v>seg.</v>
      </c>
      <c r="E32" s="209">
        <v>6000.0</v>
      </c>
      <c r="F32" s="209">
        <f>4222.9</f>
        <v>4222.9</v>
      </c>
      <c r="G32" s="51">
        <f t="shared" si="3"/>
        <v>-1777.1</v>
      </c>
      <c r="H32" s="210">
        <v>0.0</v>
      </c>
      <c r="I32" s="211">
        <f t="shared" si="4"/>
        <v>0</v>
      </c>
      <c r="J32" s="57"/>
      <c r="K32" s="57"/>
      <c r="L32" s="57"/>
      <c r="M32" s="57">
        <f t="shared" si="5"/>
        <v>0</v>
      </c>
      <c r="N32" s="212">
        <f t="shared" ref="N32:O32" si="33">C32</f>
        <v>45985</v>
      </c>
      <c r="O32" s="204" t="str">
        <f t="shared" si="33"/>
        <v>seg.</v>
      </c>
      <c r="P32" s="213">
        <v>4000.0</v>
      </c>
      <c r="Q32" s="213">
        <f>2436.89+1342.64-111.98</f>
        <v>3667.55</v>
      </c>
      <c r="R32" s="51">
        <f t="shared" si="7"/>
        <v>-332.45</v>
      </c>
      <c r="S32" s="140">
        <v>26.0</v>
      </c>
      <c r="T32" s="211">
        <f t="shared" si="8"/>
        <v>141.0596154</v>
      </c>
      <c r="U32" s="214">
        <v>0.0</v>
      </c>
      <c r="V32" s="214">
        <v>0.0</v>
      </c>
      <c r="W32" s="214">
        <v>0.0</v>
      </c>
      <c r="X32" s="57">
        <f t="shared" si="9"/>
        <v>0</v>
      </c>
      <c r="Y32" s="14"/>
      <c r="AB32" s="84" t="s">
        <v>206</v>
      </c>
      <c r="AC32" s="85">
        <f>AC31/AC18</f>
        <v>0.085</v>
      </c>
      <c r="AD32" s="84" t="s">
        <v>206</v>
      </c>
      <c r="AE32" s="87">
        <f>AE31/AE18</f>
        <v>0</v>
      </c>
    </row>
    <row r="33" ht="15.75" customHeight="1">
      <c r="A33" s="8"/>
      <c r="B33" s="8"/>
      <c r="C33" s="207">
        <v>45986.0</v>
      </c>
      <c r="D33" s="208" t="str">
        <f t="shared" si="2"/>
        <v>ter.</v>
      </c>
      <c r="E33" s="209">
        <v>7000.0</v>
      </c>
      <c r="F33" s="209">
        <f>12165.6</f>
        <v>12165.6</v>
      </c>
      <c r="G33" s="51">
        <f t="shared" si="3"/>
        <v>5165.6</v>
      </c>
      <c r="H33" s="210">
        <v>0.0</v>
      </c>
      <c r="I33" s="211">
        <f t="shared" si="4"/>
        <v>0</v>
      </c>
      <c r="J33" s="57"/>
      <c r="K33" s="57"/>
      <c r="L33" s="57"/>
      <c r="M33" s="57">
        <f t="shared" si="5"/>
        <v>0</v>
      </c>
      <c r="N33" s="212">
        <f t="shared" ref="N33:O33" si="34">C33</f>
        <v>45986</v>
      </c>
      <c r="O33" s="204" t="str">
        <f t="shared" si="34"/>
        <v>ter.</v>
      </c>
      <c r="P33" s="213">
        <v>6500.0</v>
      </c>
      <c r="Q33" s="213">
        <f>4278.51+2473.01-288.99</f>
        <v>6462.53</v>
      </c>
      <c r="R33" s="51">
        <f t="shared" si="7"/>
        <v>-37.47</v>
      </c>
      <c r="S33" s="140">
        <v>35.0</v>
      </c>
      <c r="T33" s="211">
        <f t="shared" si="8"/>
        <v>184.6437143</v>
      </c>
      <c r="U33" s="214">
        <v>0.0</v>
      </c>
      <c r="V33" s="214">
        <v>0.0</v>
      </c>
      <c r="W33" s="214">
        <v>0.0</v>
      </c>
      <c r="X33" s="57">
        <f t="shared" si="9"/>
        <v>0</v>
      </c>
      <c r="Y33" s="14"/>
    </row>
    <row r="34" ht="15.75" customHeight="1">
      <c r="A34" s="8"/>
      <c r="B34" s="8"/>
      <c r="C34" s="207">
        <v>45987.0</v>
      </c>
      <c r="D34" s="208" t="str">
        <f t="shared" si="2"/>
        <v>qua.</v>
      </c>
      <c r="E34" s="209">
        <v>8000.0</v>
      </c>
      <c r="F34" s="209">
        <f>8474</f>
        <v>8474</v>
      </c>
      <c r="G34" s="51">
        <f t="shared" si="3"/>
        <v>474</v>
      </c>
      <c r="H34" s="210">
        <v>0.0</v>
      </c>
      <c r="I34" s="211">
        <f t="shared" si="4"/>
        <v>0</v>
      </c>
      <c r="J34" s="57"/>
      <c r="K34" s="57"/>
      <c r="L34" s="57"/>
      <c r="M34" s="57">
        <f t="shared" si="5"/>
        <v>0</v>
      </c>
      <c r="N34" s="212">
        <f t="shared" ref="N34:O34" si="35">C34</f>
        <v>45987</v>
      </c>
      <c r="O34" s="204" t="str">
        <f t="shared" si="35"/>
        <v>qua.</v>
      </c>
      <c r="P34" s="213">
        <v>7000.0</v>
      </c>
      <c r="Q34" s="213">
        <f>1881.92+1895.54-195.99</f>
        <v>3581.47</v>
      </c>
      <c r="R34" s="51">
        <f t="shared" si="7"/>
        <v>-3418.53</v>
      </c>
      <c r="S34" s="140">
        <v>27.0</v>
      </c>
      <c r="T34" s="211">
        <f t="shared" si="8"/>
        <v>132.647037</v>
      </c>
      <c r="U34" s="214">
        <v>0.0</v>
      </c>
      <c r="V34" s="214">
        <v>0.0</v>
      </c>
      <c r="W34" s="214">
        <v>0.0</v>
      </c>
      <c r="X34" s="57">
        <f t="shared" si="9"/>
        <v>0</v>
      </c>
      <c r="Y34" s="14"/>
      <c r="AA34" s="259" t="s">
        <v>72</v>
      </c>
      <c r="AB34" s="93" t="s">
        <v>73</v>
      </c>
      <c r="AC34" s="94">
        <f>P40</f>
        <v>310000</v>
      </c>
      <c r="AD34" s="164" t="s">
        <v>74</v>
      </c>
      <c r="AE34" s="96">
        <f>V40</f>
        <v>0</v>
      </c>
      <c r="AF34" s="259" t="s">
        <v>72</v>
      </c>
    </row>
    <row r="35" ht="19.5" customHeight="1">
      <c r="A35" s="8"/>
      <c r="B35" s="8"/>
      <c r="C35" s="207">
        <v>45988.0</v>
      </c>
      <c r="D35" s="208" t="str">
        <f t="shared" si="2"/>
        <v>qui.</v>
      </c>
      <c r="E35" s="209">
        <v>9000.0</v>
      </c>
      <c r="F35" s="209">
        <f>6121.1</f>
        <v>6121.1</v>
      </c>
      <c r="G35" s="51">
        <f t="shared" si="3"/>
        <v>-2878.9</v>
      </c>
      <c r="H35" s="210">
        <v>0.0</v>
      </c>
      <c r="I35" s="211">
        <f t="shared" si="4"/>
        <v>0</v>
      </c>
      <c r="J35" s="57"/>
      <c r="K35" s="57"/>
      <c r="L35" s="57"/>
      <c r="M35" s="57">
        <f t="shared" si="5"/>
        <v>0</v>
      </c>
      <c r="N35" s="212">
        <f t="shared" ref="N35:O35" si="36">C35</f>
        <v>45988</v>
      </c>
      <c r="O35" s="204" t="str">
        <f t="shared" si="36"/>
        <v>qui.</v>
      </c>
      <c r="P35" s="213">
        <v>6500.0</v>
      </c>
      <c r="Q35" s="213">
        <f>4700.1+2363.9-138.98</f>
        <v>6925.02</v>
      </c>
      <c r="R35" s="51">
        <f t="shared" si="7"/>
        <v>425.02</v>
      </c>
      <c r="S35" s="140">
        <v>45.0</v>
      </c>
      <c r="T35" s="211">
        <f t="shared" si="8"/>
        <v>153.8893333</v>
      </c>
      <c r="U35" s="214">
        <v>0.0</v>
      </c>
      <c r="V35" s="214">
        <v>0.0</v>
      </c>
      <c r="W35" s="214">
        <v>0.0</v>
      </c>
      <c r="X35" s="57">
        <f t="shared" si="9"/>
        <v>0</v>
      </c>
      <c r="Y35" s="14"/>
      <c r="AA35" s="260">
        <f>AC35-AD35</f>
        <v>-0.225</v>
      </c>
      <c r="AB35" s="98"/>
      <c r="AC35" s="99">
        <f>AC34/AC18</f>
        <v>0.775</v>
      </c>
      <c r="AD35" s="165">
        <f>30/30</f>
        <v>1</v>
      </c>
      <c r="AE35" s="100">
        <f>AE34/AE18</f>
        <v>0</v>
      </c>
      <c r="AF35" s="260">
        <f>AE35-AD35</f>
        <v>-1</v>
      </c>
    </row>
    <row r="36" ht="15.75" customHeight="1">
      <c r="A36" s="8"/>
      <c r="B36" s="8"/>
      <c r="C36" s="207">
        <v>45989.0</v>
      </c>
      <c r="D36" s="208" t="str">
        <f t="shared" si="2"/>
        <v>sex.</v>
      </c>
      <c r="E36" s="209">
        <v>16000.0</v>
      </c>
      <c r="F36" s="209">
        <f>17428.75-329</f>
        <v>17099.75</v>
      </c>
      <c r="G36" s="51">
        <f t="shared" si="3"/>
        <v>1099.75</v>
      </c>
      <c r="H36" s="210">
        <v>0.0</v>
      </c>
      <c r="I36" s="211">
        <f t="shared" si="4"/>
        <v>0</v>
      </c>
      <c r="J36" s="57"/>
      <c r="K36" s="57"/>
      <c r="L36" s="57"/>
      <c r="M36" s="57">
        <f t="shared" si="5"/>
        <v>0</v>
      </c>
      <c r="N36" s="212">
        <f t="shared" ref="N36:O36" si="37">C36</f>
        <v>45989</v>
      </c>
      <c r="O36" s="204" t="str">
        <f t="shared" si="37"/>
        <v>sex.</v>
      </c>
      <c r="P36" s="213">
        <v>11000.0</v>
      </c>
      <c r="Q36" s="213">
        <f>6629.53+6506.31-832.98</f>
        <v>12302.86</v>
      </c>
      <c r="R36" s="51">
        <f t="shared" si="7"/>
        <v>1302.86</v>
      </c>
      <c r="S36" s="140">
        <v>101.0</v>
      </c>
      <c r="T36" s="211">
        <f t="shared" si="8"/>
        <v>121.810495</v>
      </c>
      <c r="U36" s="214">
        <v>0.0</v>
      </c>
      <c r="V36" s="214">
        <v>0.0</v>
      </c>
      <c r="W36" s="214">
        <v>0.0</v>
      </c>
      <c r="X36" s="57">
        <f t="shared" si="9"/>
        <v>0</v>
      </c>
      <c r="Y36" s="14"/>
      <c r="AB36" s="98" t="s">
        <v>76</v>
      </c>
      <c r="AC36" s="104">
        <f>AC18-AC34</f>
        <v>90000</v>
      </c>
      <c r="AD36" s="99"/>
      <c r="AE36" s="106">
        <f>AE18-AE34</f>
        <v>310000</v>
      </c>
    </row>
    <row r="37" ht="15.75" customHeight="1">
      <c r="A37" s="8"/>
      <c r="B37" s="8"/>
      <c r="C37" s="207">
        <v>45990.0</v>
      </c>
      <c r="D37" s="208" t="str">
        <f t="shared" si="2"/>
        <v>sáb.</v>
      </c>
      <c r="E37" s="209">
        <v>22000.0</v>
      </c>
      <c r="F37" s="209">
        <f>4533.16+9985.1-300</f>
        <v>14218.26</v>
      </c>
      <c r="G37" s="51">
        <f t="shared" si="3"/>
        <v>-7781.74</v>
      </c>
      <c r="H37" s="210">
        <v>0.0</v>
      </c>
      <c r="I37" s="211">
        <f t="shared" si="4"/>
        <v>0</v>
      </c>
      <c r="J37" s="57"/>
      <c r="K37" s="57"/>
      <c r="L37" s="57"/>
      <c r="M37" s="57">
        <f t="shared" si="5"/>
        <v>0</v>
      </c>
      <c r="N37" s="212">
        <f t="shared" ref="N37:O37" si="38">C37</f>
        <v>45990</v>
      </c>
      <c r="O37" s="204" t="str">
        <f t="shared" si="38"/>
        <v>sáb.</v>
      </c>
      <c r="P37" s="213">
        <v>15000.0</v>
      </c>
      <c r="Q37" s="213">
        <f>9064.71+11766.53-1419.93+300</f>
        <v>19711.31</v>
      </c>
      <c r="R37" s="51">
        <f t="shared" si="7"/>
        <v>4711.31</v>
      </c>
      <c r="S37" s="140">
        <v>118.0</v>
      </c>
      <c r="T37" s="211">
        <f t="shared" si="8"/>
        <v>167.045</v>
      </c>
      <c r="U37" s="214">
        <v>0.0</v>
      </c>
      <c r="V37" s="214">
        <v>0.0</v>
      </c>
      <c r="W37" s="214">
        <v>0.0</v>
      </c>
      <c r="X37" s="57">
        <f t="shared" si="9"/>
        <v>0</v>
      </c>
      <c r="Y37" s="14"/>
      <c r="AB37" s="110"/>
      <c r="AC37" s="112">
        <f>AC36/AC18</f>
        <v>0.225</v>
      </c>
      <c r="AD37" s="112"/>
      <c r="AE37" s="113">
        <f>AE36/AE18</f>
        <v>1</v>
      </c>
    </row>
    <row r="38" ht="15.75" customHeight="1">
      <c r="A38" s="8"/>
      <c r="B38" s="8"/>
      <c r="C38" s="207">
        <v>45991.0</v>
      </c>
      <c r="D38" s="208" t="str">
        <f t="shared" si="2"/>
        <v>dom.</v>
      </c>
      <c r="E38" s="209">
        <v>21500.0</v>
      </c>
      <c r="F38" s="209">
        <f>23809.5</f>
        <v>23809.5</v>
      </c>
      <c r="G38" s="51">
        <f t="shared" si="3"/>
        <v>2309.5</v>
      </c>
      <c r="H38" s="210">
        <v>0.0</v>
      </c>
      <c r="I38" s="211">
        <f t="shared" si="4"/>
        <v>0</v>
      </c>
      <c r="J38" s="57"/>
      <c r="K38" s="57"/>
      <c r="L38" s="57"/>
      <c r="M38" s="57">
        <f t="shared" si="5"/>
        <v>0</v>
      </c>
      <c r="N38" s="212">
        <f t="shared" ref="N38:O38" si="39">C38</f>
        <v>45991</v>
      </c>
      <c r="O38" s="204" t="str">
        <f t="shared" si="39"/>
        <v>dom.</v>
      </c>
      <c r="P38" s="213">
        <v>19000.0</v>
      </c>
      <c r="Q38" s="213">
        <f>22325.57-1553.94</f>
        <v>20771.63</v>
      </c>
      <c r="R38" s="51">
        <f t="shared" si="7"/>
        <v>1771.63</v>
      </c>
      <c r="S38" s="140">
        <v>128.0</v>
      </c>
      <c r="T38" s="211">
        <f t="shared" si="8"/>
        <v>162.2783594</v>
      </c>
      <c r="U38" s="214">
        <v>0.0</v>
      </c>
      <c r="V38" s="214">
        <v>0.0</v>
      </c>
      <c r="W38" s="214">
        <v>0.0</v>
      </c>
      <c r="X38" s="57">
        <f t="shared" si="9"/>
        <v>0</v>
      </c>
      <c r="Y38" s="14"/>
    </row>
    <row r="39" ht="15.75" customHeight="1">
      <c r="A39" s="8"/>
      <c r="B39" s="8"/>
      <c r="C39" s="207"/>
      <c r="D39" s="208"/>
      <c r="E39" s="209"/>
      <c r="F39" s="209"/>
      <c r="G39" s="51">
        <f t="shared" si="3"/>
        <v>0</v>
      </c>
      <c r="H39" s="210">
        <v>0.0</v>
      </c>
      <c r="I39" s="211">
        <f t="shared" si="4"/>
        <v>0</v>
      </c>
      <c r="J39" s="57"/>
      <c r="K39" s="57"/>
      <c r="L39" s="57"/>
      <c r="M39" s="57">
        <f t="shared" si="5"/>
        <v>0</v>
      </c>
      <c r="N39" s="212" t="str">
        <f t="shared" ref="N39:O39" si="40">C39</f>
        <v/>
      </c>
      <c r="O39" s="204" t="str">
        <f t="shared" si="40"/>
        <v/>
      </c>
      <c r="P39" s="213"/>
      <c r="Q39" s="213"/>
      <c r="R39" s="51">
        <f t="shared" si="7"/>
        <v>0</v>
      </c>
      <c r="S39" s="217">
        <v>0.0</v>
      </c>
      <c r="T39" s="211">
        <f t="shared" si="8"/>
        <v>0</v>
      </c>
      <c r="U39" s="214">
        <v>0.0</v>
      </c>
      <c r="V39" s="214">
        <v>0.0</v>
      </c>
      <c r="W39" s="214">
        <v>0.0</v>
      </c>
      <c r="X39" s="57">
        <f t="shared" si="9"/>
        <v>0</v>
      </c>
      <c r="Y39" s="14"/>
    </row>
    <row r="40" ht="15.75" customHeight="1">
      <c r="A40" s="8"/>
      <c r="B40" s="8"/>
      <c r="C40" s="218"/>
      <c r="D40" s="218"/>
      <c r="E40" s="219">
        <f t="shared" ref="E40:G40" si="41">SUM(E9:E39)</f>
        <v>400000</v>
      </c>
      <c r="F40" s="219">
        <f t="shared" si="41"/>
        <v>366331.08</v>
      </c>
      <c r="G40" s="105">
        <f t="shared" si="41"/>
        <v>-33668.92</v>
      </c>
      <c r="H40" s="105"/>
      <c r="I40" s="105"/>
      <c r="J40" s="105">
        <f t="shared" ref="J40:M40" si="42">SUM(J9:J39)</f>
        <v>0</v>
      </c>
      <c r="K40" s="105">
        <f t="shared" si="42"/>
        <v>0</v>
      </c>
      <c r="L40" s="105">
        <f t="shared" si="42"/>
        <v>0</v>
      </c>
      <c r="M40" s="105">
        <f t="shared" si="42"/>
        <v>0</v>
      </c>
      <c r="N40" s="286"/>
      <c r="O40" s="287"/>
      <c r="P40" s="222">
        <f>SUM(P9:P39)</f>
        <v>310000</v>
      </c>
      <c r="Q40" s="222">
        <f>SUM(Q9:Q39)-12-24</f>
        <v>306480.02</v>
      </c>
      <c r="R40" s="105">
        <f t="shared" ref="R40:S40" si="43">SUM(R9:R39)</f>
        <v>-3483.98</v>
      </c>
      <c r="S40" s="223">
        <f t="shared" si="43"/>
        <v>1901</v>
      </c>
      <c r="T40" s="224"/>
      <c r="U40" s="223">
        <f t="shared" ref="U40:X40" si="44">SUM(U9:U39)</f>
        <v>0</v>
      </c>
      <c r="V40" s="223">
        <f t="shared" si="44"/>
        <v>0</v>
      </c>
      <c r="W40" s="223">
        <f t="shared" si="44"/>
        <v>0</v>
      </c>
      <c r="X40" s="223">
        <f t="shared" si="44"/>
        <v>0</v>
      </c>
      <c r="Y40" s="292"/>
      <c r="Z40" s="61"/>
      <c r="AE40" s="61"/>
    </row>
    <row r="41" ht="15.75" customHeight="1">
      <c r="D41" s="61"/>
      <c r="E41" s="61"/>
      <c r="F41" s="225"/>
      <c r="G41" s="114"/>
      <c r="H41" s="226"/>
      <c r="I41" s="226"/>
      <c r="N41" s="61"/>
      <c r="P41" s="61"/>
      <c r="Q41" s="275"/>
      <c r="R41" s="114"/>
      <c r="S41" s="199"/>
      <c r="T41" s="200"/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200"/>
    </row>
    <row r="43" ht="15.75" customHeight="1">
      <c r="A43" s="2"/>
      <c r="B43" s="2"/>
      <c r="C43" s="2"/>
      <c r="D43" s="2"/>
      <c r="E43" s="115" t="s">
        <v>77</v>
      </c>
      <c r="F43" s="118">
        <f>E40+G40</f>
        <v>366331.08</v>
      </c>
      <c r="P43" s="115" t="s">
        <v>77</v>
      </c>
      <c r="Q43" s="118">
        <f>P40+R40</f>
        <v>306516.02</v>
      </c>
      <c r="S43" s="199"/>
      <c r="T43" s="200"/>
    </row>
    <row r="44" ht="15.75" customHeight="1">
      <c r="A44" s="2"/>
      <c r="B44" s="2"/>
      <c r="C44" s="122" t="s">
        <v>29</v>
      </c>
      <c r="D44" s="124">
        <f>E40</f>
        <v>400000</v>
      </c>
      <c r="E44" s="2"/>
      <c r="F44" s="2"/>
      <c r="N44" s="126" t="s">
        <v>29</v>
      </c>
      <c r="O44" s="124">
        <f>P40</f>
        <v>310000</v>
      </c>
      <c r="P44" s="2"/>
      <c r="Q44" s="2"/>
      <c r="S44" s="199"/>
      <c r="T44" s="200"/>
    </row>
    <row r="45" ht="15.75" customHeight="1">
      <c r="A45" s="61"/>
      <c r="B45" s="61"/>
      <c r="C45" s="61"/>
      <c r="D45" s="175"/>
      <c r="E45" s="61"/>
      <c r="F45" s="61"/>
      <c r="N45" s="175"/>
      <c r="O45" s="61"/>
      <c r="S45" s="199"/>
      <c r="T45" s="200"/>
    </row>
    <row r="46" ht="16.5" customHeight="1">
      <c r="A46" s="61"/>
      <c r="B46" s="61"/>
      <c r="C46" s="61"/>
      <c r="D46" s="175"/>
      <c r="E46" s="61"/>
      <c r="F46" s="61"/>
      <c r="N46" s="175"/>
      <c r="O46" s="61"/>
      <c r="S46" s="199"/>
      <c r="T46" s="200"/>
    </row>
  </sheetData>
  <mergeCells count="10">
    <mergeCell ref="AH5:AI5"/>
    <mergeCell ref="AH17:AI17"/>
    <mergeCell ref="AK17:AL17"/>
    <mergeCell ref="C4:M6"/>
    <mergeCell ref="N4:X6"/>
    <mergeCell ref="AA5:AB5"/>
    <mergeCell ref="AD5:AE5"/>
    <mergeCell ref="AK5:AL5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Y40">
    <cfRule type="cellIs" dxfId="0" priority="7" operator="greaterThanOrEqual">
      <formula>0</formula>
    </cfRule>
  </conditionalFormatting>
  <conditionalFormatting sqref="S40:Y40">
    <cfRule type="cellIs" dxfId="1" priority="8" operator="lessThan">
      <formula>0</formula>
    </cfRule>
  </conditionalFormatting>
  <conditionalFormatting sqref="S40:Y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67"/>
    <col customWidth="1" min="3" max="3" width="13.89"/>
    <col customWidth="1" min="4" max="4" width="16.56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3.78"/>
    <col customWidth="1" min="15" max="15" width="15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5" width="14.78"/>
    <col customWidth="1" min="26" max="26" width="14.0"/>
    <col customWidth="1" min="27" max="27" width="13.67"/>
    <col customWidth="1" min="28" max="28" width="15.78"/>
    <col customWidth="1" min="29" max="29" width="15.44"/>
    <col customWidth="1" min="30" max="30" width="16.0"/>
    <col customWidth="1" min="31" max="31" width="15.44"/>
    <col customWidth="1" min="32" max="32" width="14.78"/>
    <col customWidth="1" min="33" max="33" width="10.56"/>
  </cols>
  <sheetData>
    <row r="1" ht="15.75" customHeight="1">
      <c r="E1" s="61"/>
      <c r="H1" s="61"/>
      <c r="I1" s="61"/>
      <c r="S1" s="199"/>
      <c r="T1" s="200"/>
    </row>
    <row r="2" ht="15.75" customHeight="1">
      <c r="E2" s="61"/>
      <c r="H2" s="61"/>
      <c r="I2" s="61"/>
      <c r="S2" s="199"/>
      <c r="T2" s="200"/>
    </row>
    <row r="3" ht="15.75" customHeight="1">
      <c r="A3" s="61"/>
      <c r="B3" s="61"/>
      <c r="C3" s="61"/>
      <c r="F3" s="75"/>
      <c r="G3" s="2"/>
      <c r="N3" s="2"/>
      <c r="O3" s="2"/>
      <c r="P3" s="2"/>
      <c r="Q3" s="2"/>
      <c r="S3" s="199"/>
      <c r="T3" s="200"/>
    </row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A5" s="288"/>
      <c r="B5" s="288"/>
      <c r="C5" s="31"/>
      <c r="M5" s="32"/>
      <c r="N5" s="31"/>
      <c r="X5" s="32"/>
      <c r="AA5" s="46" t="s">
        <v>207</v>
      </c>
      <c r="AB5" s="6"/>
      <c r="AD5" s="46" t="s">
        <v>208</v>
      </c>
      <c r="AE5" s="6"/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AA6" s="261">
        <v>45597.0</v>
      </c>
      <c r="AB6" s="261">
        <v>45627.0</v>
      </c>
      <c r="AD6" s="261">
        <v>45597.0</v>
      </c>
      <c r="AE6" s="261">
        <v>45627.0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289"/>
      <c r="Z7" s="2" t="s">
        <v>45</v>
      </c>
      <c r="AA7" s="229">
        <v>6956.9574999999995</v>
      </c>
      <c r="AB7" s="274">
        <v>9102.2</v>
      </c>
      <c r="AC7" s="75">
        <f t="shared" ref="AC7:AC11" si="1">AB7*4</f>
        <v>36408.8</v>
      </c>
      <c r="AD7" s="229">
        <v>4259.725</v>
      </c>
      <c r="AE7" s="61">
        <v>6294.29</v>
      </c>
      <c r="AF7" s="75">
        <f t="shared" ref="AF7:AF11" si="2">AE7*4</f>
        <v>25177.16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206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  <c r="Y8" s="8"/>
      <c r="Z8" s="8" t="s">
        <v>46</v>
      </c>
      <c r="AA8" s="229">
        <v>7071.375</v>
      </c>
      <c r="AB8" s="276">
        <v>13509.28</v>
      </c>
      <c r="AC8" s="75">
        <f t="shared" si="1"/>
        <v>54037.12</v>
      </c>
      <c r="AD8" s="229">
        <v>6624.1875</v>
      </c>
      <c r="AE8" s="61">
        <v>5833.489999999999</v>
      </c>
      <c r="AF8" s="75">
        <f t="shared" si="2"/>
        <v>23333.96</v>
      </c>
    </row>
    <row r="9" ht="15.75" customHeight="1">
      <c r="A9" s="8"/>
      <c r="B9" s="8"/>
      <c r="C9" s="207">
        <v>45992.0</v>
      </c>
      <c r="D9" s="208" t="str">
        <f t="shared" ref="D9:D39" si="6">TEXT(C9,"ddd")</f>
        <v>seg.</v>
      </c>
      <c r="E9" s="209">
        <f t="shared" ref="E9:F9" si="3">6361.6</f>
        <v>6361.6</v>
      </c>
      <c r="F9" s="209">
        <f t="shared" si="3"/>
        <v>6361.6</v>
      </c>
      <c r="G9" s="51">
        <f t="shared" ref="G9:G39" si="8">F9-E9</f>
        <v>0</v>
      </c>
      <c r="H9" s="210">
        <v>0.0</v>
      </c>
      <c r="I9" s="211">
        <f t="shared" ref="I9:I39" si="9">IF(H9=0,0,F9/H9)</f>
        <v>0</v>
      </c>
      <c r="J9" s="57"/>
      <c r="K9" s="57"/>
      <c r="L9" s="57"/>
      <c r="M9" s="57">
        <f t="shared" ref="M9:M39" si="10">J9+K9+L9</f>
        <v>0</v>
      </c>
      <c r="N9" s="212">
        <f t="shared" ref="N9:O9" si="4">C9</f>
        <v>45992</v>
      </c>
      <c r="O9" s="204" t="str">
        <f t="shared" si="4"/>
        <v>seg.</v>
      </c>
      <c r="P9" s="213">
        <f t="shared" ref="P9:Q9" si="5">4087.74+2367.02-126</f>
        <v>6328.76</v>
      </c>
      <c r="Q9" s="213">
        <f t="shared" si="5"/>
        <v>6328.76</v>
      </c>
      <c r="R9" s="51">
        <f t="shared" ref="R9:R39" si="13">Q9-P9</f>
        <v>0</v>
      </c>
      <c r="S9" s="217">
        <v>29.0</v>
      </c>
      <c r="T9" s="211">
        <f t="shared" ref="T9:T39" si="14">IF(S9=0,0,Q9/S9)</f>
        <v>218.2331034</v>
      </c>
      <c r="U9" s="214">
        <v>0.0</v>
      </c>
      <c r="V9" s="214">
        <v>0.0</v>
      </c>
      <c r="W9" s="214">
        <v>0.0</v>
      </c>
      <c r="X9" s="57">
        <f t="shared" ref="X9:X39" si="15">U9+V9+W9</f>
        <v>0</v>
      </c>
      <c r="Y9" s="14"/>
      <c r="Z9" s="2" t="s">
        <v>40</v>
      </c>
      <c r="AA9" s="229">
        <v>7822.735000000001</v>
      </c>
      <c r="AB9" s="276">
        <v>13809.99</v>
      </c>
      <c r="AC9" s="75">
        <f t="shared" si="1"/>
        <v>55239.96</v>
      </c>
      <c r="AD9" s="229">
        <v>6950.98</v>
      </c>
      <c r="AE9" s="61">
        <v>9640.64</v>
      </c>
      <c r="AF9" s="75">
        <f t="shared" si="2"/>
        <v>38562.56</v>
      </c>
    </row>
    <row r="10" ht="15.75" customHeight="1">
      <c r="A10" s="8"/>
      <c r="B10" s="8"/>
      <c r="C10" s="207">
        <v>45993.0</v>
      </c>
      <c r="D10" s="208" t="str">
        <f t="shared" si="6"/>
        <v>ter.</v>
      </c>
      <c r="E10" s="209">
        <f t="shared" ref="E10:F10" si="7">12736</f>
        <v>12736</v>
      </c>
      <c r="F10" s="209">
        <f t="shared" si="7"/>
        <v>12736</v>
      </c>
      <c r="G10" s="51">
        <f t="shared" si="8"/>
        <v>0</v>
      </c>
      <c r="H10" s="210">
        <v>0.0</v>
      </c>
      <c r="I10" s="211">
        <f t="shared" si="9"/>
        <v>0</v>
      </c>
      <c r="J10" s="57"/>
      <c r="K10" s="57"/>
      <c r="L10" s="57"/>
      <c r="M10" s="57">
        <f t="shared" si="10"/>
        <v>0</v>
      </c>
      <c r="N10" s="212">
        <f t="shared" ref="N10:O10" si="11">C10</f>
        <v>45993</v>
      </c>
      <c r="O10" s="204" t="str">
        <f t="shared" si="11"/>
        <v>ter.</v>
      </c>
      <c r="P10" s="213">
        <f t="shared" ref="P10:Q10" si="12">2705.88+2218.89-129</f>
        <v>4795.77</v>
      </c>
      <c r="Q10" s="213">
        <f t="shared" si="12"/>
        <v>4795.77</v>
      </c>
      <c r="R10" s="51">
        <f t="shared" si="13"/>
        <v>0</v>
      </c>
      <c r="S10" s="217">
        <v>27.0</v>
      </c>
      <c r="T10" s="211">
        <f t="shared" si="14"/>
        <v>177.6211111</v>
      </c>
      <c r="U10" s="214">
        <v>0.0</v>
      </c>
      <c r="V10" s="214">
        <v>0.0</v>
      </c>
      <c r="W10" s="214">
        <v>0.0</v>
      </c>
      <c r="X10" s="57">
        <f t="shared" si="15"/>
        <v>0</v>
      </c>
      <c r="Y10" s="14"/>
      <c r="Z10" s="2" t="s">
        <v>47</v>
      </c>
      <c r="AA10" s="229">
        <v>9199.76</v>
      </c>
      <c r="AB10" s="276">
        <v>12533.35</v>
      </c>
      <c r="AC10" s="75">
        <f t="shared" si="1"/>
        <v>50133.4</v>
      </c>
      <c r="AD10" s="229">
        <v>6111.594999999999</v>
      </c>
      <c r="AE10" s="61">
        <v>7071.327499999999</v>
      </c>
      <c r="AF10" s="75">
        <f t="shared" si="2"/>
        <v>28285.31</v>
      </c>
    </row>
    <row r="11" ht="15.75" customHeight="1">
      <c r="A11" s="8"/>
      <c r="B11" s="8"/>
      <c r="C11" s="207">
        <v>45994.0</v>
      </c>
      <c r="D11" s="208" t="str">
        <f t="shared" si="6"/>
        <v>qua.</v>
      </c>
      <c r="E11" s="209">
        <f t="shared" ref="E11:F11" si="16">6616.75</f>
        <v>6616.75</v>
      </c>
      <c r="F11" s="209">
        <f t="shared" si="16"/>
        <v>6616.75</v>
      </c>
      <c r="G11" s="51">
        <f t="shared" si="8"/>
        <v>0</v>
      </c>
      <c r="H11" s="210">
        <v>0.0</v>
      </c>
      <c r="I11" s="211">
        <f t="shared" si="9"/>
        <v>0</v>
      </c>
      <c r="J11" s="57"/>
      <c r="K11" s="57"/>
      <c r="L11" s="57"/>
      <c r="M11" s="57">
        <f t="shared" si="10"/>
        <v>0</v>
      </c>
      <c r="N11" s="212">
        <f t="shared" ref="N11:O11" si="17">C11</f>
        <v>45994</v>
      </c>
      <c r="O11" s="204" t="str">
        <f t="shared" si="17"/>
        <v>qua.</v>
      </c>
      <c r="P11" s="213">
        <f t="shared" ref="P11:Q11" si="18">3082.06+3661.33-358.97</f>
        <v>6384.42</v>
      </c>
      <c r="Q11" s="213">
        <f t="shared" si="18"/>
        <v>6384.42</v>
      </c>
      <c r="R11" s="51">
        <f t="shared" si="13"/>
        <v>0</v>
      </c>
      <c r="S11" s="217">
        <v>46.0</v>
      </c>
      <c r="T11" s="211">
        <f t="shared" si="14"/>
        <v>138.7917391</v>
      </c>
      <c r="U11" s="214">
        <v>0.0</v>
      </c>
      <c r="V11" s="214">
        <v>0.0</v>
      </c>
      <c r="W11" s="214">
        <v>0.0</v>
      </c>
      <c r="X11" s="57">
        <f t="shared" si="15"/>
        <v>0</v>
      </c>
      <c r="Y11" s="14"/>
      <c r="Z11" s="2" t="s">
        <v>48</v>
      </c>
      <c r="AA11" s="229">
        <v>16865.704</v>
      </c>
      <c r="AB11" s="276">
        <v>21328.76</v>
      </c>
      <c r="AC11" s="75">
        <f t="shared" si="1"/>
        <v>85315.04</v>
      </c>
      <c r="AD11" s="229">
        <v>10936.856000000002</v>
      </c>
      <c r="AE11" s="61">
        <v>10996.429999999998</v>
      </c>
      <c r="AF11" s="75">
        <f t="shared" si="2"/>
        <v>43985.72</v>
      </c>
    </row>
    <row r="12" ht="15.75" customHeight="1">
      <c r="A12" s="8"/>
      <c r="B12" s="8"/>
      <c r="C12" s="207">
        <v>45995.0</v>
      </c>
      <c r="D12" s="208" t="str">
        <f t="shared" si="6"/>
        <v>qui.</v>
      </c>
      <c r="E12" s="209">
        <f t="shared" ref="E12:F12" si="19">101+9104.1</f>
        <v>9205.1</v>
      </c>
      <c r="F12" s="209">
        <f t="shared" si="19"/>
        <v>9205.1</v>
      </c>
      <c r="G12" s="51">
        <f t="shared" si="8"/>
        <v>0</v>
      </c>
      <c r="H12" s="210">
        <v>0.0</v>
      </c>
      <c r="I12" s="211">
        <f t="shared" si="9"/>
        <v>0</v>
      </c>
      <c r="J12" s="57"/>
      <c r="K12" s="57"/>
      <c r="L12" s="57"/>
      <c r="M12" s="57">
        <f t="shared" si="10"/>
        <v>0</v>
      </c>
      <c r="N12" s="212">
        <f t="shared" ref="N12:O12" si="20">C12</f>
        <v>45995</v>
      </c>
      <c r="O12" s="204" t="str">
        <f t="shared" si="20"/>
        <v>qui.</v>
      </c>
      <c r="P12" s="213">
        <f t="shared" ref="P12:Q12" si="21">5718.07+1626.8-340.98</f>
        <v>7003.89</v>
      </c>
      <c r="Q12" s="213">
        <f t="shared" si="21"/>
        <v>7003.89</v>
      </c>
      <c r="R12" s="51">
        <f t="shared" si="13"/>
        <v>0</v>
      </c>
      <c r="S12" s="217">
        <v>44.0</v>
      </c>
      <c r="T12" s="211">
        <f t="shared" si="14"/>
        <v>159.1793182</v>
      </c>
      <c r="U12" s="214">
        <v>0.0</v>
      </c>
      <c r="V12" s="214">
        <v>0.0</v>
      </c>
      <c r="W12" s="214">
        <v>0.0</v>
      </c>
      <c r="X12" s="57">
        <f t="shared" si="15"/>
        <v>0</v>
      </c>
      <c r="Y12" s="14"/>
      <c r="Z12" s="2" t="s">
        <v>171</v>
      </c>
      <c r="AA12" s="229">
        <v>20724.992</v>
      </c>
      <c r="AB12" s="276">
        <v>22859.37</v>
      </c>
      <c r="AC12" s="75">
        <f t="shared" ref="AC12:AC13" si="23">AB12*5</f>
        <v>114296.85</v>
      </c>
      <c r="AD12" s="229">
        <v>14289.11</v>
      </c>
      <c r="AE12" s="61">
        <v>13450.1775</v>
      </c>
      <c r="AF12" s="75">
        <f t="shared" ref="AF12:AF13" si="24">AE12*5</f>
        <v>67250.8875</v>
      </c>
    </row>
    <row r="13" ht="15.75" customHeight="1">
      <c r="A13" s="8"/>
      <c r="B13" s="8"/>
      <c r="C13" s="207">
        <v>45996.0</v>
      </c>
      <c r="D13" s="208" t="str">
        <f t="shared" si="6"/>
        <v>sex.</v>
      </c>
      <c r="E13" s="209">
        <v>19000.0</v>
      </c>
      <c r="F13" s="209">
        <f>17131.8-336</f>
        <v>16795.8</v>
      </c>
      <c r="G13" s="51">
        <f t="shared" si="8"/>
        <v>-2204.2</v>
      </c>
      <c r="H13" s="210">
        <v>0.0</v>
      </c>
      <c r="I13" s="211">
        <f t="shared" si="9"/>
        <v>0</v>
      </c>
      <c r="J13" s="57"/>
      <c r="K13" s="57"/>
      <c r="L13" s="57"/>
      <c r="M13" s="57">
        <f t="shared" si="10"/>
        <v>0</v>
      </c>
      <c r="N13" s="212">
        <f t="shared" ref="N13:O13" si="22">C13</f>
        <v>45996</v>
      </c>
      <c r="O13" s="204" t="str">
        <f t="shared" si="22"/>
        <v>sex.</v>
      </c>
      <c r="P13" s="213">
        <v>12000.0</v>
      </c>
      <c r="Q13" s="213">
        <f>4644.68+159+4747.42-371.96</f>
        <v>9179.14</v>
      </c>
      <c r="R13" s="51">
        <f t="shared" si="13"/>
        <v>-2820.86</v>
      </c>
      <c r="S13" s="217">
        <v>61.0</v>
      </c>
      <c r="T13" s="211">
        <f t="shared" si="14"/>
        <v>150.4777049</v>
      </c>
      <c r="U13" s="214">
        <v>0.0</v>
      </c>
      <c r="V13" s="214">
        <v>0.0</v>
      </c>
      <c r="W13" s="214">
        <v>0.0</v>
      </c>
      <c r="X13" s="57">
        <f t="shared" si="15"/>
        <v>0</v>
      </c>
      <c r="Y13" s="14"/>
      <c r="Z13" s="2" t="s">
        <v>44</v>
      </c>
      <c r="AA13" s="229">
        <v>19405.65</v>
      </c>
      <c r="AB13" s="276">
        <v>25699.66</v>
      </c>
      <c r="AC13" s="75">
        <f t="shared" si="23"/>
        <v>128498.3</v>
      </c>
      <c r="AD13" s="229">
        <v>19964.7775</v>
      </c>
      <c r="AE13" s="61">
        <v>21939.785</v>
      </c>
      <c r="AF13" s="75">
        <f t="shared" si="24"/>
        <v>109698.925</v>
      </c>
    </row>
    <row r="14" ht="15.75" customHeight="1">
      <c r="A14" s="8"/>
      <c r="B14" s="8"/>
      <c r="C14" s="207">
        <v>45997.0</v>
      </c>
      <c r="D14" s="208" t="str">
        <f t="shared" si="6"/>
        <v>sáb.</v>
      </c>
      <c r="E14" s="209">
        <v>25000.0</v>
      </c>
      <c r="F14" s="209">
        <f>19306.5</f>
        <v>19306.5</v>
      </c>
      <c r="G14" s="51">
        <f t="shared" si="8"/>
        <v>-5693.5</v>
      </c>
      <c r="H14" s="210">
        <v>0.0</v>
      </c>
      <c r="I14" s="211">
        <f t="shared" si="9"/>
        <v>0</v>
      </c>
      <c r="J14" s="57"/>
      <c r="K14" s="57"/>
      <c r="L14" s="57"/>
      <c r="M14" s="57">
        <f t="shared" si="10"/>
        <v>0</v>
      </c>
      <c r="N14" s="212">
        <f t="shared" ref="N14:O14" si="25">C14</f>
        <v>45997</v>
      </c>
      <c r="O14" s="204" t="str">
        <f t="shared" si="25"/>
        <v>sáb.</v>
      </c>
      <c r="P14" s="213">
        <v>17000.0</v>
      </c>
      <c r="Q14" s="213">
        <f>7297.16+7106.45-737.97+156.02</f>
        <v>13821.66</v>
      </c>
      <c r="R14" s="51">
        <f t="shared" si="13"/>
        <v>-3178.34</v>
      </c>
      <c r="S14" s="217">
        <v>96.0</v>
      </c>
      <c r="T14" s="211">
        <f t="shared" si="14"/>
        <v>143.975625</v>
      </c>
      <c r="U14" s="214">
        <v>0.0</v>
      </c>
      <c r="V14" s="214">
        <v>0.0</v>
      </c>
      <c r="W14" s="214">
        <v>0.0</v>
      </c>
      <c r="X14" s="57">
        <f t="shared" si="15"/>
        <v>0</v>
      </c>
      <c r="Y14" s="14"/>
      <c r="AA14" s="167">
        <f t="shared" ref="AA14:AF14" si="26">SUM(AA7:AA13)</f>
        <v>88047.1735</v>
      </c>
      <c r="AB14" s="167">
        <f t="shared" si="26"/>
        <v>118842.61</v>
      </c>
      <c r="AC14" s="61">
        <f t="shared" si="26"/>
        <v>523929.47</v>
      </c>
      <c r="AD14" s="167">
        <f t="shared" si="26"/>
        <v>69137.231</v>
      </c>
      <c r="AE14" s="167">
        <f t="shared" si="26"/>
        <v>75226.14</v>
      </c>
      <c r="AF14" s="61">
        <f t="shared" si="26"/>
        <v>336294.5225</v>
      </c>
    </row>
    <row r="15" ht="15.75" customHeight="1">
      <c r="A15" s="8"/>
      <c r="B15" s="8"/>
      <c r="C15" s="207">
        <v>45998.0</v>
      </c>
      <c r="D15" s="208" t="str">
        <f t="shared" si="6"/>
        <v>dom.</v>
      </c>
      <c r="E15" s="209">
        <v>24500.0</v>
      </c>
      <c r="F15" s="209">
        <f>23957.95</f>
        <v>23957.95</v>
      </c>
      <c r="G15" s="51">
        <f t="shared" si="8"/>
        <v>-542.05</v>
      </c>
      <c r="H15" s="210">
        <v>0.0</v>
      </c>
      <c r="I15" s="211">
        <f t="shared" si="9"/>
        <v>0</v>
      </c>
      <c r="J15" s="57"/>
      <c r="K15" s="57"/>
      <c r="L15" s="57"/>
      <c r="M15" s="57">
        <f t="shared" si="10"/>
        <v>0</v>
      </c>
      <c r="N15" s="212">
        <f t="shared" ref="N15:O15" si="27">C15</f>
        <v>45998</v>
      </c>
      <c r="O15" s="204" t="str">
        <f t="shared" si="27"/>
        <v>dom.</v>
      </c>
      <c r="P15" s="213">
        <v>22000.0</v>
      </c>
      <c r="Q15" s="213">
        <f>14007.37+8743.36-1474.91</f>
        <v>21275.82</v>
      </c>
      <c r="R15" s="51">
        <f t="shared" si="13"/>
        <v>-724.18</v>
      </c>
      <c r="S15" s="217">
        <v>129.0</v>
      </c>
      <c r="T15" s="211">
        <f t="shared" si="14"/>
        <v>164.9288372</v>
      </c>
      <c r="U15" s="214">
        <v>0.0</v>
      </c>
      <c r="V15" s="214">
        <v>0.0</v>
      </c>
      <c r="W15" s="214">
        <v>0.0</v>
      </c>
      <c r="X15" s="57">
        <f t="shared" si="15"/>
        <v>0</v>
      </c>
      <c r="Y15" s="14"/>
      <c r="AB15" s="66">
        <f>AB14/AA14-1</f>
        <v>0.3497606485</v>
      </c>
      <c r="AE15" s="66">
        <f>AE14/AD14-1</f>
        <v>0.0880698997</v>
      </c>
    </row>
    <row r="16" ht="15.75" customHeight="1">
      <c r="A16" s="8"/>
      <c r="B16" s="8"/>
      <c r="C16" s="207">
        <v>45999.0</v>
      </c>
      <c r="D16" s="208" t="str">
        <f t="shared" si="6"/>
        <v>seg.</v>
      </c>
      <c r="E16" s="209">
        <v>9000.0</v>
      </c>
      <c r="F16" s="209">
        <f>18985</f>
        <v>18985</v>
      </c>
      <c r="G16" s="51">
        <f t="shared" si="8"/>
        <v>9985</v>
      </c>
      <c r="H16" s="210">
        <v>0.0</v>
      </c>
      <c r="I16" s="211">
        <f t="shared" si="9"/>
        <v>0</v>
      </c>
      <c r="J16" s="57"/>
      <c r="K16" s="57"/>
      <c r="L16" s="57"/>
      <c r="M16" s="57">
        <f t="shared" si="10"/>
        <v>0</v>
      </c>
      <c r="N16" s="212">
        <f t="shared" ref="N16:O16" si="28">C16</f>
        <v>45999</v>
      </c>
      <c r="O16" s="204" t="str">
        <f t="shared" si="28"/>
        <v>seg.</v>
      </c>
      <c r="P16" s="213">
        <v>5000.0</v>
      </c>
      <c r="Q16" s="213">
        <f>7849.43+3636.35-644.91</f>
        <v>10840.87</v>
      </c>
      <c r="R16" s="51">
        <f t="shared" si="13"/>
        <v>5840.87</v>
      </c>
      <c r="S16" s="217">
        <v>76.0</v>
      </c>
      <c r="T16" s="211">
        <f t="shared" si="14"/>
        <v>142.6430263</v>
      </c>
      <c r="U16" s="214">
        <v>0.0</v>
      </c>
      <c r="V16" s="214">
        <v>0.0</v>
      </c>
      <c r="W16" s="214">
        <v>0.0</v>
      </c>
      <c r="X16" s="57">
        <f t="shared" si="15"/>
        <v>0</v>
      </c>
      <c r="Y16" s="14"/>
    </row>
    <row r="17" ht="15.75" customHeight="1">
      <c r="A17" s="8"/>
      <c r="B17" s="8"/>
      <c r="C17" s="207">
        <v>46000.0</v>
      </c>
      <c r="D17" s="208" t="str">
        <f t="shared" si="6"/>
        <v>ter.</v>
      </c>
      <c r="E17" s="209">
        <v>10000.0</v>
      </c>
      <c r="F17" s="209">
        <f>6743.2</f>
        <v>6743.2</v>
      </c>
      <c r="G17" s="51">
        <f t="shared" si="8"/>
        <v>-3256.8</v>
      </c>
      <c r="H17" s="210">
        <v>0.0</v>
      </c>
      <c r="I17" s="211">
        <f t="shared" si="9"/>
        <v>0</v>
      </c>
      <c r="J17" s="57"/>
      <c r="K17" s="57"/>
      <c r="L17" s="57"/>
      <c r="M17" s="57">
        <f t="shared" si="10"/>
        <v>0</v>
      </c>
      <c r="N17" s="212">
        <f t="shared" ref="N17:O17" si="29">C17</f>
        <v>46000</v>
      </c>
      <c r="O17" s="204" t="str">
        <f t="shared" si="29"/>
        <v>ter.</v>
      </c>
      <c r="P17" s="213">
        <v>5500.0</v>
      </c>
      <c r="Q17" s="213">
        <f>2442.33+1389.89-118</f>
        <v>3714.22</v>
      </c>
      <c r="R17" s="51">
        <f t="shared" si="13"/>
        <v>-1785.78</v>
      </c>
      <c r="S17" s="217">
        <v>26.0</v>
      </c>
      <c r="T17" s="211">
        <f t="shared" si="14"/>
        <v>142.8546154</v>
      </c>
      <c r="U17" s="214">
        <v>0.0</v>
      </c>
      <c r="V17" s="214">
        <v>0.0</v>
      </c>
      <c r="W17" s="214">
        <v>0.0</v>
      </c>
      <c r="X17" s="57">
        <f t="shared" si="15"/>
        <v>0</v>
      </c>
      <c r="Y17" s="14"/>
      <c r="AB17" s="70"/>
      <c r="AC17" s="71" t="s">
        <v>52</v>
      </c>
      <c r="AD17" s="72"/>
      <c r="AE17" s="73" t="s">
        <v>53</v>
      </c>
    </row>
    <row r="18" ht="15.75" customHeight="1">
      <c r="A18" s="8"/>
      <c r="B18" s="8"/>
      <c r="C18" s="207">
        <v>46001.0</v>
      </c>
      <c r="D18" s="208" t="str">
        <f t="shared" si="6"/>
        <v>qua.</v>
      </c>
      <c r="E18" s="209">
        <v>13000.0</v>
      </c>
      <c r="F18" s="209">
        <f>10590.6</f>
        <v>10590.6</v>
      </c>
      <c r="G18" s="51">
        <f t="shared" si="8"/>
        <v>-2409.4</v>
      </c>
      <c r="H18" s="210">
        <v>0.0</v>
      </c>
      <c r="I18" s="211">
        <f t="shared" si="9"/>
        <v>0</v>
      </c>
      <c r="J18" s="57"/>
      <c r="K18" s="57"/>
      <c r="L18" s="57"/>
      <c r="M18" s="57">
        <f t="shared" si="10"/>
        <v>0</v>
      </c>
      <c r="N18" s="212">
        <f t="shared" ref="N18:O18" si="30">C18</f>
        <v>46001</v>
      </c>
      <c r="O18" s="204" t="str">
        <f t="shared" si="30"/>
        <v>qua.</v>
      </c>
      <c r="P18" s="213">
        <v>6000.0</v>
      </c>
      <c r="Q18" s="213">
        <f>3307.52+1897.55-226.97</f>
        <v>4978.1</v>
      </c>
      <c r="R18" s="51">
        <f t="shared" si="13"/>
        <v>-1021.9</v>
      </c>
      <c r="S18" s="217">
        <v>37.0</v>
      </c>
      <c r="T18" s="211">
        <f t="shared" si="14"/>
        <v>134.5432432</v>
      </c>
      <c r="U18" s="214">
        <v>0.0</v>
      </c>
      <c r="V18" s="214">
        <v>0.0</v>
      </c>
      <c r="W18" s="214">
        <v>0.0</v>
      </c>
      <c r="X18" s="57">
        <f t="shared" si="15"/>
        <v>0</v>
      </c>
      <c r="Y18" s="14"/>
      <c r="AB18" s="74" t="s">
        <v>29</v>
      </c>
      <c r="AC18" s="75">
        <v>475000.0</v>
      </c>
      <c r="AD18" s="2" t="s">
        <v>29</v>
      </c>
      <c r="AE18" s="76">
        <v>315000.0</v>
      </c>
    </row>
    <row r="19" ht="15.75" customHeight="1">
      <c r="A19" s="8"/>
      <c r="B19" s="8"/>
      <c r="C19" s="207">
        <v>46002.0</v>
      </c>
      <c r="D19" s="208" t="str">
        <f t="shared" si="6"/>
        <v>qui.</v>
      </c>
      <c r="E19" s="209">
        <v>13000.0</v>
      </c>
      <c r="F19" s="209">
        <f>12471.3</f>
        <v>12471.3</v>
      </c>
      <c r="G19" s="51">
        <f t="shared" si="8"/>
        <v>-528.7</v>
      </c>
      <c r="H19" s="210">
        <v>0.0</v>
      </c>
      <c r="I19" s="211">
        <f t="shared" si="9"/>
        <v>0</v>
      </c>
      <c r="J19" s="57"/>
      <c r="K19" s="57"/>
      <c r="L19" s="57"/>
      <c r="M19" s="57">
        <f t="shared" si="10"/>
        <v>0</v>
      </c>
      <c r="N19" s="212">
        <f t="shared" ref="N19:O19" si="31">C19</f>
        <v>46002</v>
      </c>
      <c r="O19" s="204" t="str">
        <f t="shared" si="31"/>
        <v>qui.</v>
      </c>
      <c r="P19" s="213">
        <v>7000.0</v>
      </c>
      <c r="Q19" s="213">
        <f>5653.35+1921.76-327.97</f>
        <v>7247.14</v>
      </c>
      <c r="R19" s="51">
        <f t="shared" si="13"/>
        <v>247.14</v>
      </c>
      <c r="S19" s="217">
        <v>46.0</v>
      </c>
      <c r="T19" s="211">
        <f t="shared" si="14"/>
        <v>157.5465217</v>
      </c>
      <c r="U19" s="214">
        <v>0.0</v>
      </c>
      <c r="V19" s="214">
        <v>0.0</v>
      </c>
      <c r="W19" s="214">
        <v>0.0</v>
      </c>
      <c r="X19" s="57">
        <f t="shared" si="15"/>
        <v>0</v>
      </c>
      <c r="Y19" s="14"/>
      <c r="AB19" s="74"/>
      <c r="AC19" s="2"/>
      <c r="AD19" s="2"/>
      <c r="AE19" s="77"/>
    </row>
    <row r="20" ht="15.75" customHeight="1">
      <c r="A20" s="8"/>
      <c r="B20" s="8"/>
      <c r="C20" s="207">
        <v>46003.0</v>
      </c>
      <c r="D20" s="208" t="str">
        <f t="shared" si="6"/>
        <v>sex.</v>
      </c>
      <c r="E20" s="209">
        <v>19000.0</v>
      </c>
      <c r="F20" s="209">
        <f>20389.7-217</f>
        <v>20172.7</v>
      </c>
      <c r="G20" s="51">
        <f t="shared" si="8"/>
        <v>1172.7</v>
      </c>
      <c r="H20" s="210">
        <v>0.0</v>
      </c>
      <c r="I20" s="211">
        <f t="shared" si="9"/>
        <v>0</v>
      </c>
      <c r="J20" s="57"/>
      <c r="K20" s="57"/>
      <c r="L20" s="57"/>
      <c r="M20" s="57">
        <f t="shared" si="10"/>
        <v>0</v>
      </c>
      <c r="N20" s="212">
        <f t="shared" ref="N20:O20" si="32">C20</f>
        <v>46003</v>
      </c>
      <c r="O20" s="204" t="str">
        <f t="shared" si="32"/>
        <v>sex.</v>
      </c>
      <c r="P20" s="213">
        <v>12000.0</v>
      </c>
      <c r="Q20" s="213">
        <f>7430+5901.09-418.93</f>
        <v>12912.16</v>
      </c>
      <c r="R20" s="51">
        <f t="shared" si="13"/>
        <v>912.16</v>
      </c>
      <c r="S20" s="217">
        <v>83.0</v>
      </c>
      <c r="T20" s="211">
        <f t="shared" si="14"/>
        <v>155.5681928</v>
      </c>
      <c r="U20" s="214">
        <v>0.0</v>
      </c>
      <c r="V20" s="214">
        <v>0.0</v>
      </c>
      <c r="W20" s="214">
        <v>0.0</v>
      </c>
      <c r="X20" s="57">
        <f t="shared" si="15"/>
        <v>0</v>
      </c>
      <c r="Y20" s="14"/>
      <c r="AB20" s="74" t="s">
        <v>58</v>
      </c>
      <c r="AC20" s="75">
        <f>SUM(P9:P15)</f>
        <v>75512.84</v>
      </c>
      <c r="AD20" s="58" t="s">
        <v>58</v>
      </c>
      <c r="AE20" s="76">
        <f>SUM(V9:V15)</f>
        <v>0</v>
      </c>
    </row>
    <row r="21" ht="15.75" customHeight="1">
      <c r="A21" s="8"/>
      <c r="B21" s="8"/>
      <c r="C21" s="207">
        <v>46004.0</v>
      </c>
      <c r="D21" s="208" t="str">
        <f t="shared" si="6"/>
        <v>sáb.</v>
      </c>
      <c r="E21" s="209">
        <v>25000.0</v>
      </c>
      <c r="F21" s="209">
        <f>26068.8+340.05</f>
        <v>26408.85</v>
      </c>
      <c r="G21" s="51">
        <f t="shared" si="8"/>
        <v>1408.85</v>
      </c>
      <c r="H21" s="210">
        <v>0.0</v>
      </c>
      <c r="I21" s="211">
        <f t="shared" si="9"/>
        <v>0</v>
      </c>
      <c r="J21" s="57"/>
      <c r="K21" s="57"/>
      <c r="L21" s="57"/>
      <c r="M21" s="57">
        <f t="shared" si="10"/>
        <v>0</v>
      </c>
      <c r="N21" s="212">
        <f t="shared" ref="N21:O21" si="33">C21</f>
        <v>46004</v>
      </c>
      <c r="O21" s="204" t="str">
        <f t="shared" si="33"/>
        <v>sáb.</v>
      </c>
      <c r="P21" s="213">
        <v>17000.0</v>
      </c>
      <c r="Q21" s="213">
        <f>6311.38+123+5173.8-739.93</f>
        <v>10868.25</v>
      </c>
      <c r="R21" s="51">
        <f t="shared" si="13"/>
        <v>-6131.75</v>
      </c>
      <c r="S21" s="217">
        <v>70.0</v>
      </c>
      <c r="T21" s="211">
        <f t="shared" si="14"/>
        <v>155.2607143</v>
      </c>
      <c r="U21" s="214">
        <v>0.0</v>
      </c>
      <c r="V21" s="214">
        <v>0.0</v>
      </c>
      <c r="W21" s="214">
        <v>0.0</v>
      </c>
      <c r="X21" s="57">
        <f t="shared" si="15"/>
        <v>0</v>
      </c>
      <c r="Y21" s="14"/>
      <c r="AB21" s="74"/>
      <c r="AC21" s="79">
        <f>AC20/AC18</f>
        <v>0.1589744</v>
      </c>
      <c r="AE21" s="80">
        <f>AE20/AE18</f>
        <v>0</v>
      </c>
      <c r="AF21" s="66"/>
    </row>
    <row r="22" ht="15.75" customHeight="1">
      <c r="A22" s="8"/>
      <c r="B22" s="8"/>
      <c r="C22" s="207">
        <v>46005.0</v>
      </c>
      <c r="D22" s="208" t="str">
        <f t="shared" si="6"/>
        <v>dom.</v>
      </c>
      <c r="E22" s="209">
        <v>24500.0</v>
      </c>
      <c r="F22" s="209">
        <f>27330</f>
        <v>27330</v>
      </c>
      <c r="G22" s="51">
        <f t="shared" si="8"/>
        <v>2830</v>
      </c>
      <c r="H22" s="210">
        <v>0.0</v>
      </c>
      <c r="I22" s="211">
        <f t="shared" si="9"/>
        <v>0</v>
      </c>
      <c r="J22" s="57"/>
      <c r="K22" s="57"/>
      <c r="L22" s="57"/>
      <c r="M22" s="57">
        <f t="shared" si="10"/>
        <v>0</v>
      </c>
      <c r="N22" s="212">
        <f t="shared" ref="N22:O22" si="34">C22</f>
        <v>46005</v>
      </c>
      <c r="O22" s="204" t="str">
        <f t="shared" si="34"/>
        <v>dom.</v>
      </c>
      <c r="P22" s="213">
        <v>22000.0</v>
      </c>
      <c r="Q22" s="213">
        <f>16049.44+9023.78-1577.98</f>
        <v>23495.24</v>
      </c>
      <c r="R22" s="51">
        <f t="shared" si="13"/>
        <v>1495.24</v>
      </c>
      <c r="S22" s="217">
        <v>140.0</v>
      </c>
      <c r="T22" s="211">
        <f t="shared" si="14"/>
        <v>167.8231429</v>
      </c>
      <c r="U22" s="214">
        <v>0.0</v>
      </c>
      <c r="V22" s="214">
        <v>0.0</v>
      </c>
      <c r="W22" s="214">
        <v>0.0</v>
      </c>
      <c r="X22" s="57">
        <f t="shared" si="15"/>
        <v>0</v>
      </c>
      <c r="Y22" s="14"/>
      <c r="AB22" s="74"/>
      <c r="AC22" s="81"/>
      <c r="AE22" s="77"/>
    </row>
    <row r="23" ht="15.75" customHeight="1">
      <c r="A23" s="8"/>
      <c r="B23" s="8"/>
      <c r="C23" s="207">
        <v>46006.0</v>
      </c>
      <c r="D23" s="208" t="str">
        <f t="shared" si="6"/>
        <v>seg.</v>
      </c>
      <c r="E23" s="209">
        <v>13000.0</v>
      </c>
      <c r="F23" s="209">
        <f>19741.9-7500</f>
        <v>12241.9</v>
      </c>
      <c r="G23" s="51">
        <f t="shared" si="8"/>
        <v>-758.1</v>
      </c>
      <c r="H23" s="210">
        <v>0.0</v>
      </c>
      <c r="I23" s="211">
        <f t="shared" si="9"/>
        <v>0</v>
      </c>
      <c r="J23" s="57"/>
      <c r="K23" s="57"/>
      <c r="L23" s="57"/>
      <c r="M23" s="57">
        <f t="shared" si="10"/>
        <v>0</v>
      </c>
      <c r="N23" s="212">
        <f t="shared" ref="N23:O23" si="35">C23</f>
        <v>46006</v>
      </c>
      <c r="O23" s="204" t="str">
        <f t="shared" si="35"/>
        <v>seg.</v>
      </c>
      <c r="P23" s="213">
        <v>5000.0</v>
      </c>
      <c r="Q23" s="213">
        <f>3682.59+2305.48-230.96</f>
        <v>5757.11</v>
      </c>
      <c r="R23" s="51">
        <f t="shared" si="13"/>
        <v>757.11</v>
      </c>
      <c r="S23" s="217">
        <v>34.0</v>
      </c>
      <c r="T23" s="211">
        <f t="shared" si="14"/>
        <v>169.3267647</v>
      </c>
      <c r="U23" s="214">
        <v>0.0</v>
      </c>
      <c r="V23" s="214">
        <v>0.0</v>
      </c>
      <c r="W23" s="214">
        <v>0.0</v>
      </c>
      <c r="X23" s="57">
        <f t="shared" si="15"/>
        <v>0</v>
      </c>
      <c r="Y23" s="14"/>
      <c r="AB23" s="74" t="s">
        <v>62</v>
      </c>
      <c r="AC23" s="75">
        <f>SUM(P16:P22)</f>
        <v>74500</v>
      </c>
      <c r="AD23" s="58" t="s">
        <v>62</v>
      </c>
      <c r="AE23" s="76">
        <f>SUM(V16:V22)</f>
        <v>0</v>
      </c>
    </row>
    <row r="24" ht="15.75" customHeight="1">
      <c r="A24" s="8"/>
      <c r="B24" s="8"/>
      <c r="C24" s="207">
        <v>46007.0</v>
      </c>
      <c r="D24" s="208" t="str">
        <f t="shared" si="6"/>
        <v>ter.</v>
      </c>
      <c r="E24" s="209">
        <v>14000.0</v>
      </c>
      <c r="F24" s="209">
        <f>6470.28</f>
        <v>6470.28</v>
      </c>
      <c r="G24" s="51">
        <f t="shared" si="8"/>
        <v>-7529.72</v>
      </c>
      <c r="H24" s="210">
        <v>0.0</v>
      </c>
      <c r="I24" s="211">
        <f t="shared" si="9"/>
        <v>0</v>
      </c>
      <c r="J24" s="57"/>
      <c r="K24" s="57"/>
      <c r="L24" s="57"/>
      <c r="M24" s="57">
        <f t="shared" si="10"/>
        <v>0</v>
      </c>
      <c r="N24" s="212">
        <f t="shared" ref="N24:O24" si="36">C24</f>
        <v>46007</v>
      </c>
      <c r="O24" s="204" t="str">
        <f t="shared" si="36"/>
        <v>ter.</v>
      </c>
      <c r="P24" s="213">
        <v>6000.0</v>
      </c>
      <c r="Q24" s="213">
        <f>2969.37+2047.49-170.98</f>
        <v>4845.88</v>
      </c>
      <c r="R24" s="51">
        <f t="shared" si="13"/>
        <v>-1154.12</v>
      </c>
      <c r="S24" s="217">
        <v>33.0</v>
      </c>
      <c r="T24" s="211">
        <f t="shared" si="14"/>
        <v>146.8448485</v>
      </c>
      <c r="U24" s="214">
        <v>0.0</v>
      </c>
      <c r="V24" s="214">
        <v>0.0</v>
      </c>
      <c r="W24" s="214">
        <v>0.0</v>
      </c>
      <c r="X24" s="57">
        <f t="shared" si="15"/>
        <v>0</v>
      </c>
      <c r="Y24" s="14"/>
      <c r="AB24" s="74"/>
      <c r="AC24" s="79">
        <f>AC23/AC18</f>
        <v>0.1568421053</v>
      </c>
      <c r="AE24" s="80">
        <f>AE23/AE18</f>
        <v>0</v>
      </c>
    </row>
    <row r="25" ht="15.75" customHeight="1">
      <c r="A25" s="8"/>
      <c r="B25" s="8"/>
      <c r="C25" s="207">
        <v>46008.0</v>
      </c>
      <c r="D25" s="208" t="str">
        <f t="shared" si="6"/>
        <v>qua.</v>
      </c>
      <c r="E25" s="209">
        <v>14000.0</v>
      </c>
      <c r="F25" s="209">
        <f>16370.5</f>
        <v>16370.5</v>
      </c>
      <c r="G25" s="51">
        <f t="shared" si="8"/>
        <v>2370.5</v>
      </c>
      <c r="H25" s="210">
        <v>0.0</v>
      </c>
      <c r="I25" s="211">
        <f t="shared" si="9"/>
        <v>0</v>
      </c>
      <c r="J25" s="57"/>
      <c r="K25" s="57"/>
      <c r="L25" s="57"/>
      <c r="M25" s="57">
        <f t="shared" si="10"/>
        <v>0</v>
      </c>
      <c r="N25" s="212">
        <f t="shared" ref="N25:O25" si="37">C25</f>
        <v>46008</v>
      </c>
      <c r="O25" s="204" t="str">
        <f t="shared" si="37"/>
        <v>qua.</v>
      </c>
      <c r="P25" s="213">
        <v>6000.0</v>
      </c>
      <c r="Q25" s="213">
        <f>3863.96+5068.88-382.97</f>
        <v>8549.87</v>
      </c>
      <c r="R25" s="51">
        <f t="shared" si="13"/>
        <v>2549.87</v>
      </c>
      <c r="S25" s="217">
        <v>44.0</v>
      </c>
      <c r="T25" s="211">
        <f t="shared" si="14"/>
        <v>194.3152273</v>
      </c>
      <c r="U25" s="214">
        <v>0.0</v>
      </c>
      <c r="V25" s="214">
        <v>0.0</v>
      </c>
      <c r="W25" s="214">
        <v>0.0</v>
      </c>
      <c r="X25" s="57">
        <f t="shared" si="15"/>
        <v>0</v>
      </c>
      <c r="Y25" s="14"/>
      <c r="AB25" s="74"/>
      <c r="AC25" s="81"/>
      <c r="AE25" s="77"/>
    </row>
    <row r="26" ht="19.5" customHeight="1">
      <c r="A26" s="8"/>
      <c r="B26" s="8"/>
      <c r="C26" s="207">
        <v>46009.0</v>
      </c>
      <c r="D26" s="208" t="str">
        <f t="shared" si="6"/>
        <v>qui.</v>
      </c>
      <c r="E26" s="209">
        <v>13000.0</v>
      </c>
      <c r="F26" s="209">
        <f>16640.8</f>
        <v>16640.8</v>
      </c>
      <c r="G26" s="51">
        <f t="shared" si="8"/>
        <v>3640.8</v>
      </c>
      <c r="H26" s="210">
        <v>0.0</v>
      </c>
      <c r="I26" s="211">
        <f t="shared" si="9"/>
        <v>0</v>
      </c>
      <c r="J26" s="57"/>
      <c r="K26" s="57"/>
      <c r="L26" s="57"/>
      <c r="M26" s="57">
        <f t="shared" si="10"/>
        <v>0</v>
      </c>
      <c r="N26" s="212">
        <f t="shared" ref="N26:O26" si="38">C26</f>
        <v>46009</v>
      </c>
      <c r="O26" s="204" t="str">
        <f t="shared" si="38"/>
        <v>qui.</v>
      </c>
      <c r="P26" s="213">
        <v>8000.0</v>
      </c>
      <c r="Q26" s="213">
        <f>3336.34+1999.81-165.98</f>
        <v>5170.17</v>
      </c>
      <c r="R26" s="51">
        <f t="shared" si="13"/>
        <v>-2829.83</v>
      </c>
      <c r="S26" s="217">
        <v>40.0</v>
      </c>
      <c r="T26" s="211">
        <f t="shared" si="14"/>
        <v>129.25425</v>
      </c>
      <c r="U26" s="214">
        <v>0.0</v>
      </c>
      <c r="V26" s="214">
        <v>0.0</v>
      </c>
      <c r="W26" s="214">
        <v>0.0</v>
      </c>
      <c r="X26" s="57">
        <f t="shared" si="15"/>
        <v>0</v>
      </c>
      <c r="Y26" s="14"/>
      <c r="AB26" s="74" t="s">
        <v>63</v>
      </c>
      <c r="AC26" s="75">
        <f>SUM(P23:P29)</f>
        <v>79000</v>
      </c>
      <c r="AD26" s="58" t="s">
        <v>63</v>
      </c>
      <c r="AE26" s="76">
        <f>SUM(V23:V29)</f>
        <v>0</v>
      </c>
    </row>
    <row r="27" ht="15.75" customHeight="1">
      <c r="A27" s="8"/>
      <c r="B27" s="8"/>
      <c r="C27" s="207">
        <v>46010.0</v>
      </c>
      <c r="D27" s="208" t="str">
        <f t="shared" si="6"/>
        <v>sex.</v>
      </c>
      <c r="E27" s="209">
        <v>19000.0</v>
      </c>
      <c r="F27" s="209">
        <f>20056</f>
        <v>20056</v>
      </c>
      <c r="G27" s="51">
        <f t="shared" si="8"/>
        <v>1056</v>
      </c>
      <c r="H27" s="210">
        <v>0.0</v>
      </c>
      <c r="I27" s="211">
        <f t="shared" si="9"/>
        <v>0</v>
      </c>
      <c r="J27" s="57"/>
      <c r="K27" s="57"/>
      <c r="L27" s="57"/>
      <c r="M27" s="57">
        <f t="shared" si="10"/>
        <v>0</v>
      </c>
      <c r="N27" s="212">
        <f t="shared" ref="N27:O27" si="39">C27</f>
        <v>46010</v>
      </c>
      <c r="O27" s="204" t="str">
        <f t="shared" si="39"/>
        <v>sex.</v>
      </c>
      <c r="P27" s="213">
        <v>14000.0</v>
      </c>
      <c r="Q27" s="213">
        <f>10126.26</f>
        <v>10126.26</v>
      </c>
      <c r="R27" s="51">
        <f t="shared" si="13"/>
        <v>-3873.74</v>
      </c>
      <c r="S27" s="217">
        <v>59.0</v>
      </c>
      <c r="T27" s="211">
        <f t="shared" si="14"/>
        <v>171.6315254</v>
      </c>
      <c r="U27" s="214">
        <v>0.0</v>
      </c>
      <c r="V27" s="214">
        <v>0.0</v>
      </c>
      <c r="W27" s="214">
        <v>0.0</v>
      </c>
      <c r="X27" s="57">
        <f t="shared" si="15"/>
        <v>0</v>
      </c>
      <c r="Y27" s="14"/>
      <c r="AB27" s="74"/>
      <c r="AC27" s="79">
        <f>AC26/AC18</f>
        <v>0.1663157895</v>
      </c>
      <c r="AE27" s="80">
        <f>AE26/AE18</f>
        <v>0</v>
      </c>
    </row>
    <row r="28" ht="15.75" customHeight="1">
      <c r="A28" s="8"/>
      <c r="B28" s="8"/>
      <c r="C28" s="207">
        <v>46011.0</v>
      </c>
      <c r="D28" s="208" t="str">
        <f t="shared" si="6"/>
        <v>sáb.</v>
      </c>
      <c r="E28" s="209">
        <v>25000.0</v>
      </c>
      <c r="F28" s="209">
        <f>18767.94</f>
        <v>18767.94</v>
      </c>
      <c r="G28" s="51">
        <f t="shared" si="8"/>
        <v>-6232.06</v>
      </c>
      <c r="H28" s="210">
        <v>0.0</v>
      </c>
      <c r="I28" s="211">
        <f t="shared" si="9"/>
        <v>0</v>
      </c>
      <c r="J28" s="57"/>
      <c r="K28" s="57"/>
      <c r="L28" s="57"/>
      <c r="M28" s="57">
        <f t="shared" si="10"/>
        <v>0</v>
      </c>
      <c r="N28" s="212">
        <f t="shared" ref="N28:O28" si="40">C28</f>
        <v>46011</v>
      </c>
      <c r="O28" s="204" t="str">
        <f t="shared" si="40"/>
        <v>sáb.</v>
      </c>
      <c r="P28" s="213">
        <v>17000.0</v>
      </c>
      <c r="Q28" s="213">
        <f>16238.82-1069.96</f>
        <v>15168.86</v>
      </c>
      <c r="R28" s="51">
        <f t="shared" si="13"/>
        <v>-1831.14</v>
      </c>
      <c r="S28" s="217">
        <v>93.0</v>
      </c>
      <c r="T28" s="211">
        <f t="shared" si="14"/>
        <v>163.1060215</v>
      </c>
      <c r="U28" s="214">
        <v>0.0</v>
      </c>
      <c r="V28" s="214">
        <v>0.0</v>
      </c>
      <c r="W28" s="214">
        <v>0.0</v>
      </c>
      <c r="X28" s="57">
        <f t="shared" si="15"/>
        <v>0</v>
      </c>
      <c r="Y28" s="14"/>
      <c r="AB28" s="74"/>
      <c r="AE28" s="82"/>
    </row>
    <row r="29" ht="15.75" customHeight="1">
      <c r="A29" s="8"/>
      <c r="B29" s="8"/>
      <c r="C29" s="207">
        <v>46012.0</v>
      </c>
      <c r="D29" s="208" t="str">
        <f t="shared" si="6"/>
        <v>dom.</v>
      </c>
      <c r="E29" s="209">
        <v>24600.0</v>
      </c>
      <c r="F29" s="209">
        <f>27998.5</f>
        <v>27998.5</v>
      </c>
      <c r="G29" s="51">
        <f t="shared" si="8"/>
        <v>3398.5</v>
      </c>
      <c r="H29" s="210">
        <v>0.0</v>
      </c>
      <c r="I29" s="211">
        <f t="shared" si="9"/>
        <v>0</v>
      </c>
      <c r="J29" s="57"/>
      <c r="K29" s="57"/>
      <c r="L29" s="57"/>
      <c r="M29" s="57">
        <f t="shared" si="10"/>
        <v>0</v>
      </c>
      <c r="N29" s="212">
        <f t="shared" ref="N29:O29" si="41">C29</f>
        <v>46012</v>
      </c>
      <c r="O29" s="204" t="str">
        <f t="shared" si="41"/>
        <v>dom.</v>
      </c>
      <c r="P29" s="213">
        <v>23000.0</v>
      </c>
      <c r="Q29" s="213">
        <f>21562.77-1400.93</f>
        <v>20161.84</v>
      </c>
      <c r="R29" s="51">
        <f t="shared" si="13"/>
        <v>-2838.16</v>
      </c>
      <c r="S29" s="217">
        <v>115.0</v>
      </c>
      <c r="T29" s="211">
        <f t="shared" si="14"/>
        <v>175.3203478</v>
      </c>
      <c r="U29" s="214">
        <v>0.0</v>
      </c>
      <c r="V29" s="214">
        <v>0.0</v>
      </c>
      <c r="W29" s="214">
        <v>0.0</v>
      </c>
      <c r="X29" s="57">
        <f t="shared" si="15"/>
        <v>0</v>
      </c>
      <c r="Y29" s="14"/>
      <c r="AB29" s="74" t="s">
        <v>64</v>
      </c>
      <c r="AC29" s="61">
        <f>SUM(P30:P36)</f>
        <v>74000</v>
      </c>
      <c r="AD29" s="58" t="s">
        <v>64</v>
      </c>
      <c r="AE29" s="83">
        <f>SUM(V30:V36)</f>
        <v>0</v>
      </c>
    </row>
    <row r="30" ht="19.5" customHeight="1">
      <c r="A30" s="8"/>
      <c r="B30" s="8"/>
      <c r="C30" s="207">
        <v>46013.0</v>
      </c>
      <c r="D30" s="208" t="str">
        <f t="shared" si="6"/>
        <v>seg.</v>
      </c>
      <c r="E30" s="209">
        <v>13000.0</v>
      </c>
      <c r="F30" s="209">
        <f>11845.8</f>
        <v>11845.8</v>
      </c>
      <c r="G30" s="51">
        <f t="shared" si="8"/>
        <v>-1154.2</v>
      </c>
      <c r="H30" s="210">
        <v>0.0</v>
      </c>
      <c r="I30" s="211">
        <f t="shared" si="9"/>
        <v>0</v>
      </c>
      <c r="J30" s="57"/>
      <c r="K30" s="57"/>
      <c r="L30" s="57"/>
      <c r="M30" s="57">
        <f t="shared" si="10"/>
        <v>0</v>
      </c>
      <c r="N30" s="212">
        <f t="shared" ref="N30:O30" si="42">C30</f>
        <v>46013</v>
      </c>
      <c r="O30" s="204" t="str">
        <f t="shared" si="42"/>
        <v>seg.</v>
      </c>
      <c r="P30" s="213">
        <v>6000.0</v>
      </c>
      <c r="Q30" s="213">
        <f>3819.66+3356.84-164.99</f>
        <v>7011.51</v>
      </c>
      <c r="R30" s="51">
        <f t="shared" si="13"/>
        <v>1011.51</v>
      </c>
      <c r="S30" s="217">
        <v>39.0</v>
      </c>
      <c r="T30" s="211">
        <f t="shared" si="14"/>
        <v>179.7823077</v>
      </c>
      <c r="U30" s="214">
        <v>0.0</v>
      </c>
      <c r="V30" s="214">
        <v>0.0</v>
      </c>
      <c r="W30" s="214">
        <v>0.0</v>
      </c>
      <c r="X30" s="57">
        <f t="shared" si="15"/>
        <v>0</v>
      </c>
      <c r="Y30" s="14"/>
      <c r="AB30" s="74"/>
      <c r="AC30" s="79">
        <f>AC29/AC18</f>
        <v>0.1557894737</v>
      </c>
      <c r="AE30" s="80">
        <f>AE29/AE18</f>
        <v>0</v>
      </c>
    </row>
    <row r="31" ht="18.0" customHeight="1">
      <c r="A31" s="8"/>
      <c r="B31" s="8"/>
      <c r="C31" s="207">
        <v>46014.0</v>
      </c>
      <c r="D31" s="208" t="str">
        <f t="shared" si="6"/>
        <v>ter.</v>
      </c>
      <c r="E31" s="209">
        <v>14000.0</v>
      </c>
      <c r="F31" s="209">
        <f>14589.82</f>
        <v>14589.82</v>
      </c>
      <c r="G31" s="51">
        <f t="shared" si="8"/>
        <v>589.82</v>
      </c>
      <c r="H31" s="210">
        <v>0.0</v>
      </c>
      <c r="I31" s="211">
        <f t="shared" si="9"/>
        <v>0</v>
      </c>
      <c r="J31" s="57"/>
      <c r="K31" s="57"/>
      <c r="L31" s="57"/>
      <c r="M31" s="57">
        <f t="shared" si="10"/>
        <v>0</v>
      </c>
      <c r="N31" s="212">
        <f t="shared" ref="N31:O31" si="43">C31</f>
        <v>46014</v>
      </c>
      <c r="O31" s="204" t="str">
        <f t="shared" si="43"/>
        <v>ter.</v>
      </c>
      <c r="P31" s="213">
        <v>6000.0</v>
      </c>
      <c r="Q31" s="213">
        <f>7980.95+3895.95-470.86</f>
        <v>11406.04</v>
      </c>
      <c r="R31" s="51">
        <f t="shared" si="13"/>
        <v>5406.04</v>
      </c>
      <c r="S31" s="217">
        <v>61.0</v>
      </c>
      <c r="T31" s="211">
        <f t="shared" si="14"/>
        <v>186.9842623</v>
      </c>
      <c r="U31" s="214">
        <v>0.0</v>
      </c>
      <c r="V31" s="214">
        <v>0.0</v>
      </c>
      <c r="W31" s="214">
        <v>0.0</v>
      </c>
      <c r="X31" s="57">
        <f t="shared" si="15"/>
        <v>0</v>
      </c>
      <c r="Y31" s="14"/>
      <c r="AB31" s="74" t="s">
        <v>65</v>
      </c>
      <c r="AC31" s="61">
        <f>SUM(P37:P39)</f>
        <v>12000</v>
      </c>
      <c r="AD31" s="58" t="s">
        <v>65</v>
      </c>
      <c r="AE31" s="83">
        <f>SUM(V37:V39)</f>
        <v>0</v>
      </c>
    </row>
    <row r="32" ht="15.75" customHeight="1">
      <c r="A32" s="8"/>
      <c r="B32" s="8"/>
      <c r="C32" s="207">
        <v>46015.0</v>
      </c>
      <c r="D32" s="208" t="str">
        <f t="shared" si="6"/>
        <v>qua.</v>
      </c>
      <c r="E32" s="209"/>
      <c r="F32" s="209"/>
      <c r="G32" s="51">
        <f t="shared" si="8"/>
        <v>0</v>
      </c>
      <c r="H32" s="210">
        <v>0.0</v>
      </c>
      <c r="I32" s="211">
        <f t="shared" si="9"/>
        <v>0</v>
      </c>
      <c r="J32" s="57"/>
      <c r="K32" s="57"/>
      <c r="L32" s="57"/>
      <c r="M32" s="57">
        <f t="shared" si="10"/>
        <v>0</v>
      </c>
      <c r="N32" s="212">
        <f t="shared" ref="N32:O32" si="44">C32</f>
        <v>46015</v>
      </c>
      <c r="O32" s="204" t="str">
        <f t="shared" si="44"/>
        <v>qua.</v>
      </c>
      <c r="P32" s="213"/>
      <c r="Q32" s="213"/>
      <c r="R32" s="51">
        <f t="shared" si="13"/>
        <v>0</v>
      </c>
      <c r="S32" s="217">
        <v>0.0</v>
      </c>
      <c r="T32" s="211">
        <f t="shared" si="14"/>
        <v>0</v>
      </c>
      <c r="U32" s="214">
        <v>0.0</v>
      </c>
      <c r="V32" s="214">
        <v>0.0</v>
      </c>
      <c r="W32" s="214">
        <v>0.0</v>
      </c>
      <c r="X32" s="57">
        <f t="shared" si="15"/>
        <v>0</v>
      </c>
      <c r="Y32" s="14"/>
      <c r="AB32" s="84" t="s">
        <v>206</v>
      </c>
      <c r="AC32" s="85">
        <f>AC31/AC18</f>
        <v>0.02526315789</v>
      </c>
      <c r="AD32" s="84" t="s">
        <v>206</v>
      </c>
      <c r="AE32" s="87">
        <f>AE31/AE18</f>
        <v>0</v>
      </c>
    </row>
    <row r="33" ht="15.75" customHeight="1">
      <c r="A33" s="8"/>
      <c r="B33" s="8"/>
      <c r="C33" s="207">
        <v>46016.0</v>
      </c>
      <c r="D33" s="208" t="str">
        <f t="shared" si="6"/>
        <v>qui.</v>
      </c>
      <c r="E33" s="209">
        <v>13000.0</v>
      </c>
      <c r="F33" s="209">
        <f>22873.16</f>
        <v>22873.16</v>
      </c>
      <c r="G33" s="51">
        <f t="shared" si="8"/>
        <v>9873.16</v>
      </c>
      <c r="H33" s="210">
        <v>0.0</v>
      </c>
      <c r="I33" s="211">
        <f t="shared" si="9"/>
        <v>0</v>
      </c>
      <c r="J33" s="57"/>
      <c r="K33" s="57"/>
      <c r="L33" s="57"/>
      <c r="M33" s="57">
        <f t="shared" si="10"/>
        <v>0</v>
      </c>
      <c r="N33" s="212">
        <f t="shared" ref="N33:O33" si="45">C33</f>
        <v>46016</v>
      </c>
      <c r="O33" s="204" t="str">
        <f t="shared" si="45"/>
        <v>qui.</v>
      </c>
      <c r="P33" s="213">
        <v>8000.0</v>
      </c>
      <c r="Q33" s="213">
        <f>13652.2+6890.84-1334.94</f>
        <v>19208.1</v>
      </c>
      <c r="R33" s="51">
        <f t="shared" si="13"/>
        <v>11208.1</v>
      </c>
      <c r="S33" s="217">
        <v>111.0</v>
      </c>
      <c r="T33" s="211">
        <f t="shared" si="14"/>
        <v>173.0459459</v>
      </c>
      <c r="U33" s="214">
        <v>0.0</v>
      </c>
      <c r="V33" s="214">
        <v>0.0</v>
      </c>
      <c r="W33" s="214">
        <v>0.0</v>
      </c>
      <c r="X33" s="57">
        <f t="shared" si="15"/>
        <v>0</v>
      </c>
      <c r="Y33" s="14"/>
    </row>
    <row r="34" ht="15.75" customHeight="1">
      <c r="A34" s="8"/>
      <c r="B34" s="8"/>
      <c r="C34" s="207">
        <v>46017.0</v>
      </c>
      <c r="D34" s="208" t="str">
        <f t="shared" si="6"/>
        <v>sex.</v>
      </c>
      <c r="E34" s="209">
        <v>19000.0</v>
      </c>
      <c r="F34" s="209">
        <f>10375.41-203</f>
        <v>10172.41</v>
      </c>
      <c r="G34" s="51">
        <f t="shared" si="8"/>
        <v>-8827.59</v>
      </c>
      <c r="H34" s="210">
        <v>0.0</v>
      </c>
      <c r="I34" s="211">
        <f t="shared" si="9"/>
        <v>0</v>
      </c>
      <c r="J34" s="57"/>
      <c r="K34" s="57"/>
      <c r="L34" s="57"/>
      <c r="M34" s="57">
        <f t="shared" si="10"/>
        <v>0</v>
      </c>
      <c r="N34" s="212">
        <f t="shared" ref="N34:O34" si="46">C34</f>
        <v>46017</v>
      </c>
      <c r="O34" s="204" t="str">
        <f t="shared" si="46"/>
        <v>sex.</v>
      </c>
      <c r="P34" s="213">
        <v>14000.0</v>
      </c>
      <c r="Q34" s="213">
        <f>6032.74+702.5+3251.82-563.97</f>
        <v>9423.09</v>
      </c>
      <c r="R34" s="51">
        <f t="shared" si="13"/>
        <v>-4576.91</v>
      </c>
      <c r="S34" s="217">
        <v>51.0</v>
      </c>
      <c r="T34" s="211">
        <f t="shared" si="14"/>
        <v>184.7664706</v>
      </c>
      <c r="U34" s="214">
        <v>0.0</v>
      </c>
      <c r="V34" s="214">
        <v>0.0</v>
      </c>
      <c r="W34" s="214">
        <v>0.0</v>
      </c>
      <c r="X34" s="57">
        <f t="shared" si="15"/>
        <v>0</v>
      </c>
      <c r="Y34" s="14"/>
      <c r="AA34" s="259" t="s">
        <v>72</v>
      </c>
      <c r="AB34" s="93" t="s">
        <v>73</v>
      </c>
      <c r="AC34" s="94">
        <f>P40</f>
        <v>315012.84</v>
      </c>
      <c r="AD34" s="164" t="s">
        <v>74</v>
      </c>
      <c r="AE34" s="96">
        <f>V40</f>
        <v>0</v>
      </c>
      <c r="AF34" s="259" t="s">
        <v>72</v>
      </c>
    </row>
    <row r="35" ht="19.5" customHeight="1">
      <c r="A35" s="8"/>
      <c r="B35" s="8"/>
      <c r="C35" s="207">
        <v>46018.0</v>
      </c>
      <c r="D35" s="208" t="str">
        <f t="shared" si="6"/>
        <v>sáb.</v>
      </c>
      <c r="E35" s="209">
        <v>25000.0</v>
      </c>
      <c r="F35" s="209">
        <f>15769</f>
        <v>15769</v>
      </c>
      <c r="G35" s="51">
        <f t="shared" si="8"/>
        <v>-9231</v>
      </c>
      <c r="H35" s="210">
        <v>0.0</v>
      </c>
      <c r="I35" s="211">
        <f t="shared" si="9"/>
        <v>0</v>
      </c>
      <c r="J35" s="57"/>
      <c r="K35" s="57"/>
      <c r="L35" s="57"/>
      <c r="M35" s="57">
        <f t="shared" si="10"/>
        <v>0</v>
      </c>
      <c r="N35" s="212">
        <f t="shared" ref="N35:O35" si="47">C35</f>
        <v>46018</v>
      </c>
      <c r="O35" s="204" t="str">
        <f t="shared" si="47"/>
        <v>sáb.</v>
      </c>
      <c r="P35" s="213">
        <v>17000.0</v>
      </c>
      <c r="Q35" s="213">
        <f>7650.09+714+5070.68-681.93</f>
        <v>12752.84</v>
      </c>
      <c r="R35" s="51">
        <f t="shared" si="13"/>
        <v>-4247.16</v>
      </c>
      <c r="S35" s="217">
        <v>72.0</v>
      </c>
      <c r="T35" s="211">
        <f t="shared" si="14"/>
        <v>177.1227778</v>
      </c>
      <c r="U35" s="214">
        <v>0.0</v>
      </c>
      <c r="V35" s="214">
        <v>0.0</v>
      </c>
      <c r="W35" s="214">
        <v>0.0</v>
      </c>
      <c r="X35" s="57">
        <f t="shared" si="15"/>
        <v>0</v>
      </c>
      <c r="Y35" s="14"/>
      <c r="AA35" s="260">
        <f>AC35-AD35</f>
        <v>-0.3368150737</v>
      </c>
      <c r="AB35" s="98"/>
      <c r="AC35" s="99">
        <f>AC34/AC18</f>
        <v>0.6631849263</v>
      </c>
      <c r="AD35" s="165">
        <f>29/29</f>
        <v>1</v>
      </c>
      <c r="AE35" s="100">
        <f>AE34/AE18</f>
        <v>0</v>
      </c>
      <c r="AF35" s="260">
        <f>AE35-AD35</f>
        <v>-1</v>
      </c>
    </row>
    <row r="36" ht="15.75" customHeight="1">
      <c r="A36" s="8"/>
      <c r="B36" s="8"/>
      <c r="C36" s="207">
        <v>46019.0</v>
      </c>
      <c r="D36" s="208" t="str">
        <f t="shared" si="6"/>
        <v>dom.</v>
      </c>
      <c r="E36" s="209">
        <v>24500.0</v>
      </c>
      <c r="F36" s="209">
        <f>28735.9</f>
        <v>28735.9</v>
      </c>
      <c r="G36" s="51">
        <f t="shared" si="8"/>
        <v>4235.9</v>
      </c>
      <c r="H36" s="210">
        <v>0.0</v>
      </c>
      <c r="I36" s="211">
        <f t="shared" si="9"/>
        <v>0</v>
      </c>
      <c r="J36" s="57"/>
      <c r="K36" s="57"/>
      <c r="L36" s="57"/>
      <c r="M36" s="57">
        <f t="shared" si="10"/>
        <v>0</v>
      </c>
      <c r="N36" s="212">
        <f t="shared" ref="N36:O36" si="48">C36</f>
        <v>46019</v>
      </c>
      <c r="O36" s="204" t="str">
        <f t="shared" si="48"/>
        <v>dom.</v>
      </c>
      <c r="P36" s="213">
        <v>23000.0</v>
      </c>
      <c r="Q36" s="213">
        <f>9184.02+8955.5-993.94</f>
        <v>17145.58</v>
      </c>
      <c r="R36" s="51">
        <f t="shared" si="13"/>
        <v>-5854.42</v>
      </c>
      <c r="S36" s="217">
        <v>100.0</v>
      </c>
      <c r="T36" s="211">
        <f t="shared" si="14"/>
        <v>171.4558</v>
      </c>
      <c r="U36" s="214">
        <v>0.0</v>
      </c>
      <c r="V36" s="214">
        <v>0.0</v>
      </c>
      <c r="W36" s="214">
        <v>0.0</v>
      </c>
      <c r="X36" s="57">
        <f t="shared" si="15"/>
        <v>0</v>
      </c>
      <c r="Y36" s="14"/>
      <c r="AB36" s="98" t="s">
        <v>76</v>
      </c>
      <c r="AC36" s="104">
        <f>AC18-AC34</f>
        <v>159987.16</v>
      </c>
      <c r="AD36" s="99"/>
      <c r="AE36" s="106">
        <f>AE18-AE34</f>
        <v>315000</v>
      </c>
    </row>
    <row r="37" ht="15.75" customHeight="1">
      <c r="A37" s="8"/>
      <c r="B37" s="8"/>
      <c r="C37" s="207">
        <v>46020.0</v>
      </c>
      <c r="D37" s="208" t="str">
        <f t="shared" si="6"/>
        <v>seg.</v>
      </c>
      <c r="E37" s="209">
        <v>13000.0</v>
      </c>
      <c r="F37" s="209">
        <f>10144.6</f>
        <v>10144.6</v>
      </c>
      <c r="G37" s="51">
        <f t="shared" si="8"/>
        <v>-2855.4</v>
      </c>
      <c r="H37" s="210">
        <v>0.0</v>
      </c>
      <c r="I37" s="211">
        <f t="shared" si="9"/>
        <v>0</v>
      </c>
      <c r="J37" s="57"/>
      <c r="K37" s="57"/>
      <c r="L37" s="57"/>
      <c r="M37" s="57">
        <f t="shared" si="10"/>
        <v>0</v>
      </c>
      <c r="N37" s="212">
        <f t="shared" ref="N37:O37" si="49">C37</f>
        <v>46020</v>
      </c>
      <c r="O37" s="204" t="str">
        <f t="shared" si="49"/>
        <v>seg.</v>
      </c>
      <c r="P37" s="213">
        <v>6000.0</v>
      </c>
      <c r="Q37" s="213">
        <f>6853.1+3311.53-170.95</f>
        <v>9993.68</v>
      </c>
      <c r="R37" s="51">
        <f t="shared" si="13"/>
        <v>3993.68</v>
      </c>
      <c r="S37" s="217">
        <v>55.0</v>
      </c>
      <c r="T37" s="211">
        <f t="shared" si="14"/>
        <v>181.7032727</v>
      </c>
      <c r="U37" s="214">
        <v>0.0</v>
      </c>
      <c r="V37" s="214">
        <v>0.0</v>
      </c>
      <c r="W37" s="214">
        <v>0.0</v>
      </c>
      <c r="X37" s="57">
        <f t="shared" si="15"/>
        <v>0</v>
      </c>
      <c r="Y37" s="14"/>
      <c r="AB37" s="110"/>
      <c r="AC37" s="112">
        <f>AC36/AC18</f>
        <v>0.3368150737</v>
      </c>
      <c r="AD37" s="112"/>
      <c r="AE37" s="113">
        <f>AE36/AE18</f>
        <v>1</v>
      </c>
    </row>
    <row r="38" ht="15.75" customHeight="1">
      <c r="A38" s="8"/>
      <c r="B38" s="8"/>
      <c r="C38" s="207">
        <v>46021.0</v>
      </c>
      <c r="D38" s="208" t="str">
        <f t="shared" si="6"/>
        <v>ter.</v>
      </c>
      <c r="E38" s="209">
        <v>14000.0</v>
      </c>
      <c r="F38" s="209">
        <f>12234.99</f>
        <v>12234.99</v>
      </c>
      <c r="G38" s="51">
        <f t="shared" si="8"/>
        <v>-1765.01</v>
      </c>
      <c r="H38" s="210">
        <v>0.0</v>
      </c>
      <c r="I38" s="211">
        <f t="shared" si="9"/>
        <v>0</v>
      </c>
      <c r="J38" s="57"/>
      <c r="K38" s="57"/>
      <c r="L38" s="57"/>
      <c r="M38" s="57">
        <f t="shared" si="10"/>
        <v>0</v>
      </c>
      <c r="N38" s="212">
        <f t="shared" ref="N38:O38" si="50">C38</f>
        <v>46021</v>
      </c>
      <c r="O38" s="204" t="str">
        <f t="shared" si="50"/>
        <v>ter.</v>
      </c>
      <c r="P38" s="213">
        <v>6000.0</v>
      </c>
      <c r="Q38" s="213">
        <f>5061.09+4599.98-251.96</f>
        <v>9409.11</v>
      </c>
      <c r="R38" s="51">
        <f t="shared" si="13"/>
        <v>3409.11</v>
      </c>
      <c r="S38" s="217">
        <v>62.0</v>
      </c>
      <c r="T38" s="211">
        <f t="shared" si="14"/>
        <v>151.7598387</v>
      </c>
      <c r="U38" s="214">
        <v>0.0</v>
      </c>
      <c r="V38" s="214">
        <v>0.0</v>
      </c>
      <c r="W38" s="214">
        <v>0.0</v>
      </c>
      <c r="X38" s="57">
        <f t="shared" si="15"/>
        <v>0</v>
      </c>
      <c r="Y38" s="14"/>
      <c r="AD38" s="112"/>
    </row>
    <row r="39" ht="15.75" customHeight="1">
      <c r="A39" s="8"/>
      <c r="B39" s="8"/>
      <c r="C39" s="207">
        <v>46022.0</v>
      </c>
      <c r="D39" s="208" t="str">
        <f t="shared" si="6"/>
        <v>qua.</v>
      </c>
      <c r="E39" s="209"/>
      <c r="F39" s="209"/>
      <c r="G39" s="51">
        <f t="shared" si="8"/>
        <v>0</v>
      </c>
      <c r="H39" s="210">
        <v>0.0</v>
      </c>
      <c r="I39" s="211">
        <f t="shared" si="9"/>
        <v>0</v>
      </c>
      <c r="J39" s="57"/>
      <c r="K39" s="57"/>
      <c r="L39" s="57"/>
      <c r="M39" s="57">
        <f t="shared" si="10"/>
        <v>0</v>
      </c>
      <c r="N39" s="212">
        <f t="shared" ref="N39:O39" si="51">C39</f>
        <v>46022</v>
      </c>
      <c r="O39" s="204" t="str">
        <f t="shared" si="51"/>
        <v>qua.</v>
      </c>
      <c r="P39" s="213"/>
      <c r="Q39" s="213"/>
      <c r="R39" s="51">
        <f t="shared" si="13"/>
        <v>0</v>
      </c>
      <c r="S39" s="217">
        <v>0.0</v>
      </c>
      <c r="T39" s="211">
        <f t="shared" si="14"/>
        <v>0</v>
      </c>
      <c r="U39" s="214">
        <v>0.0</v>
      </c>
      <c r="V39" s="214">
        <v>0.0</v>
      </c>
      <c r="W39" s="214">
        <v>0.0</v>
      </c>
      <c r="X39" s="57">
        <f t="shared" si="15"/>
        <v>0</v>
      </c>
      <c r="Y39" s="14"/>
    </row>
    <row r="40" ht="15.75" customHeight="1">
      <c r="A40" s="8"/>
      <c r="B40" s="8"/>
      <c r="C40" s="218"/>
      <c r="D40" s="218"/>
      <c r="E40" s="219">
        <f t="shared" ref="E40:G40" si="52">SUM(E9:E39)</f>
        <v>475019.45</v>
      </c>
      <c r="F40" s="219">
        <f t="shared" si="52"/>
        <v>462592.95</v>
      </c>
      <c r="G40" s="105">
        <f t="shared" si="52"/>
        <v>-12426.5</v>
      </c>
      <c r="H40" s="105"/>
      <c r="I40" s="105"/>
      <c r="J40" s="105">
        <f t="shared" ref="J40:M40" si="53">SUM(J9:J39)</f>
        <v>0</v>
      </c>
      <c r="K40" s="105">
        <f t="shared" si="53"/>
        <v>0</v>
      </c>
      <c r="L40" s="105">
        <f t="shared" si="53"/>
        <v>0</v>
      </c>
      <c r="M40" s="105">
        <f t="shared" si="53"/>
        <v>0</v>
      </c>
      <c r="N40" s="286"/>
      <c r="O40" s="287"/>
      <c r="P40" s="222">
        <f>SUM(P9:P39)</f>
        <v>315012.84</v>
      </c>
      <c r="Q40" s="222">
        <f>SUM(Q9:Q39)-12-24</f>
        <v>308939.38</v>
      </c>
      <c r="R40" s="105">
        <f t="shared" ref="R40:S40" si="54">SUM(R9:R39)</f>
        <v>-6037.46</v>
      </c>
      <c r="S40" s="223">
        <f t="shared" si="54"/>
        <v>1879</v>
      </c>
      <c r="T40" s="224"/>
      <c r="U40" s="223">
        <f t="shared" ref="U40:X40" si="55">SUM(U9:U39)</f>
        <v>0</v>
      </c>
      <c r="V40" s="223">
        <f t="shared" si="55"/>
        <v>0</v>
      </c>
      <c r="W40" s="223">
        <f t="shared" si="55"/>
        <v>0</v>
      </c>
      <c r="X40" s="223">
        <f t="shared" si="55"/>
        <v>0</v>
      </c>
      <c r="Y40" s="292"/>
      <c r="Z40" s="61"/>
      <c r="AE40" s="61"/>
    </row>
    <row r="41" ht="15.75" customHeight="1">
      <c r="D41" s="61"/>
      <c r="E41" s="61"/>
      <c r="F41" s="225"/>
      <c r="G41" s="114"/>
      <c r="H41" s="226"/>
      <c r="I41" s="226"/>
      <c r="N41" s="61"/>
      <c r="P41" s="61"/>
      <c r="Q41" s="275"/>
      <c r="R41" s="114"/>
      <c r="S41" s="199"/>
      <c r="T41" s="200"/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200"/>
    </row>
    <row r="43" ht="15.75" customHeight="1">
      <c r="A43" s="2"/>
      <c r="B43" s="2"/>
      <c r="C43" s="2"/>
      <c r="D43" s="2"/>
      <c r="E43" s="115" t="s">
        <v>77</v>
      </c>
      <c r="F43" s="118">
        <f>E40+G40</f>
        <v>462592.95</v>
      </c>
      <c r="P43" s="115" t="s">
        <v>77</v>
      </c>
      <c r="Q43" s="118">
        <f>P40+R40</f>
        <v>308975.38</v>
      </c>
      <c r="S43" s="199"/>
      <c r="T43" s="200"/>
    </row>
    <row r="44" ht="15.75" customHeight="1">
      <c r="A44" s="2"/>
      <c r="B44" s="2"/>
      <c r="C44" s="122" t="s">
        <v>29</v>
      </c>
      <c r="D44" s="124">
        <v>475000.0</v>
      </c>
      <c r="E44" s="2"/>
      <c r="F44" s="2"/>
      <c r="N44" s="126" t="s">
        <v>29</v>
      </c>
      <c r="O44" s="124">
        <v>315000.0</v>
      </c>
      <c r="P44" s="2"/>
      <c r="Q44" s="2"/>
      <c r="S44" s="199"/>
      <c r="T44" s="200"/>
    </row>
    <row r="45" ht="15.75" customHeight="1">
      <c r="A45" s="61"/>
      <c r="B45" s="61"/>
      <c r="C45" s="61"/>
      <c r="D45" s="175"/>
      <c r="E45" s="61"/>
      <c r="F45" s="61"/>
      <c r="N45" s="175"/>
      <c r="O45" s="61"/>
      <c r="S45" s="199"/>
      <c r="T45" s="200"/>
    </row>
  </sheetData>
  <mergeCells count="6">
    <mergeCell ref="C4:M6"/>
    <mergeCell ref="N4:X6"/>
    <mergeCell ref="AA5:AB5"/>
    <mergeCell ref="AD5:AE5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Y40">
    <cfRule type="cellIs" dxfId="0" priority="7" operator="greaterThanOrEqual">
      <formula>0</formula>
    </cfRule>
  </conditionalFormatting>
  <conditionalFormatting sqref="S40:Y40">
    <cfRule type="cellIs" dxfId="1" priority="8" operator="lessThan">
      <formula>0</formula>
    </cfRule>
  </conditionalFormatting>
  <conditionalFormatting sqref="S40:Y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5.67"/>
    <col customWidth="1" min="4" max="4" width="17.44"/>
    <col customWidth="1" min="5" max="6" width="21.44"/>
    <col customWidth="1" min="7" max="7" width="11.67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1.0"/>
    <col customWidth="1" min="13" max="13" width="14.78"/>
    <col customWidth="1" min="14" max="14" width="16.56"/>
    <col customWidth="1" min="15" max="15" width="17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33"/>
    <col customWidth="1" min="21" max="21" width="12.44"/>
    <col customWidth="1" min="22" max="22" width="11.22"/>
    <col customWidth="1" min="23" max="23" width="11.0"/>
    <col customWidth="1" min="24" max="24" width="14.78"/>
    <col customWidth="1" min="25" max="25" width="4.33"/>
    <col customWidth="1" min="26" max="26" width="16.0"/>
    <col customWidth="1" min="27" max="27" width="17.44"/>
    <col customWidth="1" min="28" max="28" width="19.67"/>
    <col customWidth="1" min="29" max="29" width="14.56"/>
    <col customWidth="1" min="30" max="30" width="13.22"/>
    <col customWidth="1" min="31" max="31" width="5.89"/>
    <col customWidth="1" min="32" max="32" width="4.33"/>
    <col customWidth="1" min="33" max="33" width="13.11"/>
    <col customWidth="1" min="34" max="34" width="12.33"/>
    <col customWidth="1" min="35" max="35" width="13.78"/>
    <col customWidth="1" min="36" max="37" width="12.33"/>
  </cols>
  <sheetData>
    <row r="1" ht="15.75" customHeight="1">
      <c r="E1" s="61"/>
      <c r="H1" s="61"/>
      <c r="I1" s="61"/>
      <c r="S1" s="199"/>
      <c r="T1" s="199"/>
    </row>
    <row r="2" ht="15.75" customHeight="1">
      <c r="E2" s="61"/>
      <c r="G2" s="58" t="s">
        <v>216</v>
      </c>
      <c r="H2" s="61"/>
      <c r="I2" s="61"/>
      <c r="S2" s="199"/>
      <c r="T2" s="199"/>
    </row>
    <row r="3" ht="15.75" customHeight="1">
      <c r="A3" s="61"/>
      <c r="B3" s="61"/>
      <c r="C3" s="61"/>
      <c r="F3" s="75"/>
      <c r="G3" s="2"/>
      <c r="N3" s="2"/>
      <c r="O3" s="2"/>
      <c r="P3" s="2"/>
      <c r="Q3" s="2"/>
      <c r="S3" s="199"/>
      <c r="T3" s="199"/>
    </row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A5" s="288"/>
      <c r="B5" s="288"/>
      <c r="C5" s="31"/>
      <c r="M5" s="32"/>
      <c r="N5" s="31"/>
      <c r="X5" s="32"/>
      <c r="Z5" s="46" t="s">
        <v>207</v>
      </c>
      <c r="AA5" s="6"/>
      <c r="AC5" s="46" t="s">
        <v>208</v>
      </c>
      <c r="AD5" s="6"/>
      <c r="AG5" s="46" t="s">
        <v>217</v>
      </c>
      <c r="AH5" s="6"/>
      <c r="AJ5" s="46" t="s">
        <v>218</v>
      </c>
      <c r="AK5" s="6"/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61">
        <v>45627.0</v>
      </c>
      <c r="AA6" s="261">
        <v>45658.0</v>
      </c>
      <c r="AC6" s="261">
        <v>45627.0</v>
      </c>
      <c r="AD6" s="261">
        <v>45658.0</v>
      </c>
      <c r="AG6" s="261">
        <v>45992.0</v>
      </c>
      <c r="AH6" s="261">
        <v>46023.0</v>
      </c>
      <c r="AJ6" s="261">
        <v>45992.0</v>
      </c>
      <c r="AK6" s="261">
        <v>46023.0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2" t="s">
        <v>45</v>
      </c>
      <c r="Z7" s="274">
        <v>9102.2</v>
      </c>
      <c r="AA7" s="274">
        <v>5969.92</v>
      </c>
      <c r="AB7" s="66">
        <f t="shared" ref="AB7:AB13" si="1">AA7/Z7-1</f>
        <v>-0.3441233987</v>
      </c>
      <c r="AC7" s="229">
        <v>6294.29</v>
      </c>
      <c r="AD7" s="229">
        <v>4776.3724999999995</v>
      </c>
      <c r="AE7" s="66">
        <f t="shared" ref="AE7:AE13" si="2">AD7/AC7-1</f>
        <v>-0.2411578589</v>
      </c>
      <c r="AF7" s="2" t="s">
        <v>45</v>
      </c>
      <c r="AG7" s="229">
        <v>11915.78</v>
      </c>
      <c r="AH7" s="274">
        <f>AG7*66%</f>
        <v>7864.4148</v>
      </c>
      <c r="AI7" s="75"/>
      <c r="AJ7" s="229">
        <v>7986.386</v>
      </c>
      <c r="AK7" s="229">
        <f>AJ7*76%</f>
        <v>6069.65336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165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162</v>
      </c>
      <c r="U8" s="44" t="s">
        <v>163</v>
      </c>
      <c r="V8" s="44" t="s">
        <v>164</v>
      </c>
      <c r="W8" s="44" t="s">
        <v>165</v>
      </c>
      <c r="X8" s="44" t="s">
        <v>166</v>
      </c>
      <c r="Y8" s="8" t="s">
        <v>46</v>
      </c>
      <c r="Z8" s="276">
        <v>13509.28</v>
      </c>
      <c r="AA8" s="276">
        <v>6145.21</v>
      </c>
      <c r="AB8" s="66">
        <f t="shared" si="1"/>
        <v>-0.5451119527</v>
      </c>
      <c r="AC8" s="229">
        <v>5833.489999999999</v>
      </c>
      <c r="AD8" s="229">
        <v>4581.68</v>
      </c>
      <c r="AE8" s="66">
        <f t="shared" si="2"/>
        <v>-0.2145902367</v>
      </c>
      <c r="AF8" s="8" t="s">
        <v>46</v>
      </c>
      <c r="AG8" s="229">
        <v>10554.858</v>
      </c>
      <c r="AH8" s="276">
        <f t="shared" ref="AH8:AH9" si="4">AG8*45%</f>
        <v>4749.6861</v>
      </c>
      <c r="AI8" s="75"/>
      <c r="AJ8" s="229">
        <v>6834.204000000001</v>
      </c>
      <c r="AK8" s="229">
        <f>AJ8*79%</f>
        <v>5399.02116</v>
      </c>
    </row>
    <row r="9" ht="15.75" customHeight="1">
      <c r="A9" s="8"/>
      <c r="B9" s="8"/>
      <c r="C9" s="147">
        <v>1.0</v>
      </c>
      <c r="D9" s="147" t="s">
        <v>47</v>
      </c>
      <c r="E9" s="209">
        <v>17956.8</v>
      </c>
      <c r="F9" s="209">
        <f>17956.8</f>
        <v>17956.8</v>
      </c>
      <c r="G9" s="51">
        <f t="shared" ref="G9:G39" si="5">F9-E9</f>
        <v>0</v>
      </c>
      <c r="H9" s="290">
        <v>83.0</v>
      </c>
      <c r="I9" s="265">
        <f t="shared" ref="I9:I39" si="6">F9/H9</f>
        <v>216.346988</v>
      </c>
      <c r="J9" s="57">
        <v>15.0</v>
      </c>
      <c r="K9" s="57">
        <f>7.5+45.5</f>
        <v>53</v>
      </c>
      <c r="L9" s="57">
        <f>35</f>
        <v>35</v>
      </c>
      <c r="M9" s="57">
        <f t="shared" ref="M9:M39" si="7">J9+K9+L9</f>
        <v>103</v>
      </c>
      <c r="N9" s="204">
        <v>1.0</v>
      </c>
      <c r="O9" s="204" t="s">
        <v>47</v>
      </c>
      <c r="P9" s="213">
        <f t="shared" ref="P9:Q9" si="3">22023-1615.95</f>
        <v>20407.05</v>
      </c>
      <c r="Q9" s="213">
        <f t="shared" si="3"/>
        <v>20407.05</v>
      </c>
      <c r="R9" s="51">
        <f t="shared" ref="R9:R39" si="8">Q9-P9</f>
        <v>0</v>
      </c>
      <c r="S9" s="291">
        <v>131.0</v>
      </c>
      <c r="T9" s="291">
        <f t="shared" ref="T9:T39" si="9">Q9/S9</f>
        <v>155.7790076</v>
      </c>
      <c r="U9" s="57">
        <f>45</f>
        <v>45</v>
      </c>
      <c r="V9" s="57">
        <f>15.5+69.5</f>
        <v>85</v>
      </c>
      <c r="W9" s="57">
        <f>33</f>
        <v>33</v>
      </c>
      <c r="X9" s="57">
        <f t="shared" ref="X9:X39" si="10">U9+V9+W9</f>
        <v>163</v>
      </c>
      <c r="Y9" s="2" t="s">
        <v>40</v>
      </c>
      <c r="Z9" s="276">
        <v>13809.99</v>
      </c>
      <c r="AA9" s="276">
        <v>6214.6</v>
      </c>
      <c r="AB9" s="66">
        <f t="shared" si="1"/>
        <v>-0.549992433</v>
      </c>
      <c r="AC9" s="229">
        <v>9640.64</v>
      </c>
      <c r="AD9" s="229">
        <v>5069.36</v>
      </c>
      <c r="AE9" s="66">
        <f t="shared" si="2"/>
        <v>-0.4741676901</v>
      </c>
      <c r="AF9" s="2" t="s">
        <v>40</v>
      </c>
      <c r="AG9" s="229">
        <v>11192.616666666667</v>
      </c>
      <c r="AH9" s="276">
        <f t="shared" si="4"/>
        <v>5036.6775</v>
      </c>
      <c r="AI9" s="75"/>
      <c r="AJ9" s="229">
        <v>6637.463333333333</v>
      </c>
      <c r="AK9" s="229">
        <f>AH9*53%</f>
        <v>2669.439075</v>
      </c>
    </row>
    <row r="10" ht="15.75" customHeight="1">
      <c r="A10" s="8"/>
      <c r="B10" s="8"/>
      <c r="C10" s="147">
        <v>2.0</v>
      </c>
      <c r="D10" s="147" t="s">
        <v>48</v>
      </c>
      <c r="E10" s="209">
        <v>12000.0</v>
      </c>
      <c r="F10" s="209">
        <f>13357.63-294</f>
        <v>13063.63</v>
      </c>
      <c r="G10" s="51">
        <f t="shared" si="5"/>
        <v>1063.63</v>
      </c>
      <c r="H10" s="290">
        <v>56.0</v>
      </c>
      <c r="I10" s="265">
        <f t="shared" si="6"/>
        <v>233.2791071</v>
      </c>
      <c r="J10" s="57">
        <v>10.0</v>
      </c>
      <c r="K10" s="57">
        <f>5+24</f>
        <v>29</v>
      </c>
      <c r="L10" s="57">
        <v>33.0</v>
      </c>
      <c r="M10" s="57">
        <f t="shared" si="7"/>
        <v>72</v>
      </c>
      <c r="N10" s="204">
        <v>2.0</v>
      </c>
      <c r="O10" s="204" t="s">
        <v>48</v>
      </c>
      <c r="P10" s="213">
        <v>8000.0</v>
      </c>
      <c r="Q10" s="213">
        <f>9480.92</f>
        <v>9480.92</v>
      </c>
      <c r="R10" s="51">
        <f t="shared" si="8"/>
        <v>1480.92</v>
      </c>
      <c r="S10" s="291">
        <v>50.0</v>
      </c>
      <c r="T10" s="291">
        <f t="shared" si="9"/>
        <v>189.6184</v>
      </c>
      <c r="U10" s="57">
        <v>15.0</v>
      </c>
      <c r="V10" s="57">
        <f>3.5+31.5</f>
        <v>35</v>
      </c>
      <c r="W10" s="57">
        <v>23.0</v>
      </c>
      <c r="X10" s="57">
        <f t="shared" si="10"/>
        <v>73</v>
      </c>
      <c r="Y10" s="2" t="s">
        <v>47</v>
      </c>
      <c r="Z10" s="276">
        <v>12533.35</v>
      </c>
      <c r="AA10" s="276">
        <v>7197.6</v>
      </c>
      <c r="AB10" s="66">
        <f t="shared" si="1"/>
        <v>-0.4257241679</v>
      </c>
      <c r="AC10" s="229">
        <v>7071.327499999999</v>
      </c>
      <c r="AD10" s="229">
        <v>4950.632</v>
      </c>
      <c r="AE10" s="66">
        <f t="shared" si="2"/>
        <v>-0.2999006198</v>
      </c>
      <c r="AF10" s="2" t="s">
        <v>47</v>
      </c>
      <c r="AG10" s="229">
        <v>15297.59</v>
      </c>
      <c r="AH10" s="276">
        <f>AG10*57%</f>
        <v>8719.6263</v>
      </c>
      <c r="AI10" s="75"/>
      <c r="AJ10" s="229">
        <v>9657.325</v>
      </c>
      <c r="AK10" s="229">
        <f>AJ10*70%</f>
        <v>6760.1275</v>
      </c>
    </row>
    <row r="11" ht="15.75" customHeight="1">
      <c r="A11" s="8"/>
      <c r="B11" s="8"/>
      <c r="C11" s="147">
        <v>3.0</v>
      </c>
      <c r="D11" s="147" t="s">
        <v>41</v>
      </c>
      <c r="E11" s="209">
        <v>20000.0</v>
      </c>
      <c r="F11" s="209">
        <f>17684</f>
        <v>17684</v>
      </c>
      <c r="G11" s="51">
        <f t="shared" si="5"/>
        <v>-2316</v>
      </c>
      <c r="H11" s="290">
        <v>70.0</v>
      </c>
      <c r="I11" s="265">
        <f t="shared" si="6"/>
        <v>252.6285714</v>
      </c>
      <c r="J11" s="57">
        <v>7.0</v>
      </c>
      <c r="K11" s="57">
        <f>4.5+33.5</f>
        <v>38</v>
      </c>
      <c r="L11" s="57">
        <v>41.0</v>
      </c>
      <c r="M11" s="57">
        <f t="shared" si="7"/>
        <v>86</v>
      </c>
      <c r="N11" s="204">
        <v>3.0</v>
      </c>
      <c r="O11" s="204" t="s">
        <v>41</v>
      </c>
      <c r="P11" s="213">
        <v>13000.0</v>
      </c>
      <c r="Q11" s="213">
        <f>16133.99</f>
        <v>16133.99</v>
      </c>
      <c r="R11" s="51">
        <f t="shared" si="8"/>
        <v>3133.99</v>
      </c>
      <c r="S11" s="291">
        <v>93.0</v>
      </c>
      <c r="T11" s="291">
        <f t="shared" si="9"/>
        <v>173.4837634</v>
      </c>
      <c r="U11" s="57">
        <v>22.0</v>
      </c>
      <c r="V11" s="57">
        <f>12.5+56.5</f>
        <v>69</v>
      </c>
      <c r="W11" s="57">
        <v>30.0</v>
      </c>
      <c r="X11" s="57">
        <f t="shared" si="10"/>
        <v>121</v>
      </c>
      <c r="Y11" s="2" t="s">
        <v>48</v>
      </c>
      <c r="Z11" s="276">
        <v>21328.76</v>
      </c>
      <c r="AA11" s="276">
        <v>11511.09</v>
      </c>
      <c r="AB11" s="66">
        <f t="shared" si="1"/>
        <v>-0.4603019585</v>
      </c>
      <c r="AC11" s="229">
        <v>10996.429999999998</v>
      </c>
      <c r="AD11" s="229">
        <v>8540.908</v>
      </c>
      <c r="AE11" s="66">
        <f t="shared" si="2"/>
        <v>-0.2233017443</v>
      </c>
      <c r="AF11" s="2" t="s">
        <v>48</v>
      </c>
      <c r="AG11" s="229">
        <v>16799.2275</v>
      </c>
      <c r="AH11" s="276">
        <f>AG11*54%</f>
        <v>9071.58285</v>
      </c>
      <c r="AI11" s="75"/>
      <c r="AJ11" s="229">
        <v>10410.162500000002</v>
      </c>
      <c r="AK11" s="229">
        <f>AJ11*78%</f>
        <v>8119.92675</v>
      </c>
    </row>
    <row r="12" ht="15.75" customHeight="1">
      <c r="A12" s="8"/>
      <c r="B12" s="8"/>
      <c r="C12" s="147">
        <v>4.0</v>
      </c>
      <c r="D12" s="147" t="s">
        <v>44</v>
      </c>
      <c r="E12" s="209">
        <v>21000.0</v>
      </c>
      <c r="F12" s="209">
        <f>24615.5</f>
        <v>24615.5</v>
      </c>
      <c r="G12" s="51">
        <f t="shared" si="5"/>
        <v>3615.5</v>
      </c>
      <c r="H12" s="290">
        <v>83.0</v>
      </c>
      <c r="I12" s="265">
        <f t="shared" si="6"/>
        <v>296.5722892</v>
      </c>
      <c r="J12" s="57">
        <v>20.0</v>
      </c>
      <c r="K12" s="57">
        <f>6+33</f>
        <v>39</v>
      </c>
      <c r="L12" s="57">
        <v>67.0</v>
      </c>
      <c r="M12" s="57">
        <f t="shared" si="7"/>
        <v>126</v>
      </c>
      <c r="N12" s="204">
        <v>4.0</v>
      </c>
      <c r="O12" s="204" t="s">
        <v>44</v>
      </c>
      <c r="P12" s="213">
        <v>18000.0</v>
      </c>
      <c r="Q12" s="213">
        <f>15953.18</f>
        <v>15953.18</v>
      </c>
      <c r="R12" s="51">
        <f t="shared" si="8"/>
        <v>-2046.82</v>
      </c>
      <c r="S12" s="291">
        <v>103.0</v>
      </c>
      <c r="T12" s="291">
        <f t="shared" si="9"/>
        <v>154.8852427</v>
      </c>
      <c r="U12" s="57">
        <v>28.0</v>
      </c>
      <c r="V12" s="57">
        <f>13+58</f>
        <v>71</v>
      </c>
      <c r="W12" s="57">
        <v>24.0</v>
      </c>
      <c r="X12" s="57">
        <f t="shared" si="10"/>
        <v>123</v>
      </c>
      <c r="Y12" s="2" t="s">
        <v>171</v>
      </c>
      <c r="Z12" s="276">
        <v>22859.37</v>
      </c>
      <c r="AA12" s="276">
        <v>18408.23</v>
      </c>
      <c r="AB12" s="66">
        <f t="shared" si="1"/>
        <v>-0.1947184021</v>
      </c>
      <c r="AC12" s="229">
        <v>13450.1775</v>
      </c>
      <c r="AD12" s="229">
        <v>13080.609999999999</v>
      </c>
      <c r="AE12" s="66">
        <f t="shared" si="2"/>
        <v>-0.02747677493</v>
      </c>
      <c r="AF12" s="2" t="s">
        <v>171</v>
      </c>
      <c r="AG12" s="229">
        <v>20063.0725</v>
      </c>
      <c r="AH12" s="276">
        <f>AG12*81%</f>
        <v>16251.08873</v>
      </c>
      <c r="AI12" s="75"/>
      <c r="AJ12" s="229">
        <v>13152.9025</v>
      </c>
      <c r="AK12" s="229">
        <f>AJ12*97%</f>
        <v>12758.31543</v>
      </c>
    </row>
    <row r="13" ht="15.75" customHeight="1">
      <c r="A13" s="8"/>
      <c r="B13" s="8"/>
      <c r="C13" s="147">
        <v>5.0</v>
      </c>
      <c r="D13" s="147" t="s">
        <v>45</v>
      </c>
      <c r="E13" s="209">
        <v>4500.0</v>
      </c>
      <c r="F13" s="209">
        <f>5906</f>
        <v>5906</v>
      </c>
      <c r="G13" s="51">
        <f t="shared" si="5"/>
        <v>1406</v>
      </c>
      <c r="H13" s="290">
        <v>20.0</v>
      </c>
      <c r="I13" s="265">
        <f t="shared" si="6"/>
        <v>295.3</v>
      </c>
      <c r="J13" s="57">
        <v>5.0</v>
      </c>
      <c r="K13" s="57">
        <f>1+14</f>
        <v>15</v>
      </c>
      <c r="L13" s="57">
        <v>14.0</v>
      </c>
      <c r="M13" s="57">
        <f t="shared" si="7"/>
        <v>34</v>
      </c>
      <c r="N13" s="204">
        <v>5.0</v>
      </c>
      <c r="O13" s="204" t="s">
        <v>45</v>
      </c>
      <c r="P13" s="213">
        <v>4000.0</v>
      </c>
      <c r="Q13" s="213">
        <v>6768.24</v>
      </c>
      <c r="R13" s="51">
        <f t="shared" si="8"/>
        <v>2768.24</v>
      </c>
      <c r="S13" s="291">
        <v>40.0</v>
      </c>
      <c r="T13" s="291">
        <f t="shared" si="9"/>
        <v>169.206</v>
      </c>
      <c r="U13" s="57">
        <v>12.0</v>
      </c>
      <c r="V13" s="57">
        <f>5.5+23.5</f>
        <v>29</v>
      </c>
      <c r="W13" s="57">
        <v>12.0</v>
      </c>
      <c r="X13" s="57">
        <f t="shared" si="10"/>
        <v>53</v>
      </c>
      <c r="Y13" s="2" t="s">
        <v>44</v>
      </c>
      <c r="Z13" s="276">
        <v>25699.66</v>
      </c>
      <c r="AA13" s="276">
        <v>23277.19</v>
      </c>
      <c r="AB13" s="66">
        <f t="shared" si="1"/>
        <v>-0.0942607801</v>
      </c>
      <c r="AC13" s="229">
        <v>21939.785</v>
      </c>
      <c r="AD13" s="229">
        <v>18838.595</v>
      </c>
      <c r="AE13" s="66">
        <f t="shared" si="2"/>
        <v>-0.1413500634</v>
      </c>
      <c r="AF13" s="2" t="s">
        <v>44</v>
      </c>
      <c r="AG13" s="229">
        <v>27005.5875</v>
      </c>
      <c r="AH13" s="276">
        <f>AG13*90%</f>
        <v>24305.02875</v>
      </c>
      <c r="AI13" s="75"/>
      <c r="AJ13" s="229">
        <v>20519.620000000003</v>
      </c>
      <c r="AK13" s="229">
        <f>AJ13*86%</f>
        <v>17646.8732</v>
      </c>
    </row>
    <row r="14" ht="15.75" customHeight="1">
      <c r="A14" s="8"/>
      <c r="B14" s="8"/>
      <c r="C14" s="147">
        <v>6.0</v>
      </c>
      <c r="D14" s="147" t="s">
        <v>46</v>
      </c>
      <c r="E14" s="209">
        <v>5000.0</v>
      </c>
      <c r="F14" s="209">
        <f>5281.2</f>
        <v>5281.2</v>
      </c>
      <c r="G14" s="51">
        <f t="shared" si="5"/>
        <v>281.2</v>
      </c>
      <c r="H14" s="290">
        <v>20.0</v>
      </c>
      <c r="I14" s="265">
        <f t="shared" si="6"/>
        <v>264.06</v>
      </c>
      <c r="J14" s="57">
        <v>2.0</v>
      </c>
      <c r="K14" s="57">
        <f>2+7</f>
        <v>9</v>
      </c>
      <c r="L14" s="57">
        <v>15.0</v>
      </c>
      <c r="M14" s="57">
        <f t="shared" si="7"/>
        <v>26</v>
      </c>
      <c r="N14" s="204">
        <v>6.0</v>
      </c>
      <c r="O14" s="204" t="s">
        <v>46</v>
      </c>
      <c r="P14" s="213">
        <v>5000.0</v>
      </c>
      <c r="Q14" s="213">
        <v>5173.29</v>
      </c>
      <c r="R14" s="51">
        <f t="shared" si="8"/>
        <v>173.29</v>
      </c>
      <c r="S14" s="291">
        <v>34.0</v>
      </c>
      <c r="T14" s="291">
        <f t="shared" si="9"/>
        <v>152.1555882</v>
      </c>
      <c r="U14" s="57">
        <v>4.0</v>
      </c>
      <c r="V14" s="57">
        <f>2.5+23.5</f>
        <v>26</v>
      </c>
      <c r="W14" s="57">
        <v>9.0</v>
      </c>
      <c r="X14" s="57">
        <f t="shared" si="10"/>
        <v>39</v>
      </c>
      <c r="Z14" s="167">
        <f t="shared" ref="Z14:AA14" si="11">SUM(Z7:Z13)</f>
        <v>118842.61</v>
      </c>
      <c r="AA14" s="167">
        <f t="shared" si="11"/>
        <v>78723.84</v>
      </c>
      <c r="AB14" s="61"/>
      <c r="AC14" s="167">
        <f t="shared" ref="AC14:AD14" si="12">SUM(AC7:AC13)</f>
        <v>75226.14</v>
      </c>
      <c r="AD14" s="167">
        <f t="shared" si="12"/>
        <v>59838.1575</v>
      </c>
      <c r="AE14" s="61"/>
      <c r="AG14" s="167">
        <f t="shared" ref="AG14:AH14" si="13">SUM(AG7:AG13)</f>
        <v>112828.7322</v>
      </c>
      <c r="AH14" s="167">
        <f t="shared" si="13"/>
        <v>75998.10503</v>
      </c>
      <c r="AI14" s="61"/>
      <c r="AJ14" s="167">
        <f t="shared" ref="AJ14:AK14" si="14">SUM(AJ7:AJ13)</f>
        <v>75198.06333</v>
      </c>
      <c r="AK14" s="167">
        <f t="shared" si="14"/>
        <v>59423.35647</v>
      </c>
    </row>
    <row r="15" ht="15.75" customHeight="1">
      <c r="A15" s="8"/>
      <c r="B15" s="8"/>
      <c r="C15" s="147">
        <v>7.0</v>
      </c>
      <c r="D15" s="147" t="s">
        <v>40</v>
      </c>
      <c r="E15" s="209">
        <v>6000.0</v>
      </c>
      <c r="F15" s="209">
        <f>9707.9</f>
        <v>9707.9</v>
      </c>
      <c r="G15" s="51">
        <f t="shared" si="5"/>
        <v>3707.9</v>
      </c>
      <c r="H15" s="290">
        <v>30.0</v>
      </c>
      <c r="I15" s="265">
        <f t="shared" si="6"/>
        <v>323.5966667</v>
      </c>
      <c r="J15" s="57">
        <v>7.0</v>
      </c>
      <c r="K15" s="57">
        <f>4+15</f>
        <v>19</v>
      </c>
      <c r="L15" s="57">
        <v>24.0</v>
      </c>
      <c r="M15" s="57">
        <f t="shared" si="7"/>
        <v>50</v>
      </c>
      <c r="N15" s="204">
        <v>7.0</v>
      </c>
      <c r="O15" s="204" t="s">
        <v>40</v>
      </c>
      <c r="P15" s="213">
        <v>5500.0</v>
      </c>
      <c r="Q15" s="213">
        <v>4657.06</v>
      </c>
      <c r="R15" s="51">
        <f t="shared" si="8"/>
        <v>-842.94</v>
      </c>
      <c r="S15" s="291">
        <v>30.0</v>
      </c>
      <c r="T15" s="291">
        <f t="shared" si="9"/>
        <v>155.2353333</v>
      </c>
      <c r="U15" s="57">
        <v>9.0</v>
      </c>
      <c r="V15" s="57">
        <f>2.5+13.5</f>
        <v>16</v>
      </c>
      <c r="W15" s="57">
        <v>10.0</v>
      </c>
      <c r="X15" s="57">
        <f t="shared" si="10"/>
        <v>35</v>
      </c>
      <c r="AA15" s="66">
        <f>AA14/Z14-1</f>
        <v>-0.3375790047</v>
      </c>
      <c r="AD15" s="66">
        <f>AD14/AC14-1</f>
        <v>-0.2045563218</v>
      </c>
      <c r="AH15" s="66">
        <f>AH14/AG14-1</f>
        <v>-0.3264295046</v>
      </c>
      <c r="AK15" s="66">
        <f>AK14/AJ14-1</f>
        <v>-0.2097754405</v>
      </c>
    </row>
    <row r="16" ht="15.75" customHeight="1">
      <c r="A16" s="8"/>
      <c r="B16" s="8"/>
      <c r="C16" s="147">
        <v>8.0</v>
      </c>
      <c r="D16" s="147" t="s">
        <v>47</v>
      </c>
      <c r="E16" s="209">
        <v>7000.0</v>
      </c>
      <c r="F16" s="209">
        <f>9153.4</f>
        <v>9153.4</v>
      </c>
      <c r="G16" s="51">
        <f t="shared" si="5"/>
        <v>2153.4</v>
      </c>
      <c r="H16" s="290">
        <v>27.0</v>
      </c>
      <c r="I16" s="265">
        <f t="shared" si="6"/>
        <v>339.0148148</v>
      </c>
      <c r="J16" s="57">
        <v>7.0</v>
      </c>
      <c r="K16" s="57">
        <f>3+18</f>
        <v>21</v>
      </c>
      <c r="L16" s="57">
        <v>20.0</v>
      </c>
      <c r="M16" s="57">
        <f t="shared" si="7"/>
        <v>48</v>
      </c>
      <c r="N16" s="204">
        <v>8.0</v>
      </c>
      <c r="O16" s="204" t="s">
        <v>47</v>
      </c>
      <c r="P16" s="213">
        <v>6500.0</v>
      </c>
      <c r="Q16" s="213">
        <f>6604.01</f>
        <v>6604.01</v>
      </c>
      <c r="R16" s="51">
        <f t="shared" si="8"/>
        <v>104.01</v>
      </c>
      <c r="S16" s="291">
        <v>42.0</v>
      </c>
      <c r="T16" s="291">
        <f t="shared" si="9"/>
        <v>157.2383333</v>
      </c>
      <c r="U16" s="57">
        <v>11.0</v>
      </c>
      <c r="V16" s="57">
        <f>5.5+25.5</f>
        <v>31</v>
      </c>
      <c r="W16" s="57">
        <v>10.0</v>
      </c>
      <c r="X16" s="57">
        <f t="shared" si="10"/>
        <v>52</v>
      </c>
    </row>
    <row r="17" ht="15.75" customHeight="1">
      <c r="A17" s="8"/>
      <c r="B17" s="8"/>
      <c r="C17" s="147">
        <v>9.0</v>
      </c>
      <c r="D17" s="147" t="s">
        <v>205</v>
      </c>
      <c r="E17" s="209">
        <v>12000.0</v>
      </c>
      <c r="F17" s="209">
        <f>10622-161</f>
        <v>10461</v>
      </c>
      <c r="G17" s="51">
        <f t="shared" si="5"/>
        <v>-1539</v>
      </c>
      <c r="H17" s="290">
        <v>43.0</v>
      </c>
      <c r="I17" s="265">
        <f t="shared" si="6"/>
        <v>243.2790698</v>
      </c>
      <c r="J17" s="57">
        <v>9.0</v>
      </c>
      <c r="K17" s="57">
        <f>3+19</f>
        <v>22</v>
      </c>
      <c r="L17" s="57">
        <v>23.0</v>
      </c>
      <c r="M17" s="57">
        <f t="shared" si="7"/>
        <v>54</v>
      </c>
      <c r="N17" s="204">
        <v>9.0</v>
      </c>
      <c r="O17" s="204" t="s">
        <v>205</v>
      </c>
      <c r="P17" s="213">
        <v>8000.0</v>
      </c>
      <c r="Q17" s="213">
        <f>8603.58</f>
        <v>8603.58</v>
      </c>
      <c r="R17" s="51">
        <f t="shared" si="8"/>
        <v>603.58</v>
      </c>
      <c r="S17" s="291">
        <v>52.0</v>
      </c>
      <c r="T17" s="291">
        <f t="shared" si="9"/>
        <v>165.4534615</v>
      </c>
      <c r="U17" s="57">
        <v>10.0</v>
      </c>
      <c r="V17" s="57">
        <f>8+26</f>
        <v>34</v>
      </c>
      <c r="W17" s="57">
        <v>17.0</v>
      </c>
      <c r="X17" s="57">
        <f t="shared" si="10"/>
        <v>61</v>
      </c>
      <c r="AA17" s="70"/>
      <c r="AB17" s="71" t="s">
        <v>52</v>
      </c>
      <c r="AC17" s="72"/>
      <c r="AD17" s="73" t="s">
        <v>53</v>
      </c>
    </row>
    <row r="18" ht="15.75" customHeight="1">
      <c r="A18" s="8"/>
      <c r="B18" s="8"/>
      <c r="C18" s="147">
        <v>10.0</v>
      </c>
      <c r="D18" s="147" t="s">
        <v>171</v>
      </c>
      <c r="E18" s="209">
        <v>20000.0</v>
      </c>
      <c r="F18" s="209">
        <f>26232.9</f>
        <v>26232.9</v>
      </c>
      <c r="G18" s="51">
        <f t="shared" si="5"/>
        <v>6232.9</v>
      </c>
      <c r="H18" s="290">
        <v>86.0</v>
      </c>
      <c r="I18" s="265">
        <f t="shared" si="6"/>
        <v>305.0337209</v>
      </c>
      <c r="J18" s="57">
        <v>23.0</v>
      </c>
      <c r="K18" s="57">
        <f>7.5+45.5</f>
        <v>53</v>
      </c>
      <c r="L18" s="57">
        <v>66.0</v>
      </c>
      <c r="M18" s="57">
        <f t="shared" si="7"/>
        <v>142</v>
      </c>
      <c r="N18" s="204">
        <v>10.0</v>
      </c>
      <c r="O18" s="204" t="s">
        <v>171</v>
      </c>
      <c r="P18" s="213">
        <v>13000.0</v>
      </c>
      <c r="Q18" s="213">
        <f>11841.87</f>
        <v>11841.87</v>
      </c>
      <c r="R18" s="51">
        <f t="shared" si="8"/>
        <v>-1158.13</v>
      </c>
      <c r="S18" s="291">
        <v>75.0</v>
      </c>
      <c r="T18" s="291">
        <f t="shared" si="9"/>
        <v>157.8916</v>
      </c>
      <c r="U18" s="57">
        <v>26.0</v>
      </c>
      <c r="V18" s="57">
        <f>12.5+45.5</f>
        <v>58</v>
      </c>
      <c r="W18" s="57">
        <v>13.0</v>
      </c>
      <c r="X18" s="57">
        <f t="shared" si="10"/>
        <v>97</v>
      </c>
      <c r="AA18" s="74" t="s">
        <v>29</v>
      </c>
      <c r="AB18" s="75">
        <v>350000.0</v>
      </c>
      <c r="AC18" s="2" t="s">
        <v>29</v>
      </c>
      <c r="AD18" s="76">
        <v>280000.0</v>
      </c>
    </row>
    <row r="19" ht="15.75" customHeight="1">
      <c r="A19" s="8"/>
      <c r="B19" s="8"/>
      <c r="C19" s="147">
        <v>11.0</v>
      </c>
      <c r="D19" s="147" t="s">
        <v>44</v>
      </c>
      <c r="E19" s="209">
        <v>21000.0</v>
      </c>
      <c r="F19" s="209">
        <f>19052</f>
        <v>19052</v>
      </c>
      <c r="G19" s="51">
        <f t="shared" si="5"/>
        <v>-1948</v>
      </c>
      <c r="H19" s="290">
        <v>83.0</v>
      </c>
      <c r="I19" s="265">
        <f t="shared" si="6"/>
        <v>229.5421687</v>
      </c>
      <c r="J19" s="57">
        <v>16.0</v>
      </c>
      <c r="K19" s="57">
        <f>9.5+44.5</f>
        <v>54</v>
      </c>
      <c r="L19" s="57">
        <v>39.0</v>
      </c>
      <c r="M19" s="57">
        <f t="shared" si="7"/>
        <v>109</v>
      </c>
      <c r="N19" s="204">
        <v>11.0</v>
      </c>
      <c r="O19" s="204" t="s">
        <v>44</v>
      </c>
      <c r="P19" s="213">
        <v>18000.0</v>
      </c>
      <c r="Q19" s="213">
        <f>21838.81</f>
        <v>21838.81</v>
      </c>
      <c r="R19" s="51">
        <f t="shared" si="8"/>
        <v>3838.81</v>
      </c>
      <c r="S19" s="291">
        <v>130.0</v>
      </c>
      <c r="T19" s="291">
        <f t="shared" si="9"/>
        <v>167.9908462</v>
      </c>
      <c r="U19" s="57">
        <v>35.0</v>
      </c>
      <c r="V19" s="57">
        <f>16+72</f>
        <v>88</v>
      </c>
      <c r="W19" s="57">
        <v>39.0</v>
      </c>
      <c r="X19" s="57">
        <f t="shared" si="10"/>
        <v>162</v>
      </c>
      <c r="AA19" s="74"/>
      <c r="AB19" s="2"/>
      <c r="AC19" s="2"/>
      <c r="AD19" s="77"/>
    </row>
    <row r="20" ht="15.75" customHeight="1">
      <c r="A20" s="8"/>
      <c r="B20" s="8"/>
      <c r="C20" s="147">
        <v>12.0</v>
      </c>
      <c r="D20" s="147" t="s">
        <v>45</v>
      </c>
      <c r="E20" s="209">
        <v>4500.0</v>
      </c>
      <c r="F20" s="209">
        <v>6473.0</v>
      </c>
      <c r="G20" s="51">
        <f t="shared" si="5"/>
        <v>1973</v>
      </c>
      <c r="H20" s="290">
        <v>21.0</v>
      </c>
      <c r="I20" s="265">
        <f t="shared" si="6"/>
        <v>308.2380952</v>
      </c>
      <c r="J20" s="57">
        <v>6.0</v>
      </c>
      <c r="K20" s="57">
        <f>3.5+9.5</f>
        <v>13</v>
      </c>
      <c r="L20" s="57">
        <v>16.0</v>
      </c>
      <c r="M20" s="57">
        <f t="shared" si="7"/>
        <v>35</v>
      </c>
      <c r="N20" s="204">
        <v>12.0</v>
      </c>
      <c r="O20" s="204" t="s">
        <v>45</v>
      </c>
      <c r="P20" s="213">
        <v>4000.0</v>
      </c>
      <c r="Q20" s="213">
        <f>4794.04</f>
        <v>4794.04</v>
      </c>
      <c r="R20" s="51">
        <f t="shared" si="8"/>
        <v>794.04</v>
      </c>
      <c r="S20" s="291">
        <v>33.0</v>
      </c>
      <c r="T20" s="291">
        <f t="shared" si="9"/>
        <v>145.2739394</v>
      </c>
      <c r="U20" s="57">
        <v>11.0</v>
      </c>
      <c r="V20" s="57">
        <f>1.5+16.5</f>
        <v>18</v>
      </c>
      <c r="W20" s="57">
        <v>8.0</v>
      </c>
      <c r="X20" s="57">
        <f t="shared" si="10"/>
        <v>37</v>
      </c>
      <c r="AA20" s="74" t="s">
        <v>58</v>
      </c>
      <c r="AB20" s="75">
        <f>SUM(F9:F15)</f>
        <v>94215.03</v>
      </c>
      <c r="AC20" s="58" t="s">
        <v>58</v>
      </c>
      <c r="AD20" s="76">
        <f>SUM(Q9:Q15)</f>
        <v>78573.73</v>
      </c>
    </row>
    <row r="21" ht="15.75" customHeight="1">
      <c r="A21" s="8"/>
      <c r="B21" s="8"/>
      <c r="C21" s="147">
        <v>13.0</v>
      </c>
      <c r="D21" s="147" t="s">
        <v>46</v>
      </c>
      <c r="E21" s="209">
        <v>5000.0</v>
      </c>
      <c r="F21" s="209">
        <f>4401-178.5-17.85</f>
        <v>4204.65</v>
      </c>
      <c r="G21" s="51">
        <f t="shared" si="5"/>
        <v>-795.35</v>
      </c>
      <c r="H21" s="290">
        <v>18.0</v>
      </c>
      <c r="I21" s="265">
        <f t="shared" si="6"/>
        <v>233.5916667</v>
      </c>
      <c r="J21" s="57">
        <v>1.0</v>
      </c>
      <c r="K21" s="57">
        <f>2.5+11.5</f>
        <v>14</v>
      </c>
      <c r="L21" s="57">
        <v>9.0</v>
      </c>
      <c r="M21" s="57">
        <f t="shared" si="7"/>
        <v>24</v>
      </c>
      <c r="N21" s="204">
        <v>13.0</v>
      </c>
      <c r="O21" s="204" t="s">
        <v>46</v>
      </c>
      <c r="P21" s="213">
        <v>5000.0</v>
      </c>
      <c r="Q21" s="213">
        <f>3160.82+1985.6-145.98</f>
        <v>5000.44</v>
      </c>
      <c r="R21" s="51">
        <f t="shared" si="8"/>
        <v>0.44</v>
      </c>
      <c r="S21" s="291">
        <v>32.0</v>
      </c>
      <c r="T21" s="291">
        <f t="shared" si="9"/>
        <v>156.26375</v>
      </c>
      <c r="U21" s="57">
        <v>8.0</v>
      </c>
      <c r="V21" s="57">
        <f>4.5+19.5</f>
        <v>24</v>
      </c>
      <c r="W21" s="57">
        <v>8.0</v>
      </c>
      <c r="X21" s="57">
        <f t="shared" si="10"/>
        <v>40</v>
      </c>
      <c r="AA21" s="74"/>
      <c r="AB21" s="79">
        <f>AB20/AB18</f>
        <v>0.2691858</v>
      </c>
      <c r="AD21" s="80">
        <f>AD20/AD18</f>
        <v>0.2806204643</v>
      </c>
      <c r="AE21" s="66"/>
    </row>
    <row r="22" ht="15.75" customHeight="1">
      <c r="A22" s="8"/>
      <c r="B22" s="8"/>
      <c r="C22" s="147">
        <v>14.0</v>
      </c>
      <c r="D22" s="147" t="s">
        <v>40</v>
      </c>
      <c r="E22" s="209">
        <v>6000.0</v>
      </c>
      <c r="F22" s="209">
        <f>6179.5</f>
        <v>6179.5</v>
      </c>
      <c r="G22" s="51">
        <f t="shared" si="5"/>
        <v>179.5</v>
      </c>
      <c r="H22" s="290">
        <v>26.0</v>
      </c>
      <c r="I22" s="265">
        <f t="shared" si="6"/>
        <v>237.6730769</v>
      </c>
      <c r="J22" s="57">
        <v>7.0</v>
      </c>
      <c r="K22" s="57">
        <f>3+11</f>
        <v>14</v>
      </c>
      <c r="L22" s="57">
        <v>13.0</v>
      </c>
      <c r="M22" s="57">
        <f t="shared" si="7"/>
        <v>34</v>
      </c>
      <c r="N22" s="204">
        <v>14.0</v>
      </c>
      <c r="O22" s="204" t="s">
        <v>40</v>
      </c>
      <c r="P22" s="213">
        <v>5500.0</v>
      </c>
      <c r="Q22" s="213">
        <f>2629.19+2244.94-220.99</f>
        <v>4653.14</v>
      </c>
      <c r="R22" s="51">
        <f t="shared" si="8"/>
        <v>-846.86</v>
      </c>
      <c r="S22" s="291">
        <v>31.0</v>
      </c>
      <c r="T22" s="291">
        <f t="shared" si="9"/>
        <v>150.1012903</v>
      </c>
      <c r="U22" s="57">
        <v>7.0</v>
      </c>
      <c r="V22" s="57">
        <f>2.5+24.5</f>
        <v>27</v>
      </c>
      <c r="W22" s="57">
        <v>4.0</v>
      </c>
      <c r="X22" s="57">
        <f t="shared" si="10"/>
        <v>38</v>
      </c>
      <c r="AA22" s="74"/>
      <c r="AB22" s="81"/>
      <c r="AD22" s="77"/>
    </row>
    <row r="23" ht="15.75" customHeight="1">
      <c r="A23" s="8"/>
      <c r="B23" s="8"/>
      <c r="C23" s="147">
        <v>15.0</v>
      </c>
      <c r="D23" s="147" t="s">
        <v>47</v>
      </c>
      <c r="E23" s="209">
        <v>7000.0</v>
      </c>
      <c r="F23" s="209">
        <f>8466.5</f>
        <v>8466.5</v>
      </c>
      <c r="G23" s="51">
        <f t="shared" si="5"/>
        <v>1466.5</v>
      </c>
      <c r="H23" s="290">
        <v>28.0</v>
      </c>
      <c r="I23" s="265">
        <f t="shared" si="6"/>
        <v>302.375</v>
      </c>
      <c r="J23" s="57">
        <v>6.0</v>
      </c>
      <c r="K23" s="57">
        <f>2.5+12.5</f>
        <v>15</v>
      </c>
      <c r="L23" s="57">
        <v>25.0</v>
      </c>
      <c r="M23" s="57">
        <f t="shared" si="7"/>
        <v>46</v>
      </c>
      <c r="N23" s="204">
        <v>15.0</v>
      </c>
      <c r="O23" s="204" t="s">
        <v>47</v>
      </c>
      <c r="P23" s="213">
        <v>6500.0</v>
      </c>
      <c r="Q23" s="213">
        <f>2222.76+2374.56-279.98</f>
        <v>4317.34</v>
      </c>
      <c r="R23" s="51">
        <f t="shared" si="8"/>
        <v>-2182.66</v>
      </c>
      <c r="S23" s="291">
        <v>32.0</v>
      </c>
      <c r="T23" s="291">
        <f t="shared" si="9"/>
        <v>134.916875</v>
      </c>
      <c r="U23" s="57">
        <v>6.0</v>
      </c>
      <c r="V23" s="57">
        <f>2.5+18.5</f>
        <v>21</v>
      </c>
      <c r="W23" s="57">
        <v>7.0</v>
      </c>
      <c r="X23" s="57">
        <f t="shared" si="10"/>
        <v>34</v>
      </c>
      <c r="AA23" s="74" t="s">
        <v>62</v>
      </c>
      <c r="AB23" s="75">
        <f>SUM(F16:F22)</f>
        <v>81756.45</v>
      </c>
      <c r="AC23" s="58" t="s">
        <v>62</v>
      </c>
      <c r="AD23" s="76">
        <f>SUM(Q16:Q22)</f>
        <v>63335.89</v>
      </c>
    </row>
    <row r="24" ht="15.75" customHeight="1">
      <c r="A24" s="8"/>
      <c r="B24" s="8"/>
      <c r="C24" s="147">
        <v>16.0</v>
      </c>
      <c r="D24" s="147" t="s">
        <v>205</v>
      </c>
      <c r="E24" s="209">
        <v>12000.0</v>
      </c>
      <c r="F24" s="209">
        <f>108+14867-301</f>
        <v>14674</v>
      </c>
      <c r="G24" s="51">
        <f t="shared" si="5"/>
        <v>2674</v>
      </c>
      <c r="H24" s="290">
        <v>73.0</v>
      </c>
      <c r="I24" s="265">
        <f t="shared" si="6"/>
        <v>201.0136986</v>
      </c>
      <c r="J24" s="57">
        <v>15.0</v>
      </c>
      <c r="K24" s="57">
        <f>3.5+37.5</f>
        <v>41</v>
      </c>
      <c r="L24" s="57">
        <v>24.0</v>
      </c>
      <c r="M24" s="57">
        <f t="shared" si="7"/>
        <v>80</v>
      </c>
      <c r="N24" s="204">
        <v>16.0</v>
      </c>
      <c r="O24" s="204" t="s">
        <v>205</v>
      </c>
      <c r="P24" s="213">
        <v>8000.0</v>
      </c>
      <c r="Q24" s="213">
        <f>170+5917.32+4357.6-437.96</f>
        <v>10006.96</v>
      </c>
      <c r="R24" s="51">
        <f t="shared" si="8"/>
        <v>2006.96</v>
      </c>
      <c r="S24" s="291">
        <v>68.0</v>
      </c>
      <c r="T24" s="291">
        <f t="shared" si="9"/>
        <v>147.1611765</v>
      </c>
      <c r="U24" s="57">
        <v>17.0</v>
      </c>
      <c r="V24" s="57">
        <f>11+31</f>
        <v>42</v>
      </c>
      <c r="W24" s="57">
        <v>18.0</v>
      </c>
      <c r="X24" s="57">
        <f t="shared" si="10"/>
        <v>77</v>
      </c>
      <c r="AA24" s="74"/>
      <c r="AB24" s="79">
        <f>AB23/AB18</f>
        <v>0.2335898571</v>
      </c>
      <c r="AD24" s="80">
        <f>AD23/AD18</f>
        <v>0.2261996071</v>
      </c>
    </row>
    <row r="25" ht="15.75" customHeight="1">
      <c r="A25" s="8"/>
      <c r="B25" s="8"/>
      <c r="C25" s="147">
        <v>17.0</v>
      </c>
      <c r="D25" s="147" t="s">
        <v>171</v>
      </c>
      <c r="E25" s="209">
        <v>20000.0</v>
      </c>
      <c r="F25" s="209">
        <f>13595.1</f>
        <v>13595.1</v>
      </c>
      <c r="G25" s="51">
        <f t="shared" si="5"/>
        <v>-6404.9</v>
      </c>
      <c r="H25" s="290">
        <v>62.0</v>
      </c>
      <c r="I25" s="265">
        <f t="shared" si="6"/>
        <v>219.2758065</v>
      </c>
      <c r="J25" s="57">
        <v>12.0</v>
      </c>
      <c r="K25" s="57">
        <f>5+23</f>
        <v>28</v>
      </c>
      <c r="L25" s="57">
        <v>36.0</v>
      </c>
      <c r="M25" s="57">
        <f t="shared" si="7"/>
        <v>76</v>
      </c>
      <c r="N25" s="204">
        <v>17.0</v>
      </c>
      <c r="O25" s="204" t="s">
        <v>171</v>
      </c>
      <c r="P25" s="213">
        <v>13000.0</v>
      </c>
      <c r="Q25" s="213">
        <f>8566.11+5581.04-750.95</f>
        <v>13396.2</v>
      </c>
      <c r="R25" s="51">
        <f t="shared" si="8"/>
        <v>396.2</v>
      </c>
      <c r="S25" s="291">
        <v>84.0</v>
      </c>
      <c r="T25" s="291">
        <f t="shared" si="9"/>
        <v>159.4785714</v>
      </c>
      <c r="U25" s="57">
        <v>19.0</v>
      </c>
      <c r="V25" s="57">
        <f>14+49</f>
        <v>63</v>
      </c>
      <c r="W25" s="57">
        <v>22.0</v>
      </c>
      <c r="X25" s="57">
        <f t="shared" si="10"/>
        <v>104</v>
      </c>
      <c r="AA25" s="74"/>
      <c r="AB25" s="81"/>
      <c r="AD25" s="77"/>
    </row>
    <row r="26" ht="19.5" customHeight="1">
      <c r="A26" s="8"/>
      <c r="B26" s="8"/>
      <c r="C26" s="147">
        <v>18.0</v>
      </c>
      <c r="D26" s="147" t="s">
        <v>44</v>
      </c>
      <c r="E26" s="209">
        <v>21000.0</v>
      </c>
      <c r="F26" s="209">
        <f>22753</f>
        <v>22753</v>
      </c>
      <c r="G26" s="51">
        <f t="shared" si="5"/>
        <v>1753</v>
      </c>
      <c r="H26" s="290">
        <v>105.0</v>
      </c>
      <c r="I26" s="265">
        <f t="shared" si="6"/>
        <v>216.6952381</v>
      </c>
      <c r="J26" s="57">
        <v>29.0</v>
      </c>
      <c r="K26" s="57">
        <f>6.5+48.5</f>
        <v>55</v>
      </c>
      <c r="L26" s="57">
        <v>50.0</v>
      </c>
      <c r="M26" s="57">
        <f t="shared" si="7"/>
        <v>134</v>
      </c>
      <c r="N26" s="204">
        <v>18.0</v>
      </c>
      <c r="O26" s="204" t="s">
        <v>44</v>
      </c>
      <c r="P26" s="213">
        <v>18000.0</v>
      </c>
      <c r="Q26" s="213">
        <f>12527.47+7954.66-1410.92</f>
        <v>19071.21</v>
      </c>
      <c r="R26" s="51">
        <f t="shared" si="8"/>
        <v>1071.21</v>
      </c>
      <c r="S26" s="291">
        <v>123.0</v>
      </c>
      <c r="T26" s="291">
        <f t="shared" si="9"/>
        <v>155.0504878</v>
      </c>
      <c r="U26" s="57">
        <v>38.0</v>
      </c>
      <c r="V26" s="57">
        <f>16.5+70.5</f>
        <v>87</v>
      </c>
      <c r="W26" s="57">
        <v>25.0</v>
      </c>
      <c r="X26" s="57">
        <f t="shared" si="10"/>
        <v>150</v>
      </c>
      <c r="AA26" s="74" t="s">
        <v>63</v>
      </c>
      <c r="AB26" s="75">
        <f>SUM(F23:F29)</f>
        <v>77907.46</v>
      </c>
      <c r="AC26" s="58" t="s">
        <v>63</v>
      </c>
      <c r="AD26" s="76">
        <f>SUM(Q23:Q29)</f>
        <v>58023.82</v>
      </c>
    </row>
    <row r="27" ht="15.75" customHeight="1">
      <c r="A27" s="8"/>
      <c r="B27" s="8"/>
      <c r="C27" s="147">
        <v>19.0</v>
      </c>
      <c r="D27" s="147" t="s">
        <v>45</v>
      </c>
      <c r="E27" s="209">
        <v>4500.0</v>
      </c>
      <c r="F27" s="209">
        <f>8100.4</f>
        <v>8100.4</v>
      </c>
      <c r="G27" s="51">
        <f t="shared" si="5"/>
        <v>3600.4</v>
      </c>
      <c r="H27" s="290">
        <v>22.0</v>
      </c>
      <c r="I27" s="265">
        <f t="shared" si="6"/>
        <v>368.2</v>
      </c>
      <c r="J27" s="57">
        <v>4.0</v>
      </c>
      <c r="K27" s="57">
        <f>2+9</f>
        <v>11</v>
      </c>
      <c r="L27" s="57">
        <v>30.0</v>
      </c>
      <c r="M27" s="57">
        <f t="shared" si="7"/>
        <v>45</v>
      </c>
      <c r="N27" s="204">
        <v>19.0</v>
      </c>
      <c r="O27" s="204" t="s">
        <v>45</v>
      </c>
      <c r="P27" s="213">
        <v>4000.0</v>
      </c>
      <c r="Q27" s="213">
        <f>1259.92+1543.84-96.99</f>
        <v>2706.77</v>
      </c>
      <c r="R27" s="51">
        <f t="shared" si="8"/>
        <v>-1293.23</v>
      </c>
      <c r="S27" s="291">
        <v>19.0</v>
      </c>
      <c r="T27" s="291">
        <f t="shared" si="9"/>
        <v>142.4615789</v>
      </c>
      <c r="U27" s="57">
        <v>11.0</v>
      </c>
      <c r="V27" s="57">
        <f>3+8</f>
        <v>11</v>
      </c>
      <c r="W27" s="57">
        <v>2.0</v>
      </c>
      <c r="X27" s="57">
        <f t="shared" si="10"/>
        <v>24</v>
      </c>
      <c r="AA27" s="74"/>
      <c r="AB27" s="79">
        <f>AB26/AB18</f>
        <v>0.2225927429</v>
      </c>
      <c r="AD27" s="80">
        <f>AD26/AD18</f>
        <v>0.2072279286</v>
      </c>
    </row>
    <row r="28" ht="15.75" customHeight="1">
      <c r="A28" s="8"/>
      <c r="B28" s="8"/>
      <c r="C28" s="147">
        <v>20.0</v>
      </c>
      <c r="D28" s="147" t="s">
        <v>46</v>
      </c>
      <c r="E28" s="209">
        <v>5000.0</v>
      </c>
      <c r="F28" s="209">
        <f>5664.46</f>
        <v>5664.46</v>
      </c>
      <c r="G28" s="51">
        <f t="shared" si="5"/>
        <v>664.46</v>
      </c>
      <c r="H28" s="290">
        <v>23.0</v>
      </c>
      <c r="I28" s="265">
        <f t="shared" si="6"/>
        <v>246.2808696</v>
      </c>
      <c r="J28" s="57">
        <v>6.0</v>
      </c>
      <c r="K28" s="57">
        <f>2+15</f>
        <v>17</v>
      </c>
      <c r="L28" s="57">
        <v>10.0</v>
      </c>
      <c r="M28" s="57">
        <f t="shared" si="7"/>
        <v>33</v>
      </c>
      <c r="N28" s="204">
        <v>20.0</v>
      </c>
      <c r="O28" s="204" t="s">
        <v>46</v>
      </c>
      <c r="P28" s="213">
        <v>5000.0</v>
      </c>
      <c r="Q28" s="213">
        <f>2444.28+1906.81-120.96</f>
        <v>4230.13</v>
      </c>
      <c r="R28" s="51">
        <f t="shared" si="8"/>
        <v>-769.87</v>
      </c>
      <c r="S28" s="291">
        <v>28.0</v>
      </c>
      <c r="T28" s="291">
        <f t="shared" si="9"/>
        <v>151.0760714</v>
      </c>
      <c r="U28" s="57">
        <v>8.0</v>
      </c>
      <c r="V28" s="57">
        <f>7+13</f>
        <v>20</v>
      </c>
      <c r="W28" s="57">
        <v>7.0</v>
      </c>
      <c r="X28" s="57">
        <f t="shared" si="10"/>
        <v>35</v>
      </c>
      <c r="AA28" s="74"/>
      <c r="AD28" s="82"/>
    </row>
    <row r="29" ht="15.75" customHeight="1">
      <c r="A29" s="8"/>
      <c r="B29" s="8"/>
      <c r="C29" s="147">
        <v>21.0</v>
      </c>
      <c r="D29" s="147" t="s">
        <v>40</v>
      </c>
      <c r="E29" s="209">
        <v>6000.0</v>
      </c>
      <c r="F29" s="209">
        <v>4654.0</v>
      </c>
      <c r="G29" s="51">
        <f t="shared" si="5"/>
        <v>-1346</v>
      </c>
      <c r="H29" s="290">
        <v>11.0</v>
      </c>
      <c r="I29" s="265">
        <f t="shared" si="6"/>
        <v>423.0909091</v>
      </c>
      <c r="J29" s="57">
        <v>1.0</v>
      </c>
      <c r="K29" s="57">
        <f>2+8</f>
        <v>10</v>
      </c>
      <c r="L29" s="57">
        <v>13.0</v>
      </c>
      <c r="M29" s="57">
        <f t="shared" si="7"/>
        <v>24</v>
      </c>
      <c r="N29" s="204">
        <v>21.0</v>
      </c>
      <c r="O29" s="204" t="s">
        <v>40</v>
      </c>
      <c r="P29" s="213">
        <v>5500.0</v>
      </c>
      <c r="Q29" s="213">
        <f>2886.33+1645.86-236.98</f>
        <v>4295.21</v>
      </c>
      <c r="R29" s="51">
        <f t="shared" si="8"/>
        <v>-1204.79</v>
      </c>
      <c r="S29" s="291">
        <v>32.0</v>
      </c>
      <c r="T29" s="291">
        <f t="shared" si="9"/>
        <v>134.2253125</v>
      </c>
      <c r="U29" s="57">
        <v>7.0</v>
      </c>
      <c r="V29" s="57">
        <f>2+23</f>
        <v>25</v>
      </c>
      <c r="W29" s="57">
        <v>5.0</v>
      </c>
      <c r="X29" s="57">
        <f t="shared" si="10"/>
        <v>37</v>
      </c>
      <c r="AA29" s="74" t="s">
        <v>64</v>
      </c>
      <c r="AB29" s="61">
        <f>SUM(F30:F36)</f>
        <v>68598.6</v>
      </c>
      <c r="AC29" s="58" t="s">
        <v>64</v>
      </c>
      <c r="AD29" s="83">
        <f>SUM(Q30:Q36)</f>
        <v>59372</v>
      </c>
    </row>
    <row r="30" ht="19.5" customHeight="1">
      <c r="A30" s="8"/>
      <c r="B30" s="8"/>
      <c r="C30" s="147">
        <v>22.0</v>
      </c>
      <c r="D30" s="147" t="s">
        <v>47</v>
      </c>
      <c r="E30" s="209">
        <v>7000.0</v>
      </c>
      <c r="F30" s="209">
        <f>10010.5-85</f>
        <v>9925.5</v>
      </c>
      <c r="G30" s="51">
        <f t="shared" si="5"/>
        <v>2925.5</v>
      </c>
      <c r="H30" s="290">
        <v>37.0</v>
      </c>
      <c r="I30" s="265">
        <f t="shared" si="6"/>
        <v>268.2567568</v>
      </c>
      <c r="J30" s="57">
        <v>6.0</v>
      </c>
      <c r="K30" s="57">
        <f>1.5+13.5</f>
        <v>15</v>
      </c>
      <c r="L30" s="57">
        <v>27.0</v>
      </c>
      <c r="M30" s="57">
        <f t="shared" si="7"/>
        <v>48</v>
      </c>
      <c r="N30" s="204">
        <v>22.0</v>
      </c>
      <c r="O30" s="204" t="s">
        <v>47</v>
      </c>
      <c r="P30" s="213">
        <v>6500.0</v>
      </c>
      <c r="Q30" s="213">
        <f>1490.53+2044.41-144.98</f>
        <v>3389.96</v>
      </c>
      <c r="R30" s="51">
        <f t="shared" si="8"/>
        <v>-3110.04</v>
      </c>
      <c r="S30" s="291">
        <v>23.0</v>
      </c>
      <c r="T30" s="291">
        <f t="shared" si="9"/>
        <v>147.3895652</v>
      </c>
      <c r="U30" s="57">
        <v>3.0</v>
      </c>
      <c r="V30" s="57">
        <f>4+20</f>
        <v>24</v>
      </c>
      <c r="W30" s="57">
        <v>2.0</v>
      </c>
      <c r="X30" s="57">
        <f t="shared" si="10"/>
        <v>29</v>
      </c>
      <c r="AA30" s="74"/>
      <c r="AB30" s="79">
        <f>AB29/AB18</f>
        <v>0.195996</v>
      </c>
      <c r="AD30" s="80">
        <f>AD29/AD18</f>
        <v>0.2120428571</v>
      </c>
    </row>
    <row r="31" ht="18.0" customHeight="1">
      <c r="A31" s="8"/>
      <c r="B31" s="8"/>
      <c r="C31" s="147">
        <v>23.0</v>
      </c>
      <c r="D31" s="147" t="s">
        <v>205</v>
      </c>
      <c r="E31" s="209">
        <v>12000.0</v>
      </c>
      <c r="F31" s="209">
        <f>13476.5-210</f>
        <v>13266.5</v>
      </c>
      <c r="G31" s="51">
        <f t="shared" si="5"/>
        <v>1266.5</v>
      </c>
      <c r="H31" s="290">
        <v>40.0</v>
      </c>
      <c r="I31" s="265">
        <f t="shared" si="6"/>
        <v>331.6625</v>
      </c>
      <c r="J31" s="57">
        <v>12.0</v>
      </c>
      <c r="K31" s="57">
        <f>2+24</f>
        <v>26</v>
      </c>
      <c r="L31" s="57">
        <v>33.0</v>
      </c>
      <c r="M31" s="57">
        <f t="shared" si="7"/>
        <v>71</v>
      </c>
      <c r="N31" s="204">
        <v>23.0</v>
      </c>
      <c r="O31" s="204" t="s">
        <v>205</v>
      </c>
      <c r="P31" s="213">
        <v>8000.0</v>
      </c>
      <c r="Q31" s="213">
        <f>6885.29+179+3878.1-559.99+241.01</f>
        <v>10623.41</v>
      </c>
      <c r="R31" s="51">
        <f t="shared" si="8"/>
        <v>2623.41</v>
      </c>
      <c r="S31" s="291">
        <v>62.0</v>
      </c>
      <c r="T31" s="291">
        <f t="shared" si="9"/>
        <v>171.3453226</v>
      </c>
      <c r="U31" s="57">
        <v>19.0</v>
      </c>
      <c r="V31" s="57">
        <f>8.5+41.5</f>
        <v>50</v>
      </c>
      <c r="W31" s="57">
        <v>13.0</v>
      </c>
      <c r="X31" s="57">
        <f t="shared" si="10"/>
        <v>82</v>
      </c>
      <c r="AA31" s="74" t="s">
        <v>65</v>
      </c>
      <c r="AB31" s="61">
        <f>SUM(F37:F39)</f>
        <v>38992.66</v>
      </c>
      <c r="AC31" s="58" t="s">
        <v>65</v>
      </c>
      <c r="AD31" s="83">
        <f>SUM(Q37:Q39)</f>
        <v>27616.74</v>
      </c>
    </row>
    <row r="32" ht="15.75" customHeight="1">
      <c r="A32" s="8"/>
      <c r="B32" s="8"/>
      <c r="C32" s="147">
        <v>24.0</v>
      </c>
      <c r="D32" s="147" t="s">
        <v>41</v>
      </c>
      <c r="E32" s="209">
        <v>20000.0</v>
      </c>
      <c r="F32" s="209">
        <f>13287.9</f>
        <v>13287.9</v>
      </c>
      <c r="G32" s="51">
        <f t="shared" si="5"/>
        <v>-6712.1</v>
      </c>
      <c r="H32" s="290">
        <v>57.0</v>
      </c>
      <c r="I32" s="265">
        <f t="shared" si="6"/>
        <v>233.1210526</v>
      </c>
      <c r="J32" s="57">
        <v>15.0</v>
      </c>
      <c r="K32" s="57">
        <f>6+36</f>
        <v>42</v>
      </c>
      <c r="L32" s="57">
        <v>17.0</v>
      </c>
      <c r="M32" s="57">
        <f t="shared" si="7"/>
        <v>74</v>
      </c>
      <c r="N32" s="204">
        <v>24.0</v>
      </c>
      <c r="O32" s="204" t="s">
        <v>41</v>
      </c>
      <c r="P32" s="213">
        <v>13000.0</v>
      </c>
      <c r="Q32" s="213">
        <f>9762.16+5045.31-902.96</f>
        <v>13904.51</v>
      </c>
      <c r="R32" s="51">
        <f t="shared" si="8"/>
        <v>904.51</v>
      </c>
      <c r="S32" s="291">
        <v>88.0</v>
      </c>
      <c r="T32" s="291">
        <f t="shared" si="9"/>
        <v>158.0057955</v>
      </c>
      <c r="U32" s="57">
        <v>21.0</v>
      </c>
      <c r="V32" s="57">
        <f>10.5+56.5</f>
        <v>67</v>
      </c>
      <c r="W32" s="57">
        <v>19.0</v>
      </c>
      <c r="X32" s="57">
        <f t="shared" si="10"/>
        <v>107</v>
      </c>
      <c r="AA32" s="84" t="s">
        <v>263</v>
      </c>
      <c r="AB32" s="85">
        <f>AB31/AB18</f>
        <v>0.1114076</v>
      </c>
      <c r="AC32" s="84" t="s">
        <v>263</v>
      </c>
      <c r="AD32" s="87">
        <f>AD31/AD18</f>
        <v>0.09863121429</v>
      </c>
    </row>
    <row r="33" ht="15.75" customHeight="1">
      <c r="A33" s="8"/>
      <c r="B33" s="8"/>
      <c r="C33" s="147">
        <v>25.0</v>
      </c>
      <c r="D33" s="147" t="s">
        <v>44</v>
      </c>
      <c r="E33" s="209">
        <v>21000.0</v>
      </c>
      <c r="F33" s="209">
        <f>17217</f>
        <v>17217</v>
      </c>
      <c r="G33" s="51">
        <f t="shared" si="5"/>
        <v>-3783</v>
      </c>
      <c r="H33" s="290">
        <v>78.0</v>
      </c>
      <c r="I33" s="265">
        <f t="shared" si="6"/>
        <v>220.7307692</v>
      </c>
      <c r="J33" s="57">
        <v>28.0</v>
      </c>
      <c r="K33" s="57">
        <f>7+44</f>
        <v>51</v>
      </c>
      <c r="L33" s="57">
        <v>30.0</v>
      </c>
      <c r="M33" s="57">
        <f t="shared" si="7"/>
        <v>109</v>
      </c>
      <c r="N33" s="204">
        <v>25.0</v>
      </c>
      <c r="O33" s="204" t="s">
        <v>44</v>
      </c>
      <c r="P33" s="213">
        <v>18000.0</v>
      </c>
      <c r="Q33" s="213">
        <f>12749.08+1755.72+5757-1400.96</f>
        <v>18860.84</v>
      </c>
      <c r="R33" s="51">
        <f t="shared" si="8"/>
        <v>860.84</v>
      </c>
      <c r="S33" s="291">
        <v>118.0</v>
      </c>
      <c r="T33" s="291">
        <f t="shared" si="9"/>
        <v>159.8376271</v>
      </c>
      <c r="U33" s="57">
        <v>38.0</v>
      </c>
      <c r="V33" s="57">
        <f>19+73</f>
        <v>92</v>
      </c>
      <c r="W33" s="57">
        <v>21.0</v>
      </c>
      <c r="X33" s="57">
        <f t="shared" si="10"/>
        <v>151</v>
      </c>
    </row>
    <row r="34" ht="15.75" customHeight="1">
      <c r="A34" s="8"/>
      <c r="B34" s="8"/>
      <c r="C34" s="147">
        <v>26.0</v>
      </c>
      <c r="D34" s="147" t="s">
        <v>45</v>
      </c>
      <c r="E34" s="209">
        <v>4500.0</v>
      </c>
      <c r="F34" s="209">
        <v>4321.5</v>
      </c>
      <c r="G34" s="51">
        <f t="shared" si="5"/>
        <v>-178.5</v>
      </c>
      <c r="H34" s="290">
        <v>18.0</v>
      </c>
      <c r="I34" s="265">
        <f t="shared" si="6"/>
        <v>240.0833333</v>
      </c>
      <c r="J34" s="57">
        <v>7.0</v>
      </c>
      <c r="K34" s="57">
        <f>1+10</f>
        <v>11</v>
      </c>
      <c r="L34" s="57">
        <v>9.0</v>
      </c>
      <c r="M34" s="57">
        <f t="shared" si="7"/>
        <v>27</v>
      </c>
      <c r="N34" s="204">
        <v>26.0</v>
      </c>
      <c r="O34" s="204" t="s">
        <v>45</v>
      </c>
      <c r="P34" s="213">
        <v>4000.0</v>
      </c>
      <c r="Q34" s="213">
        <f>2200.72+2154.91-335.98</f>
        <v>4019.65</v>
      </c>
      <c r="R34" s="51">
        <f t="shared" si="8"/>
        <v>19.65</v>
      </c>
      <c r="S34" s="291">
        <v>27.0</v>
      </c>
      <c r="T34" s="291">
        <f t="shared" si="9"/>
        <v>148.8759259</v>
      </c>
      <c r="U34" s="57">
        <v>6.0</v>
      </c>
      <c r="V34" s="57">
        <f>7+13</f>
        <v>20</v>
      </c>
      <c r="W34" s="57">
        <v>5.0</v>
      </c>
      <c r="X34" s="57">
        <f t="shared" si="10"/>
        <v>31</v>
      </c>
      <c r="Z34" s="92" t="s">
        <v>72</v>
      </c>
      <c r="AA34" s="93" t="s">
        <v>73</v>
      </c>
      <c r="AB34" s="94">
        <f>F40</f>
        <v>361470.2</v>
      </c>
      <c r="AC34" s="164" t="s">
        <v>74</v>
      </c>
      <c r="AD34" s="96">
        <f>Q40</f>
        <v>286886.18</v>
      </c>
      <c r="AE34" s="92" t="s">
        <v>72</v>
      </c>
    </row>
    <row r="35" ht="19.5" customHeight="1">
      <c r="A35" s="8"/>
      <c r="B35" s="8"/>
      <c r="C35" s="147">
        <v>27.0</v>
      </c>
      <c r="D35" s="147" t="s">
        <v>46</v>
      </c>
      <c r="E35" s="209">
        <v>5000.0</v>
      </c>
      <c r="F35" s="209">
        <v>5121.7</v>
      </c>
      <c r="G35" s="51">
        <f t="shared" si="5"/>
        <v>121.7</v>
      </c>
      <c r="H35" s="290">
        <v>23.0</v>
      </c>
      <c r="I35" s="265">
        <f t="shared" si="6"/>
        <v>222.6826087</v>
      </c>
      <c r="J35" s="57">
        <v>8.0</v>
      </c>
      <c r="K35" s="57">
        <v>8.0</v>
      </c>
      <c r="L35" s="57">
        <f>13</f>
        <v>13</v>
      </c>
      <c r="M35" s="57">
        <f t="shared" si="7"/>
        <v>29</v>
      </c>
      <c r="N35" s="204">
        <v>27.0</v>
      </c>
      <c r="O35" s="204" t="s">
        <v>46</v>
      </c>
      <c r="P35" s="213">
        <v>5000.0</v>
      </c>
      <c r="Q35" s="213">
        <f>3091.05+2211.41-212.97</f>
        <v>5089.49</v>
      </c>
      <c r="R35" s="51">
        <f t="shared" si="8"/>
        <v>89.49</v>
      </c>
      <c r="S35" s="291">
        <v>27.0</v>
      </c>
      <c r="T35" s="291">
        <f t="shared" si="9"/>
        <v>188.4996296</v>
      </c>
      <c r="U35" s="57">
        <v>14.0</v>
      </c>
      <c r="V35" s="57">
        <f>1+8</f>
        <v>9</v>
      </c>
      <c r="W35" s="57">
        <v>15.0</v>
      </c>
      <c r="X35" s="57">
        <f t="shared" si="10"/>
        <v>38</v>
      </c>
      <c r="Z35" s="97">
        <f>AB35-AC35</f>
        <v>0.032772</v>
      </c>
      <c r="AA35" s="98"/>
      <c r="AB35" s="99">
        <f>AB34/AB18</f>
        <v>1.032772</v>
      </c>
      <c r="AC35" s="165">
        <f>31/31</f>
        <v>1</v>
      </c>
      <c r="AD35" s="100">
        <f>AD34/AD18</f>
        <v>1.0245935</v>
      </c>
      <c r="AE35" s="97">
        <f>AD35-AC35</f>
        <v>0.0245935</v>
      </c>
    </row>
    <row r="36" ht="15.75" customHeight="1">
      <c r="A36" s="8"/>
      <c r="B36" s="8"/>
      <c r="C36" s="147">
        <v>28.0</v>
      </c>
      <c r="D36" s="147" t="s">
        <v>40</v>
      </c>
      <c r="E36" s="209">
        <v>6000.0</v>
      </c>
      <c r="F36" s="209">
        <v>5458.5</v>
      </c>
      <c r="G36" s="51">
        <f t="shared" si="5"/>
        <v>-541.5</v>
      </c>
      <c r="H36" s="290">
        <v>21.0</v>
      </c>
      <c r="I36" s="265">
        <f t="shared" si="6"/>
        <v>259.9285714</v>
      </c>
      <c r="J36" s="57">
        <v>4.0</v>
      </c>
      <c r="K36" s="57">
        <f>3.5+11.5</f>
        <v>15</v>
      </c>
      <c r="L36" s="57">
        <v>9.0</v>
      </c>
      <c r="M36" s="57">
        <f t="shared" si="7"/>
        <v>28</v>
      </c>
      <c r="N36" s="204">
        <v>28.0</v>
      </c>
      <c r="O36" s="204" t="s">
        <v>40</v>
      </c>
      <c r="P36" s="213">
        <v>5500.0</v>
      </c>
      <c r="Q36" s="213">
        <f>2030.08+1670.05-215.99</f>
        <v>3484.14</v>
      </c>
      <c r="R36" s="51">
        <f t="shared" si="8"/>
        <v>-2015.86</v>
      </c>
      <c r="S36" s="291">
        <v>24.0</v>
      </c>
      <c r="T36" s="291">
        <f t="shared" si="9"/>
        <v>145.1725</v>
      </c>
      <c r="U36" s="57">
        <v>11.0</v>
      </c>
      <c r="V36" s="57">
        <f>1.5+13.5</f>
        <v>15</v>
      </c>
      <c r="W36" s="57">
        <v>3.0</v>
      </c>
      <c r="X36" s="57">
        <f t="shared" si="10"/>
        <v>29</v>
      </c>
      <c r="AA36" s="98" t="s">
        <v>76</v>
      </c>
      <c r="AB36" s="104">
        <f>AB18-AB34</f>
        <v>-11470.2</v>
      </c>
      <c r="AC36" s="99"/>
      <c r="AD36" s="106">
        <f>AD18-AD34</f>
        <v>-6886.18</v>
      </c>
    </row>
    <row r="37" ht="15.75" customHeight="1">
      <c r="A37" s="8"/>
      <c r="B37" s="8"/>
      <c r="C37" s="147">
        <v>29.0</v>
      </c>
      <c r="D37" s="147" t="s">
        <v>47</v>
      </c>
      <c r="E37" s="209">
        <v>7000.0</v>
      </c>
      <c r="F37" s="209">
        <v>6326.3</v>
      </c>
      <c r="G37" s="51">
        <f t="shared" si="5"/>
        <v>-673.7</v>
      </c>
      <c r="H37" s="290">
        <v>23.0</v>
      </c>
      <c r="I37" s="265">
        <f t="shared" si="6"/>
        <v>275.0565217</v>
      </c>
      <c r="J37" s="57">
        <v>7.0</v>
      </c>
      <c r="K37" s="57">
        <f>3.5+12.5</f>
        <v>16</v>
      </c>
      <c r="L37" s="57">
        <v>9.0</v>
      </c>
      <c r="M37" s="57">
        <f t="shared" si="7"/>
        <v>32</v>
      </c>
      <c r="N37" s="204">
        <v>29.0</v>
      </c>
      <c r="O37" s="204" t="s">
        <v>47</v>
      </c>
      <c r="P37" s="213">
        <v>6500.0</v>
      </c>
      <c r="Q37" s="213">
        <f>3858.58+2449.35-353.98</f>
        <v>5953.95</v>
      </c>
      <c r="R37" s="51">
        <f t="shared" si="8"/>
        <v>-546.05</v>
      </c>
      <c r="S37" s="291">
        <v>38.0</v>
      </c>
      <c r="T37" s="291">
        <f t="shared" si="9"/>
        <v>156.6828947</v>
      </c>
      <c r="U37" s="57">
        <v>4.0</v>
      </c>
      <c r="V37" s="57">
        <f>5.5+27.5</f>
        <v>33</v>
      </c>
      <c r="W37" s="57">
        <v>9.0</v>
      </c>
      <c r="X37" s="57">
        <f t="shared" si="10"/>
        <v>46</v>
      </c>
      <c r="AA37" s="110"/>
      <c r="AB37" s="112">
        <f>AB36/AB18</f>
        <v>-0.032772</v>
      </c>
      <c r="AC37" s="112"/>
      <c r="AD37" s="113">
        <f>AD36/AD18</f>
        <v>-0.0245935</v>
      </c>
    </row>
    <row r="38" ht="15.75" customHeight="1">
      <c r="A38" s="8"/>
      <c r="B38" s="8"/>
      <c r="C38" s="147">
        <v>30.0</v>
      </c>
      <c r="D38" s="147" t="s">
        <v>205</v>
      </c>
      <c r="E38" s="209">
        <v>12000.0</v>
      </c>
      <c r="F38" s="209">
        <f>19482.46-224</f>
        <v>19258.46</v>
      </c>
      <c r="G38" s="51">
        <f t="shared" si="5"/>
        <v>7258.46</v>
      </c>
      <c r="H38" s="290">
        <v>72.0</v>
      </c>
      <c r="I38" s="265">
        <f t="shared" si="6"/>
        <v>267.4786111</v>
      </c>
      <c r="J38" s="57">
        <v>20.0</v>
      </c>
      <c r="K38" s="57">
        <f>6+20</f>
        <v>26</v>
      </c>
      <c r="L38" s="57">
        <v>54.0</v>
      </c>
      <c r="M38" s="57">
        <f t="shared" si="7"/>
        <v>100</v>
      </c>
      <c r="N38" s="204">
        <v>30.0</v>
      </c>
      <c r="O38" s="204" t="s">
        <v>205</v>
      </c>
      <c r="P38" s="213">
        <v>8000.0</v>
      </c>
      <c r="Q38" s="213">
        <f>6360.07+3458.31-421.96</f>
        <v>9396.42</v>
      </c>
      <c r="R38" s="51">
        <f t="shared" si="8"/>
        <v>1396.42</v>
      </c>
      <c r="S38" s="291">
        <v>56.0</v>
      </c>
      <c r="T38" s="291">
        <f t="shared" si="9"/>
        <v>167.7932143</v>
      </c>
      <c r="U38" s="57">
        <v>12.0</v>
      </c>
      <c r="V38" s="57">
        <f>11.5+38.5</f>
        <v>50</v>
      </c>
      <c r="W38" s="57">
        <v>15.0</v>
      </c>
      <c r="X38" s="57">
        <f t="shared" si="10"/>
        <v>77</v>
      </c>
      <c r="AC38" s="112"/>
    </row>
    <row r="39" ht="15.75" customHeight="1">
      <c r="A39" s="8"/>
      <c r="B39" s="8"/>
      <c r="C39" s="147">
        <v>31.0</v>
      </c>
      <c r="D39" s="147" t="s">
        <v>171</v>
      </c>
      <c r="E39" s="209">
        <v>20000.0</v>
      </c>
      <c r="F39" s="209">
        <v>13407.9</v>
      </c>
      <c r="G39" s="51">
        <f t="shared" si="5"/>
        <v>-6592.1</v>
      </c>
      <c r="H39" s="57">
        <v>58.0</v>
      </c>
      <c r="I39" s="265">
        <f t="shared" si="6"/>
        <v>231.1706897</v>
      </c>
      <c r="J39" s="57">
        <v>11.0</v>
      </c>
      <c r="K39" s="57">
        <f>4+34</f>
        <v>38</v>
      </c>
      <c r="L39" s="57">
        <v>26.0</v>
      </c>
      <c r="M39" s="57">
        <f t="shared" si="7"/>
        <v>75</v>
      </c>
      <c r="N39" s="204">
        <v>31.0</v>
      </c>
      <c r="O39" s="204" t="s">
        <v>171</v>
      </c>
      <c r="P39" s="213">
        <v>13000.0</v>
      </c>
      <c r="Q39" s="213">
        <f>7658.08+491+4973.28-855.99</f>
        <v>12266.37</v>
      </c>
      <c r="R39" s="51">
        <f t="shared" si="8"/>
        <v>-733.63</v>
      </c>
      <c r="S39" s="291">
        <v>82.0</v>
      </c>
      <c r="T39" s="291">
        <f t="shared" si="9"/>
        <v>149.589878</v>
      </c>
      <c r="U39" s="57">
        <v>35.0</v>
      </c>
      <c r="V39" s="57">
        <f>7+32</f>
        <v>39</v>
      </c>
      <c r="W39" s="57">
        <v>31.0</v>
      </c>
      <c r="X39" s="57">
        <f t="shared" si="10"/>
        <v>105</v>
      </c>
    </row>
    <row r="40" ht="15.75" customHeight="1">
      <c r="A40" s="8"/>
      <c r="B40" s="8"/>
      <c r="C40" s="218"/>
      <c r="D40" s="218"/>
      <c r="E40" s="219">
        <f t="shared" ref="E40:G40" si="15">SUM(E9:E39)</f>
        <v>351956.8</v>
      </c>
      <c r="F40" s="219">
        <f t="shared" si="15"/>
        <v>361470.2</v>
      </c>
      <c r="G40" s="105">
        <f t="shared" si="15"/>
        <v>9513.4</v>
      </c>
      <c r="H40" s="105"/>
      <c r="I40" s="105"/>
      <c r="J40" s="105">
        <f t="shared" ref="J40:M40" si="16">SUM(J9:J39)</f>
        <v>326</v>
      </c>
      <c r="K40" s="105">
        <f t="shared" si="16"/>
        <v>818</v>
      </c>
      <c r="L40" s="105">
        <f t="shared" si="16"/>
        <v>830</v>
      </c>
      <c r="M40" s="105">
        <f t="shared" si="16"/>
        <v>1974</v>
      </c>
      <c r="N40" s="286"/>
      <c r="O40" s="287"/>
      <c r="P40" s="222">
        <f>SUM(P9:P39)</f>
        <v>281407.05</v>
      </c>
      <c r="Q40" s="222">
        <f>SUM(Q9:Q39)-12-24</f>
        <v>286886.18</v>
      </c>
      <c r="R40" s="105">
        <f t="shared" ref="R40:S40" si="17">SUM(R9:R39)</f>
        <v>5515.13</v>
      </c>
      <c r="S40" s="223">
        <f t="shared" si="17"/>
        <v>1807</v>
      </c>
      <c r="T40" s="223"/>
      <c r="U40" s="223">
        <f t="shared" ref="U40:X40" si="18">SUM(U9:U39)</f>
        <v>512</v>
      </c>
      <c r="V40" s="223">
        <f t="shared" si="18"/>
        <v>1279</v>
      </c>
      <c r="W40" s="223">
        <f t="shared" si="18"/>
        <v>459</v>
      </c>
      <c r="X40" s="223">
        <f t="shared" si="18"/>
        <v>2250</v>
      </c>
      <c r="Y40" s="61"/>
      <c r="AD40" s="61"/>
    </row>
    <row r="41" ht="15.75" customHeight="1">
      <c r="D41" s="61"/>
      <c r="E41" s="61"/>
      <c r="F41" s="225"/>
      <c r="G41" s="114"/>
      <c r="H41" s="226"/>
      <c r="I41" s="226"/>
      <c r="N41" s="61"/>
      <c r="P41" s="61"/>
      <c r="Q41" s="275"/>
      <c r="R41" s="114"/>
      <c r="S41" s="199"/>
      <c r="T41" s="199"/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199"/>
    </row>
    <row r="43" ht="15.75" customHeight="1">
      <c r="A43" s="2"/>
      <c r="B43" s="2"/>
      <c r="C43" s="2"/>
      <c r="D43" s="2"/>
      <c r="E43" s="174" t="s">
        <v>77</v>
      </c>
      <c r="F43" s="118">
        <f>E40+G40</f>
        <v>361470.2</v>
      </c>
      <c r="P43" s="115" t="s">
        <v>77</v>
      </c>
      <c r="Q43" s="118">
        <f>P40+R40</f>
        <v>286922.18</v>
      </c>
      <c r="S43" s="199"/>
      <c r="T43" s="199"/>
    </row>
    <row r="44" ht="15.75" customHeight="1">
      <c r="A44" s="2"/>
      <c r="B44" s="2"/>
      <c r="C44" s="122" t="s">
        <v>29</v>
      </c>
      <c r="D44" s="124">
        <v>350000.0</v>
      </c>
      <c r="E44" s="75"/>
      <c r="F44" s="2"/>
      <c r="N44" s="126" t="s">
        <v>29</v>
      </c>
      <c r="O44" s="124">
        <v>280000.0</v>
      </c>
      <c r="P44" s="2"/>
      <c r="Q44" s="2"/>
      <c r="S44" s="199"/>
      <c r="T44" s="199"/>
    </row>
    <row r="45" ht="15.75" customHeight="1">
      <c r="A45" s="61"/>
      <c r="B45" s="61"/>
      <c r="C45" s="61"/>
      <c r="D45" s="175"/>
      <c r="E45" s="61"/>
      <c r="F45" s="61"/>
      <c r="G45" s="58" t="s">
        <v>219</v>
      </c>
      <c r="N45" s="175"/>
      <c r="O45" s="61"/>
      <c r="S45" s="199"/>
      <c r="T45" s="199"/>
      <c r="Z45" s="61"/>
      <c r="AA45" s="340" t="s">
        <v>266</v>
      </c>
      <c r="AB45" s="294" t="s">
        <v>267</v>
      </c>
      <c r="AC45" s="166" t="s">
        <v>268</v>
      </c>
      <c r="AD45" s="296" t="s">
        <v>269</v>
      </c>
    </row>
    <row r="46" ht="15.75" customHeight="1">
      <c r="A46" s="61"/>
      <c r="B46" s="61"/>
      <c r="C46" s="61"/>
      <c r="E46" s="61" t="s">
        <v>221</v>
      </c>
      <c r="F46" s="61">
        <v>350000.0</v>
      </c>
      <c r="G46" s="61">
        <f>F46*0.008</f>
        <v>2800</v>
      </c>
      <c r="H46" s="61"/>
      <c r="I46" s="61"/>
      <c r="O46" s="61"/>
      <c r="S46" s="199"/>
      <c r="T46" s="199"/>
      <c r="Z46" s="342"/>
      <c r="AA46" s="343">
        <f>Q40</f>
        <v>286886.18</v>
      </c>
      <c r="AB46" s="343">
        <f>AA46*0.005</f>
        <v>1434.4309</v>
      </c>
      <c r="AC46" s="344">
        <f>AB46*50%</f>
        <v>717.21545</v>
      </c>
      <c r="AD46" s="345">
        <f>AB46*50%</f>
        <v>717.21545</v>
      </c>
    </row>
    <row r="47" ht="15.75" customHeight="1">
      <c r="A47" s="61"/>
      <c r="B47" s="61"/>
      <c r="C47" s="61"/>
      <c r="E47" s="58" t="s">
        <v>222</v>
      </c>
      <c r="F47" s="61"/>
      <c r="N47" s="61"/>
      <c r="S47" s="199"/>
      <c r="T47" s="199"/>
      <c r="AA47" s="229"/>
      <c r="AB47" s="57"/>
      <c r="AC47" s="57"/>
      <c r="AD47" s="57"/>
    </row>
    <row r="48" ht="15.75" customHeight="1">
      <c r="A48" s="61"/>
      <c r="B48" s="61"/>
      <c r="C48" s="61"/>
      <c r="E48" s="58" t="s">
        <v>226</v>
      </c>
      <c r="F48" s="61">
        <f t="shared" ref="F48:F53" si="19">F$46*G48</f>
        <v>49245</v>
      </c>
      <c r="G48" s="64">
        <v>0.1407</v>
      </c>
      <c r="H48" s="61"/>
      <c r="I48" s="61"/>
      <c r="N48" s="121"/>
      <c r="S48" s="199"/>
      <c r="T48" s="199"/>
      <c r="AA48" s="344">
        <f>AC46*40%</f>
        <v>286.88618</v>
      </c>
      <c r="AB48" s="166" t="s">
        <v>270</v>
      </c>
      <c r="AC48" s="229"/>
      <c r="AD48" s="57"/>
    </row>
    <row r="49" ht="15.75" customHeight="1">
      <c r="A49" s="61"/>
      <c r="B49" s="61"/>
      <c r="C49" s="61"/>
      <c r="E49" s="58" t="s">
        <v>227</v>
      </c>
      <c r="F49" s="61">
        <f t="shared" si="19"/>
        <v>53690</v>
      </c>
      <c r="G49" s="64">
        <v>0.1534</v>
      </c>
      <c r="H49" s="61"/>
      <c r="I49" s="61"/>
      <c r="S49" s="199"/>
      <c r="T49" s="199"/>
      <c r="AA49" s="344">
        <f>AC46*40%</f>
        <v>286.88618</v>
      </c>
      <c r="AB49" s="166" t="s">
        <v>271</v>
      </c>
      <c r="AC49" s="229"/>
      <c r="AD49" s="57"/>
    </row>
    <row r="50" ht="15.75" customHeight="1">
      <c r="A50" s="61"/>
      <c r="B50" s="61"/>
      <c r="C50" s="61"/>
      <c r="E50" s="58" t="s">
        <v>228</v>
      </c>
      <c r="F50" s="61">
        <f t="shared" si="19"/>
        <v>59850</v>
      </c>
      <c r="G50" s="64">
        <v>0.171</v>
      </c>
      <c r="H50" s="61"/>
      <c r="I50" s="61"/>
      <c r="S50" s="199"/>
      <c r="T50" s="199"/>
      <c r="AA50" s="344"/>
      <c r="AB50" s="166" t="s">
        <v>272</v>
      </c>
      <c r="AC50" s="279"/>
      <c r="AD50" s="279"/>
    </row>
    <row r="51" ht="15.75" customHeight="1">
      <c r="A51" s="61"/>
      <c r="B51" s="61"/>
      <c r="C51" s="61"/>
      <c r="E51" s="58" t="s">
        <v>229</v>
      </c>
      <c r="F51" s="61">
        <f t="shared" si="19"/>
        <v>52640</v>
      </c>
      <c r="G51" s="64">
        <v>0.1504</v>
      </c>
      <c r="H51" s="61"/>
      <c r="I51" s="61"/>
      <c r="S51" s="199"/>
      <c r="T51" s="199"/>
      <c r="AA51" s="346"/>
      <c r="AB51" s="279"/>
      <c r="AC51" s="229"/>
      <c r="AD51" s="57"/>
    </row>
    <row r="52" ht="15.75" customHeight="1">
      <c r="A52" s="61"/>
      <c r="B52" s="61"/>
      <c r="C52" s="61"/>
      <c r="E52" s="58" t="s">
        <v>230</v>
      </c>
      <c r="F52" s="61">
        <f t="shared" si="19"/>
        <v>53795</v>
      </c>
      <c r="G52" s="64">
        <v>0.1537</v>
      </c>
      <c r="H52" s="61"/>
      <c r="I52" s="61"/>
      <c r="S52" s="199"/>
      <c r="T52" s="199"/>
      <c r="AA52" s="345">
        <f>AD46*50%</f>
        <v>358.607725</v>
      </c>
      <c r="AB52" s="296" t="s">
        <v>273</v>
      </c>
      <c r="AC52" s="229"/>
      <c r="AD52" s="57"/>
    </row>
    <row r="53" ht="15.75" customHeight="1">
      <c r="A53" s="61"/>
      <c r="B53" s="61"/>
      <c r="C53" s="61"/>
      <c r="E53" s="58" t="s">
        <v>231</v>
      </c>
      <c r="F53" s="61">
        <f t="shared" si="19"/>
        <v>50785</v>
      </c>
      <c r="G53" s="64">
        <v>0.1451</v>
      </c>
      <c r="H53" s="61"/>
      <c r="I53" s="61"/>
      <c r="S53" s="199"/>
      <c r="T53" s="199"/>
      <c r="AA53" s="345">
        <f>AD46*50%</f>
        <v>358.607725</v>
      </c>
      <c r="AB53" s="296" t="s">
        <v>274</v>
      </c>
      <c r="AC53" s="229"/>
      <c r="AD53" s="57"/>
    </row>
    <row r="54" ht="15.75" customHeight="1">
      <c r="A54" s="61"/>
      <c r="B54" s="61"/>
      <c r="C54" s="61"/>
      <c r="F54" s="61"/>
      <c r="S54" s="199"/>
      <c r="T54" s="199"/>
      <c r="AA54" s="61"/>
    </row>
    <row r="55" ht="15.75" customHeight="1">
      <c r="A55" s="61"/>
      <c r="B55" s="61"/>
      <c r="C55" s="61"/>
      <c r="E55" s="58" t="s">
        <v>232</v>
      </c>
      <c r="F55" s="61" t="str">
        <f>#REF!*50%</f>
        <v>#REF!</v>
      </c>
      <c r="S55" s="199"/>
      <c r="T55" s="199"/>
      <c r="Z55" s="66"/>
      <c r="AA55" s="347"/>
    </row>
    <row r="56" ht="15.75" customHeight="1">
      <c r="A56" s="61"/>
      <c r="B56" s="61"/>
      <c r="C56" s="61"/>
      <c r="E56" s="58" t="s">
        <v>233</v>
      </c>
      <c r="F56" s="61" t="str">
        <f>#REF!*30%</f>
        <v>#REF!</v>
      </c>
      <c r="S56" s="199"/>
      <c r="T56" s="199"/>
      <c r="AA56" s="61"/>
    </row>
    <row r="57" ht="15.75" customHeight="1">
      <c r="A57" s="61"/>
      <c r="B57" s="61"/>
      <c r="C57" s="61"/>
      <c r="E57" s="58" t="s">
        <v>235</v>
      </c>
      <c r="F57" s="61" t="str">
        <f>#REF!*20%</f>
        <v>#REF!</v>
      </c>
      <c r="S57" s="199"/>
      <c r="T57" s="199"/>
      <c r="AA57" s="61"/>
    </row>
    <row r="58" ht="15.75" customHeight="1">
      <c r="A58" s="61"/>
      <c r="B58" s="61"/>
      <c r="C58" s="61"/>
      <c r="F58" s="61"/>
      <c r="S58" s="199"/>
      <c r="T58" s="199"/>
    </row>
    <row r="59" ht="15.75" customHeight="1">
      <c r="A59" s="61"/>
      <c r="B59" s="61"/>
      <c r="C59" s="61"/>
      <c r="E59" s="61"/>
      <c r="F59" s="61"/>
      <c r="G59" s="58" t="s">
        <v>219</v>
      </c>
      <c r="S59" s="199"/>
      <c r="T59" s="199"/>
    </row>
    <row r="60" ht="15.75" customHeight="1">
      <c r="A60" s="61"/>
      <c r="B60" s="61"/>
      <c r="C60" s="61"/>
      <c r="E60" s="61" t="s">
        <v>221</v>
      </c>
      <c r="F60" s="61">
        <f>D44</f>
        <v>350000</v>
      </c>
      <c r="G60" s="61">
        <f>F60*0.008</f>
        <v>2800</v>
      </c>
      <c r="H60" s="348"/>
      <c r="I60" s="348"/>
      <c r="S60" s="199"/>
      <c r="T60" s="199"/>
    </row>
    <row r="61" ht="15.75" customHeight="1">
      <c r="A61" s="61"/>
      <c r="B61" s="61"/>
      <c r="C61" s="61"/>
      <c r="E61" s="173" t="s">
        <v>275</v>
      </c>
      <c r="F61" s="104">
        <f>F60*15%</f>
        <v>52500</v>
      </c>
      <c r="S61" s="199"/>
      <c r="T61" s="199"/>
    </row>
    <row r="62" ht="15.75" customHeight="1">
      <c r="A62" s="61"/>
      <c r="B62" s="61"/>
      <c r="C62" s="61"/>
      <c r="E62" s="58" t="s">
        <v>226</v>
      </c>
      <c r="F62" s="61">
        <v>51000.0</v>
      </c>
      <c r="G62" s="66">
        <f t="shared" ref="G62:G67" si="20">F62/F$60</f>
        <v>0.1457142857</v>
      </c>
      <c r="H62" s="61"/>
      <c r="I62" s="61"/>
      <c r="S62" s="199"/>
      <c r="T62" s="199"/>
    </row>
    <row r="63" ht="15.75" customHeight="1">
      <c r="A63" s="61"/>
      <c r="B63" s="61"/>
      <c r="C63" s="61"/>
      <c r="E63" s="58" t="s">
        <v>227</v>
      </c>
      <c r="F63" s="61">
        <v>60000.0</v>
      </c>
      <c r="G63" s="66">
        <f t="shared" si="20"/>
        <v>0.1714285714</v>
      </c>
      <c r="H63" s="61"/>
      <c r="I63" s="61"/>
      <c r="S63" s="199"/>
      <c r="T63" s="199"/>
    </row>
    <row r="64" ht="15.75" customHeight="1">
      <c r="A64" s="61"/>
      <c r="B64" s="61"/>
      <c r="C64" s="61"/>
      <c r="E64" s="58" t="s">
        <v>228</v>
      </c>
      <c r="F64" s="61">
        <v>63000.0</v>
      </c>
      <c r="G64" s="66">
        <f t="shared" si="20"/>
        <v>0.18</v>
      </c>
      <c r="H64" s="61"/>
      <c r="I64" s="61"/>
      <c r="S64" s="199"/>
      <c r="T64" s="199"/>
    </row>
    <row r="65" ht="15.75" customHeight="1">
      <c r="A65" s="61"/>
      <c r="B65" s="61"/>
      <c r="C65" s="61"/>
      <c r="E65" s="58" t="s">
        <v>229</v>
      </c>
      <c r="F65" s="61">
        <v>58000.0</v>
      </c>
      <c r="G65" s="66">
        <f t="shared" si="20"/>
        <v>0.1657142857</v>
      </c>
      <c r="H65" s="61"/>
      <c r="I65" s="61"/>
      <c r="S65" s="199"/>
      <c r="T65" s="199"/>
    </row>
    <row r="66" ht="15.75" customHeight="1">
      <c r="A66" s="61"/>
      <c r="B66" s="61"/>
      <c r="C66" s="61"/>
      <c r="E66" s="58" t="s">
        <v>230</v>
      </c>
      <c r="F66" s="61">
        <v>57000.0</v>
      </c>
      <c r="G66" s="66">
        <f t="shared" si="20"/>
        <v>0.1628571429</v>
      </c>
      <c r="H66" s="61"/>
      <c r="I66" s="61"/>
      <c r="S66" s="199"/>
      <c r="T66" s="199"/>
    </row>
    <row r="67" ht="15.75" customHeight="1">
      <c r="A67" s="61"/>
      <c r="B67" s="61"/>
      <c r="C67" s="61"/>
      <c r="E67" s="58" t="s">
        <v>231</v>
      </c>
      <c r="F67" s="61">
        <v>61000.0</v>
      </c>
      <c r="G67" s="66">
        <f t="shared" si="20"/>
        <v>0.1742857143</v>
      </c>
      <c r="H67" s="61"/>
      <c r="I67" s="61"/>
      <c r="S67" s="199"/>
      <c r="T67" s="199"/>
    </row>
    <row r="68" ht="15.75" customHeight="1">
      <c r="A68" s="61"/>
      <c r="B68" s="61"/>
      <c r="C68" s="61"/>
      <c r="F68" s="61"/>
      <c r="G68" s="66"/>
      <c r="H68" s="61"/>
      <c r="I68" s="61"/>
      <c r="S68" s="199"/>
      <c r="T68" s="199"/>
    </row>
    <row r="69" ht="15.75" customHeight="1">
      <c r="A69" s="61"/>
      <c r="B69" s="61"/>
      <c r="C69" s="61"/>
      <c r="E69" s="58" t="s">
        <v>276</v>
      </c>
      <c r="F69" s="61">
        <v>60.0</v>
      </c>
      <c r="G69" s="66"/>
      <c r="H69" s="61"/>
      <c r="I69" s="61"/>
      <c r="S69" s="199"/>
      <c r="T69" s="199"/>
    </row>
    <row r="70" ht="15.75" customHeight="1">
      <c r="A70" s="61"/>
      <c r="B70" s="61"/>
      <c r="C70" s="61"/>
      <c r="E70" s="58" t="s">
        <v>232</v>
      </c>
      <c r="F70" s="61" t="str">
        <f>#REF!*50%</f>
        <v>#REF!</v>
      </c>
      <c r="S70" s="199"/>
      <c r="T70" s="199"/>
    </row>
    <row r="71" ht="15.75" customHeight="1">
      <c r="A71" s="61"/>
      <c r="B71" s="61"/>
      <c r="C71" s="61"/>
      <c r="E71" s="58" t="s">
        <v>233</v>
      </c>
      <c r="F71" s="61" t="str">
        <f>#REF!*35%</f>
        <v>#REF!</v>
      </c>
      <c r="S71" s="199"/>
      <c r="T71" s="199"/>
    </row>
    <row r="72" ht="15.75" customHeight="1">
      <c r="A72" s="61"/>
      <c r="B72" s="61"/>
      <c r="C72" s="61"/>
      <c r="E72" s="58" t="s">
        <v>277</v>
      </c>
      <c r="F72" s="61" t="str">
        <f>#REF!*15%</f>
        <v>#REF!</v>
      </c>
      <c r="S72" s="199"/>
      <c r="T72" s="199"/>
    </row>
    <row r="73" ht="15.75" customHeight="1">
      <c r="E73" s="61"/>
      <c r="H73" s="61"/>
      <c r="I73" s="61"/>
      <c r="S73" s="199"/>
      <c r="T73" s="199"/>
    </row>
  </sheetData>
  <mergeCells count="8">
    <mergeCell ref="C4:M6"/>
    <mergeCell ref="N4:X6"/>
    <mergeCell ref="Z5:AA5"/>
    <mergeCell ref="AC5:AD5"/>
    <mergeCell ref="AG5:AH5"/>
    <mergeCell ref="AJ5:AK5"/>
    <mergeCell ref="C7:M7"/>
    <mergeCell ref="N7:X7"/>
  </mergeCells>
  <conditionalFormatting sqref="G9:G40 H40:M40">
    <cfRule type="cellIs" dxfId="0" priority="1" operator="greaterThanOrEqual">
      <formula>0</formula>
    </cfRule>
  </conditionalFormatting>
  <conditionalFormatting sqref="G9:G40 H40:M40">
    <cfRule type="cellIs" dxfId="1" priority="2" operator="lessThan">
      <formula>0</formula>
    </cfRule>
  </conditionalFormatting>
  <conditionalFormatting sqref="G9:G40 H40:M40">
    <cfRule type="cellIs" dxfId="2" priority="3" operator="lessThan">
      <formula>0</formula>
    </cfRule>
  </conditionalFormatting>
  <conditionalFormatting sqref="R9:R40">
    <cfRule type="cellIs" dxfId="0" priority="4" operator="greaterThanOrEqual">
      <formula>0</formula>
    </cfRule>
  </conditionalFormatting>
  <conditionalFormatting sqref="R9:R40">
    <cfRule type="cellIs" dxfId="1" priority="5" operator="lessThan">
      <formula>0</formula>
    </cfRule>
  </conditionalFormatting>
  <conditionalFormatting sqref="R9:R40">
    <cfRule type="cellIs" dxfId="2" priority="6" operator="lessThan">
      <formula>0</formula>
    </cfRule>
  </conditionalFormatting>
  <conditionalFormatting sqref="S40:X40">
    <cfRule type="cellIs" dxfId="0" priority="7" operator="greaterThanOrEqual">
      <formula>0</formula>
    </cfRule>
  </conditionalFormatting>
  <conditionalFormatting sqref="S40:X40">
    <cfRule type="cellIs" dxfId="1" priority="8" operator="lessThan">
      <formula>0</formula>
    </cfRule>
  </conditionalFormatting>
  <conditionalFormatting sqref="S40:X40">
    <cfRule type="cellIs" dxfId="2" priority="9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0.33"/>
    <col customWidth="1" min="5" max="5" width="15.0"/>
    <col customWidth="1" min="6" max="6" width="10.56"/>
    <col customWidth="1" min="7" max="7" width="14.0"/>
    <col customWidth="1" min="8" max="8" width="11.67"/>
    <col customWidth="1" min="9" max="11" width="14.44"/>
    <col customWidth="1" min="12" max="26" width="10.56"/>
  </cols>
  <sheetData>
    <row r="1" ht="15.75" customHeight="1"/>
    <row r="2" ht="15.75" customHeight="1"/>
    <row r="3" ht="15.75" customHeight="1"/>
    <row r="4" ht="15.75" customHeight="1"/>
    <row r="5" ht="15.75" customHeight="1">
      <c r="C5" s="61"/>
      <c r="D5" s="58" t="s">
        <v>219</v>
      </c>
      <c r="F5" s="58" t="s">
        <v>220</v>
      </c>
    </row>
    <row r="6" ht="15.75" customHeight="1">
      <c r="C6" s="61" t="s">
        <v>221</v>
      </c>
      <c r="D6" s="61" t="str">
        <f>#REF!*0.008</f>
        <v>#REF!</v>
      </c>
      <c r="E6" s="61"/>
      <c r="F6" s="61" t="str">
        <f>D6*30%</f>
        <v>#REF!</v>
      </c>
    </row>
    <row r="7" ht="15.75" customHeight="1">
      <c r="C7" s="58" t="s">
        <v>222</v>
      </c>
      <c r="H7" s="58" t="s">
        <v>222</v>
      </c>
      <c r="I7" s="58" t="s">
        <v>223</v>
      </c>
      <c r="J7" s="58" t="s">
        <v>224</v>
      </c>
      <c r="K7" s="58" t="s">
        <v>225</v>
      </c>
    </row>
    <row r="8" ht="15.75" customHeight="1">
      <c r="C8" s="58" t="s">
        <v>226</v>
      </c>
      <c r="D8" s="64">
        <v>0.1407</v>
      </c>
      <c r="E8" s="64"/>
      <c r="H8" s="58" t="s">
        <v>226</v>
      </c>
      <c r="I8" s="61">
        <v>49245.0</v>
      </c>
      <c r="J8" s="61">
        <v>26059.5</v>
      </c>
      <c r="K8" s="61">
        <f t="shared" ref="K8:K13" si="1">I8-J8</f>
        <v>23185.5</v>
      </c>
    </row>
    <row r="9" ht="15.75" customHeight="1">
      <c r="C9" s="58" t="s">
        <v>227</v>
      </c>
      <c r="D9" s="64">
        <v>0.1534</v>
      </c>
      <c r="E9" s="64"/>
      <c r="H9" s="58" t="s">
        <v>227</v>
      </c>
      <c r="I9" s="61">
        <v>53690.0</v>
      </c>
      <c r="J9" s="61">
        <v>32180.5</v>
      </c>
      <c r="K9" s="61">
        <f t="shared" si="1"/>
        <v>21509.5</v>
      </c>
    </row>
    <row r="10" ht="15.75" customHeight="1">
      <c r="C10" s="58" t="s">
        <v>228</v>
      </c>
      <c r="D10" s="64">
        <v>0.171</v>
      </c>
      <c r="E10" s="64"/>
      <c r="H10" s="58" t="s">
        <v>228</v>
      </c>
      <c r="I10" s="61">
        <v>59850.00000000001</v>
      </c>
      <c r="J10" s="61">
        <v>31832.0</v>
      </c>
      <c r="K10" s="61">
        <f t="shared" si="1"/>
        <v>28018</v>
      </c>
    </row>
    <row r="11" ht="15.75" customHeight="1">
      <c r="C11" s="58" t="s">
        <v>229</v>
      </c>
      <c r="D11" s="64">
        <v>0.1504</v>
      </c>
      <c r="E11" s="64"/>
      <c r="H11" s="58" t="s">
        <v>229</v>
      </c>
      <c r="I11" s="61">
        <v>52640.0</v>
      </c>
      <c r="J11" s="61">
        <v>28486.0</v>
      </c>
      <c r="K11" s="61">
        <f t="shared" si="1"/>
        <v>24154</v>
      </c>
    </row>
    <row r="12" ht="15.75" customHeight="1">
      <c r="C12" s="58" t="s">
        <v>230</v>
      </c>
      <c r="D12" s="64">
        <v>0.1537</v>
      </c>
      <c r="E12" s="64"/>
      <c r="H12" s="58" t="s">
        <v>230</v>
      </c>
      <c r="I12" s="61">
        <v>53795.0</v>
      </c>
      <c r="J12" s="61">
        <v>21957.5</v>
      </c>
      <c r="K12" s="61">
        <f t="shared" si="1"/>
        <v>31837.5</v>
      </c>
    </row>
    <row r="13" ht="15.75" customHeight="1">
      <c r="C13" s="58" t="s">
        <v>231</v>
      </c>
      <c r="D13" s="64">
        <v>0.1451</v>
      </c>
      <c r="E13" s="64"/>
      <c r="H13" s="58" t="s">
        <v>231</v>
      </c>
      <c r="I13" s="61">
        <v>50785.0</v>
      </c>
      <c r="J13" s="61">
        <v>25558.5</v>
      </c>
      <c r="K13" s="61">
        <f t="shared" si="1"/>
        <v>25226.5</v>
      </c>
    </row>
    <row r="14" ht="15.75" customHeight="1">
      <c r="I14" s="61">
        <f>SUM(I8:I13)</f>
        <v>320005</v>
      </c>
    </row>
    <row r="15" ht="15.75" customHeight="1">
      <c r="C15" s="58" t="s">
        <v>232</v>
      </c>
    </row>
    <row r="16" ht="15.75" customHeight="1">
      <c r="C16" s="58" t="s">
        <v>233</v>
      </c>
      <c r="I16" s="58" t="s">
        <v>234</v>
      </c>
      <c r="J16" s="58" t="s">
        <v>224</v>
      </c>
      <c r="K16" s="58" t="s">
        <v>225</v>
      </c>
    </row>
    <row r="17" ht="15.75" customHeight="1">
      <c r="C17" s="58" t="s">
        <v>235</v>
      </c>
      <c r="I17" s="61">
        <v>350000.0</v>
      </c>
      <c r="J17" s="61"/>
      <c r="K17" s="61"/>
    </row>
    <row r="18" ht="15.75" customHeight="1"/>
    <row r="19" ht="15.75" customHeight="1">
      <c r="C19" s="61"/>
      <c r="E19" s="293" t="s">
        <v>236</v>
      </c>
      <c r="G19" s="294" t="s">
        <v>237</v>
      </c>
      <c r="H19" s="294" t="s">
        <v>238</v>
      </c>
      <c r="I19" s="295" t="s">
        <v>239</v>
      </c>
      <c r="J19" s="166" t="s">
        <v>240</v>
      </c>
      <c r="K19" s="296" t="s">
        <v>241</v>
      </c>
    </row>
    <row r="20" ht="15.75" customHeight="1">
      <c r="C20" s="61"/>
      <c r="D20" s="61"/>
      <c r="E20" s="297">
        <v>0.15</v>
      </c>
      <c r="F20" s="61"/>
      <c r="G20" s="298">
        <v>361470.0</v>
      </c>
      <c r="H20" s="298">
        <v>2890.0</v>
      </c>
      <c r="I20" s="299">
        <v>90.0</v>
      </c>
      <c r="J20" s="300">
        <v>1933.0</v>
      </c>
      <c r="K20" s="301">
        <f>H20*30%</f>
        <v>867</v>
      </c>
    </row>
    <row r="21" ht="15.75" customHeight="1">
      <c r="B21" s="302" t="s">
        <v>242</v>
      </c>
      <c r="C21" s="303" t="s">
        <v>222</v>
      </c>
      <c r="D21" s="304" t="s">
        <v>243</v>
      </c>
      <c r="E21" s="305"/>
      <c r="G21" s="57"/>
      <c r="H21" s="57"/>
      <c r="I21" s="57"/>
    </row>
    <row r="22" ht="15.75" customHeight="1">
      <c r="B22" s="306" t="s">
        <v>244</v>
      </c>
      <c r="C22" s="57" t="s">
        <v>226</v>
      </c>
      <c r="D22" s="229">
        <f>55006.5-133-196.35-151.95-6.5-74.43-67.8+46.88-12.1</f>
        <v>54411.25</v>
      </c>
      <c r="E22" s="307">
        <f t="shared" ref="E22:E27" si="2">D22/350000</f>
        <v>0.1554607143</v>
      </c>
      <c r="G22" s="308">
        <f>D22/361470</f>
        <v>0.1505277063</v>
      </c>
      <c r="H22" s="309">
        <f t="shared" ref="H22:H27" si="3">1933*G22</f>
        <v>290.9700563</v>
      </c>
      <c r="I22" s="166" t="s">
        <v>226</v>
      </c>
    </row>
    <row r="23" ht="15.75" customHeight="1">
      <c r="B23" s="310" t="s">
        <v>245</v>
      </c>
      <c r="C23" s="57" t="s">
        <v>227</v>
      </c>
      <c r="D23" s="229">
        <f>63459.5-77-151.95-6.5-74.43-67.8+46.88-12.1</f>
        <v>63116.6</v>
      </c>
      <c r="E23" s="307">
        <f t="shared" si="2"/>
        <v>0.1803331429</v>
      </c>
      <c r="G23" s="308">
        <f t="shared" ref="G23:G27" si="4">D23/361470.2</f>
        <v>0.1746107978</v>
      </c>
      <c r="H23" s="309">
        <f t="shared" si="3"/>
        <v>337.5226721</v>
      </c>
      <c r="I23" s="166" t="s">
        <v>227</v>
      </c>
    </row>
    <row r="24" ht="15.75" customHeight="1">
      <c r="B24" s="310" t="s">
        <v>246</v>
      </c>
      <c r="C24" s="57" t="s">
        <v>228</v>
      </c>
      <c r="D24" s="229">
        <f>77312.5-151.95-6.5-85-74.46-67.8+46.88-12.14</f>
        <v>76961.53</v>
      </c>
      <c r="E24" s="307">
        <f t="shared" si="2"/>
        <v>0.2198900857</v>
      </c>
      <c r="G24" s="308">
        <f t="shared" si="4"/>
        <v>0.2129125167</v>
      </c>
      <c r="H24" s="309">
        <f t="shared" si="3"/>
        <v>411.5598948</v>
      </c>
      <c r="I24" s="166" t="s">
        <v>228</v>
      </c>
    </row>
    <row r="25" ht="15.75" customHeight="1">
      <c r="B25" s="306" t="s">
        <v>247</v>
      </c>
      <c r="C25" s="57" t="s">
        <v>229</v>
      </c>
      <c r="D25" s="229">
        <f>59111-420-151.95-6.5-74.43-67.8+46.88-12.1</f>
        <v>58425.1</v>
      </c>
      <c r="E25" s="307">
        <f t="shared" si="2"/>
        <v>0.1669288571</v>
      </c>
      <c r="G25" s="308">
        <f t="shared" si="4"/>
        <v>0.1616318579</v>
      </c>
      <c r="H25" s="309">
        <f t="shared" si="3"/>
        <v>312.4343813</v>
      </c>
      <c r="I25" s="166" t="s">
        <v>229</v>
      </c>
    </row>
    <row r="26" ht="15.75" customHeight="1">
      <c r="B26" s="310" t="s">
        <v>248</v>
      </c>
      <c r="C26" s="57" t="s">
        <v>230</v>
      </c>
      <c r="D26" s="229">
        <f>53401.5-105-28-151.95-6.5-74.43-67.8+46.9-12.1</f>
        <v>53002.62</v>
      </c>
      <c r="E26" s="307">
        <f t="shared" si="2"/>
        <v>0.1514360571</v>
      </c>
      <c r="G26" s="308">
        <f t="shared" si="4"/>
        <v>0.1466306766</v>
      </c>
      <c r="H26" s="309">
        <f t="shared" si="3"/>
        <v>283.4370979</v>
      </c>
      <c r="I26" s="166" t="s">
        <v>230</v>
      </c>
    </row>
    <row r="27" ht="15.75" customHeight="1">
      <c r="B27" s="311" t="s">
        <v>249</v>
      </c>
      <c r="C27" s="312" t="s">
        <v>231</v>
      </c>
      <c r="D27" s="313">
        <f>56246-427-151.95-6.5-74.43-67.8+46.88-12.1</f>
        <v>55553.1</v>
      </c>
      <c r="E27" s="314">
        <f t="shared" si="2"/>
        <v>0.1587231429</v>
      </c>
      <c r="G27" s="308">
        <f t="shared" si="4"/>
        <v>0.153686528</v>
      </c>
      <c r="H27" s="309">
        <f t="shared" si="3"/>
        <v>297.0760586</v>
      </c>
      <c r="I27" s="166" t="s">
        <v>231</v>
      </c>
    </row>
    <row r="28" ht="15.75" customHeight="1">
      <c r="D28" s="61"/>
      <c r="E28" s="61"/>
      <c r="G28" s="295"/>
      <c r="H28" s="299"/>
      <c r="I28" s="295" t="s">
        <v>250</v>
      </c>
    </row>
    <row r="29" ht="15.75" customHeight="1">
      <c r="G29" s="256">
        <v>0.3</v>
      </c>
      <c r="H29" s="315">
        <f>K20*40%+I20/2</f>
        <v>391.8</v>
      </c>
      <c r="I29" s="296" t="s">
        <v>251</v>
      </c>
    </row>
    <row r="30" ht="15.75" customHeight="1">
      <c r="G30" s="256">
        <v>0.5</v>
      </c>
      <c r="H30" s="315">
        <f>K20*40%+I20/2</f>
        <v>391.8</v>
      </c>
      <c r="I30" s="296" t="s">
        <v>252</v>
      </c>
    </row>
    <row r="31" ht="15.75" customHeight="1">
      <c r="G31" s="256">
        <v>0.2</v>
      </c>
      <c r="H31" s="316"/>
      <c r="I31" s="296" t="s">
        <v>253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1.0"/>
    <col customWidth="1" min="4" max="4" width="20.0"/>
    <col customWidth="1" min="5" max="5" width="23.44"/>
    <col customWidth="1" min="6" max="6" width="25.44"/>
    <col customWidth="1" min="7" max="7" width="13.33"/>
    <col customWidth="1" min="8" max="8" width="20.67"/>
    <col customWidth="1" min="9" max="9" width="20.11"/>
    <col customWidth="1" min="10" max="11" width="14.11"/>
    <col customWidth="1" min="12" max="12" width="15.11"/>
    <col customWidth="1" min="13" max="13" width="17.33"/>
    <col customWidth="1" min="14" max="14" width="11.67"/>
    <col customWidth="1" min="15" max="15" width="19.78"/>
    <col customWidth="1" min="16" max="16" width="17.67"/>
    <col customWidth="1" min="17" max="17" width="21.78"/>
    <col customWidth="1" min="18" max="18" width="13.11"/>
    <col customWidth="1" min="19" max="20" width="15.78"/>
    <col customWidth="1" min="21" max="21" width="14.44"/>
    <col customWidth="1" min="22" max="23" width="13.44"/>
    <col customWidth="1" min="24" max="24" width="17.33"/>
    <col customWidth="1" min="25" max="25" width="14.0"/>
    <col customWidth="1" min="26" max="26" width="15.11"/>
    <col customWidth="1" min="27" max="27" width="15.78"/>
    <col customWidth="1" min="28" max="28" width="15.67"/>
    <col customWidth="1" min="29" max="29" width="16.11"/>
    <col customWidth="1" min="30" max="30" width="15.67"/>
    <col customWidth="1" min="31" max="31" width="14.78"/>
    <col customWidth="1" min="32" max="32" width="10.56"/>
    <col customWidth="1" min="33" max="33" width="15.33"/>
    <col customWidth="1" min="34" max="34" width="16.0"/>
    <col customWidth="1" min="35" max="35" width="13.78"/>
    <col customWidth="1" min="36" max="36" width="15.33"/>
    <col customWidth="1" min="37" max="37" width="14.78"/>
  </cols>
  <sheetData>
    <row r="1" ht="15.75" customHeight="1">
      <c r="E1" s="61"/>
      <c r="H1" s="61"/>
      <c r="I1" s="61"/>
      <c r="S1" s="199"/>
      <c r="T1" s="199"/>
    </row>
    <row r="2" ht="15.75" customHeight="1">
      <c r="E2" s="61"/>
      <c r="H2" s="61"/>
      <c r="I2" s="61"/>
      <c r="S2" s="199"/>
      <c r="T2" s="199"/>
    </row>
    <row r="3" ht="15.75" customHeight="1">
      <c r="A3" s="61"/>
      <c r="B3" s="61"/>
      <c r="C3" s="61"/>
      <c r="F3" s="75"/>
      <c r="G3" s="2"/>
      <c r="N3" s="2"/>
      <c r="O3" s="2"/>
      <c r="P3" s="2"/>
      <c r="Q3" s="2"/>
      <c r="S3" s="199"/>
      <c r="T3" s="199"/>
    </row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</row>
    <row r="5" ht="15.75" customHeight="1">
      <c r="A5" s="288"/>
      <c r="B5" s="288"/>
      <c r="C5" s="31"/>
      <c r="M5" s="32"/>
      <c r="N5" s="31"/>
      <c r="X5" s="32"/>
      <c r="Z5" s="46" t="s">
        <v>211</v>
      </c>
      <c r="AA5" s="6"/>
      <c r="AC5" s="46" t="s">
        <v>212</v>
      </c>
      <c r="AD5" s="6"/>
      <c r="AG5" s="46" t="s">
        <v>217</v>
      </c>
      <c r="AH5" s="6"/>
      <c r="AJ5" s="46" t="s">
        <v>218</v>
      </c>
      <c r="AK5" s="6"/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61">
        <v>45658.0</v>
      </c>
      <c r="AA6" s="261">
        <v>45689.0</v>
      </c>
      <c r="AC6" s="261">
        <v>45658.0</v>
      </c>
      <c r="AD6" s="261">
        <v>45689.0</v>
      </c>
      <c r="AG6" s="261">
        <v>46023.0</v>
      </c>
      <c r="AH6" s="261">
        <v>46054.0</v>
      </c>
      <c r="AJ6" s="261">
        <v>46023.0</v>
      </c>
      <c r="AK6" s="261">
        <v>46054.0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2" t="s">
        <v>45</v>
      </c>
      <c r="Z7" s="274">
        <v>5969.92</v>
      </c>
      <c r="AA7" s="55">
        <v>3652.4075000000003</v>
      </c>
      <c r="AB7" s="66">
        <f t="shared" ref="AB7:AB13" si="1">AA7/Z7-1</f>
        <v>-0.3881982506</v>
      </c>
      <c r="AC7" s="229">
        <v>4776.3724999999995</v>
      </c>
      <c r="AD7" s="229">
        <v>3812.5525000000002</v>
      </c>
      <c r="AE7" s="66">
        <f t="shared" ref="AE7:AE13" si="2">AD7/AC7-1</f>
        <v>-0.2017891193</v>
      </c>
      <c r="AF7" s="2" t="s">
        <v>45</v>
      </c>
      <c r="AG7" s="229">
        <v>6200.23</v>
      </c>
      <c r="AH7" s="274">
        <f t="shared" ref="AH7:AH13" si="3">AG7*AB7+AG7</f>
        <v>3793.311561</v>
      </c>
      <c r="AI7" s="75"/>
      <c r="AJ7" s="229">
        <v>4572.18</v>
      </c>
      <c r="AK7" s="274">
        <f t="shared" ref="AK7:AK13" si="4">AJ7*AE7+AJ7</f>
        <v>3649.563825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165</v>
      </c>
      <c r="X8" s="44" t="s">
        <v>166</v>
      </c>
      <c r="Y8" s="8" t="s">
        <v>46</v>
      </c>
      <c r="Z8" s="276">
        <v>6145.21</v>
      </c>
      <c r="AA8" s="55">
        <v>3437.8125</v>
      </c>
      <c r="AB8" s="66">
        <f t="shared" si="1"/>
        <v>-0.4405703792</v>
      </c>
      <c r="AC8" s="229">
        <v>4581.68</v>
      </c>
      <c r="AD8" s="229">
        <v>4137.565</v>
      </c>
      <c r="AE8" s="66">
        <f t="shared" si="2"/>
        <v>-0.09693278448</v>
      </c>
      <c r="AF8" s="8" t="s">
        <v>46</v>
      </c>
      <c r="AG8" s="229">
        <v>5068.0</v>
      </c>
      <c r="AH8" s="274">
        <f t="shared" si="3"/>
        <v>2835.189318</v>
      </c>
      <c r="AI8" s="75"/>
      <c r="AJ8" s="229">
        <v>4873.34</v>
      </c>
      <c r="AK8" s="274">
        <f t="shared" si="4"/>
        <v>4400.953584</v>
      </c>
    </row>
    <row r="9" ht="15.75" customHeight="1">
      <c r="A9" s="8"/>
      <c r="B9" s="8"/>
      <c r="C9" s="147">
        <v>1.0</v>
      </c>
      <c r="D9" s="147" t="s">
        <v>44</v>
      </c>
      <c r="E9" s="209">
        <v>21875.0</v>
      </c>
      <c r="F9" s="209">
        <v>21875.0</v>
      </c>
      <c r="G9" s="51">
        <f t="shared" ref="G9:G36" si="6">F9-E9</f>
        <v>0</v>
      </c>
      <c r="H9" s="290">
        <v>94.0</v>
      </c>
      <c r="I9" s="265">
        <f t="shared" ref="I9:I36" si="7">F9/H9</f>
        <v>232.712766</v>
      </c>
      <c r="J9" s="57">
        <v>24.0</v>
      </c>
      <c r="K9" s="57">
        <f>5+49</f>
        <v>54</v>
      </c>
      <c r="L9" s="57">
        <v>46.0</v>
      </c>
      <c r="M9" s="57">
        <f t="shared" ref="M9:M36" si="8">J9+K9+L9</f>
        <v>124</v>
      </c>
      <c r="N9" s="204">
        <v>1.0</v>
      </c>
      <c r="O9" s="204" t="s">
        <v>44</v>
      </c>
      <c r="P9" s="213">
        <f t="shared" ref="P9:Q9" si="5">5588.9+10455.31-1145.95</f>
        <v>14898.26</v>
      </c>
      <c r="Q9" s="213">
        <f t="shared" si="5"/>
        <v>14898.26</v>
      </c>
      <c r="R9" s="51">
        <f t="shared" ref="R9:R36" si="10">Q9-P9</f>
        <v>0</v>
      </c>
      <c r="S9" s="291">
        <v>96.0</v>
      </c>
      <c r="T9" s="291">
        <f t="shared" ref="T9:T36" si="11">Q9/S9</f>
        <v>155.1902083</v>
      </c>
      <c r="U9" s="57">
        <v>28.0</v>
      </c>
      <c r="V9" s="57">
        <f>7.5+40.5</f>
        <v>48</v>
      </c>
      <c r="W9" s="57">
        <v>37.0</v>
      </c>
      <c r="X9" s="57">
        <f t="shared" ref="X9:X36" si="12">U9+V9+W9</f>
        <v>113</v>
      </c>
      <c r="Y9" s="2" t="s">
        <v>40</v>
      </c>
      <c r="Z9" s="276">
        <v>6214.6</v>
      </c>
      <c r="AA9" s="55">
        <v>6062.825000000001</v>
      </c>
      <c r="AB9" s="66">
        <f t="shared" si="1"/>
        <v>-0.02442232807</v>
      </c>
      <c r="AC9" s="229">
        <v>5069.36</v>
      </c>
      <c r="AD9" s="229">
        <v>4168.594999999999</v>
      </c>
      <c r="AE9" s="66">
        <f t="shared" si="2"/>
        <v>-0.1776881105</v>
      </c>
      <c r="AF9" s="2" t="s">
        <v>40</v>
      </c>
      <c r="AG9" s="229">
        <v>6499.98</v>
      </c>
      <c r="AH9" s="274">
        <f t="shared" si="3"/>
        <v>6341.235356</v>
      </c>
      <c r="AI9" s="75"/>
      <c r="AJ9" s="229">
        <v>4272.39</v>
      </c>
      <c r="AK9" s="274">
        <f t="shared" si="4"/>
        <v>3513.237093</v>
      </c>
    </row>
    <row r="10" ht="15.75" customHeight="1">
      <c r="A10" s="8"/>
      <c r="B10" s="8"/>
      <c r="C10" s="147">
        <v>2.0</v>
      </c>
      <c r="D10" s="147" t="s">
        <v>45</v>
      </c>
      <c r="E10" s="209">
        <v>7160.65</v>
      </c>
      <c r="F10" s="209">
        <f>7177.4-16.75</f>
        <v>7160.65</v>
      </c>
      <c r="G10" s="51">
        <f t="shared" si="6"/>
        <v>0</v>
      </c>
      <c r="H10" s="290">
        <v>32.0</v>
      </c>
      <c r="I10" s="265">
        <f t="shared" si="7"/>
        <v>223.7703125</v>
      </c>
      <c r="J10" s="57">
        <v>4.0</v>
      </c>
      <c r="K10" s="57">
        <f>2+18</f>
        <v>20</v>
      </c>
      <c r="L10" s="57">
        <v>17.0</v>
      </c>
      <c r="M10" s="57">
        <f t="shared" si="8"/>
        <v>41</v>
      </c>
      <c r="N10" s="204">
        <v>2.0</v>
      </c>
      <c r="O10" s="204" t="s">
        <v>45</v>
      </c>
      <c r="P10" s="213">
        <f t="shared" ref="P10:Q10" si="9">1704.71+2360.74-165.89</f>
        <v>3899.56</v>
      </c>
      <c r="Q10" s="213">
        <f t="shared" si="9"/>
        <v>3899.56</v>
      </c>
      <c r="R10" s="51">
        <f t="shared" si="10"/>
        <v>0</v>
      </c>
      <c r="S10" s="291">
        <v>27.0</v>
      </c>
      <c r="T10" s="291">
        <f t="shared" si="11"/>
        <v>144.4281481</v>
      </c>
      <c r="U10" s="57">
        <v>5.0</v>
      </c>
      <c r="V10" s="57">
        <f>3+14</f>
        <v>17</v>
      </c>
      <c r="W10" s="57">
        <v>7.0</v>
      </c>
      <c r="X10" s="57">
        <f t="shared" si="12"/>
        <v>29</v>
      </c>
      <c r="Y10" s="2" t="s">
        <v>47</v>
      </c>
      <c r="Z10" s="276">
        <v>7197.6</v>
      </c>
      <c r="AA10" s="55">
        <v>6195.1050000000005</v>
      </c>
      <c r="AB10" s="66">
        <f t="shared" si="1"/>
        <v>-0.1392818439</v>
      </c>
      <c r="AC10" s="229">
        <v>4950.632</v>
      </c>
      <c r="AD10" s="229">
        <v>5183.4375</v>
      </c>
      <c r="AE10" s="66">
        <f t="shared" si="2"/>
        <v>0.04702541009</v>
      </c>
      <c r="AF10" s="2" t="s">
        <v>47</v>
      </c>
      <c r="AG10" s="229">
        <v>10365.7</v>
      </c>
      <c r="AH10" s="274">
        <f t="shared" si="3"/>
        <v>8921.94619</v>
      </c>
      <c r="AI10" s="75"/>
      <c r="AJ10" s="229">
        <v>8134.46</v>
      </c>
      <c r="AK10" s="274">
        <f t="shared" si="4"/>
        <v>8516.986317</v>
      </c>
    </row>
    <row r="11" ht="15.75" customHeight="1">
      <c r="A11" s="8"/>
      <c r="B11" s="8"/>
      <c r="C11" s="147">
        <v>3.0</v>
      </c>
      <c r="D11" s="147" t="s">
        <v>46</v>
      </c>
      <c r="E11" s="209">
        <v>5161.5</v>
      </c>
      <c r="F11" s="209">
        <v>5161.5</v>
      </c>
      <c r="G11" s="51">
        <f t="shared" si="6"/>
        <v>0</v>
      </c>
      <c r="H11" s="290">
        <v>27.0</v>
      </c>
      <c r="I11" s="265">
        <f t="shared" si="7"/>
        <v>191.1666667</v>
      </c>
      <c r="J11" s="57">
        <v>7.0</v>
      </c>
      <c r="K11" s="57">
        <f>2+7</f>
        <v>9</v>
      </c>
      <c r="L11" s="57">
        <v>12.0</v>
      </c>
      <c r="M11" s="57">
        <f t="shared" si="8"/>
        <v>28</v>
      </c>
      <c r="N11" s="204">
        <v>3.0</v>
      </c>
      <c r="O11" s="204" t="s">
        <v>46</v>
      </c>
      <c r="P11" s="213">
        <f t="shared" ref="P11:Q11" si="13">2130.2+2577.57-259.79</f>
        <v>4447.98</v>
      </c>
      <c r="Q11" s="213">
        <f t="shared" si="13"/>
        <v>4447.98</v>
      </c>
      <c r="R11" s="51">
        <f t="shared" si="10"/>
        <v>0</v>
      </c>
      <c r="S11" s="291">
        <v>29.0</v>
      </c>
      <c r="T11" s="291">
        <f t="shared" si="11"/>
        <v>153.3786207</v>
      </c>
      <c r="U11" s="57">
        <v>6.0</v>
      </c>
      <c r="V11" s="57">
        <f>3.5+15.5</f>
        <v>19</v>
      </c>
      <c r="W11" s="57">
        <v>8.0</v>
      </c>
      <c r="X11" s="57">
        <f t="shared" si="12"/>
        <v>33</v>
      </c>
      <c r="Y11" s="2" t="s">
        <v>48</v>
      </c>
      <c r="Z11" s="276">
        <v>11511.09</v>
      </c>
      <c r="AA11" s="55">
        <v>10387.4</v>
      </c>
      <c r="AB11" s="66">
        <f t="shared" si="1"/>
        <v>-0.09761803617</v>
      </c>
      <c r="AC11" s="229">
        <v>8540.908</v>
      </c>
      <c r="AD11" s="229">
        <v>10702.8325</v>
      </c>
      <c r="AE11" s="66">
        <f t="shared" si="2"/>
        <v>0.2531258386</v>
      </c>
      <c r="AF11" s="2" t="s">
        <v>48</v>
      </c>
      <c r="AG11" s="229">
        <v>14144.72</v>
      </c>
      <c r="AH11" s="274">
        <f t="shared" si="3"/>
        <v>12763.94021</v>
      </c>
      <c r="AI11" s="75"/>
      <c r="AJ11" s="229">
        <v>9622.26</v>
      </c>
      <c r="AK11" s="274">
        <f t="shared" si="4"/>
        <v>12057.90263</v>
      </c>
    </row>
    <row r="12" ht="15.75" customHeight="1">
      <c r="A12" s="8"/>
      <c r="B12" s="8"/>
      <c r="C12" s="147">
        <v>4.0</v>
      </c>
      <c r="D12" s="147" t="s">
        <v>40</v>
      </c>
      <c r="E12" s="209">
        <v>6000.0</v>
      </c>
      <c r="F12" s="209">
        <v>5135.5</v>
      </c>
      <c r="G12" s="51">
        <f t="shared" si="6"/>
        <v>-864.5</v>
      </c>
      <c r="H12" s="290">
        <v>22.0</v>
      </c>
      <c r="I12" s="265">
        <f t="shared" si="7"/>
        <v>233.4318182</v>
      </c>
      <c r="J12" s="57">
        <v>5.0</v>
      </c>
      <c r="K12" s="57">
        <f>2+14</f>
        <v>16</v>
      </c>
      <c r="L12" s="57">
        <v>9.0</v>
      </c>
      <c r="M12" s="57">
        <f t="shared" si="8"/>
        <v>30</v>
      </c>
      <c r="N12" s="204">
        <v>4.0</v>
      </c>
      <c r="O12" s="204" t="s">
        <v>40</v>
      </c>
      <c r="P12" s="213">
        <v>4500.0</v>
      </c>
      <c r="Q12" s="213">
        <f>1418.62+2337.4-282.7</f>
        <v>3473.32</v>
      </c>
      <c r="R12" s="51">
        <f t="shared" si="10"/>
        <v>-1026.68</v>
      </c>
      <c r="S12" s="291">
        <v>22.0</v>
      </c>
      <c r="T12" s="291">
        <f t="shared" si="11"/>
        <v>157.8781818</v>
      </c>
      <c r="U12" s="57">
        <v>13.0</v>
      </c>
      <c r="V12" s="57">
        <f>0.5+13.3</f>
        <v>13.8</v>
      </c>
      <c r="W12" s="57">
        <v>4.0</v>
      </c>
      <c r="X12" s="57">
        <f t="shared" si="12"/>
        <v>30.8</v>
      </c>
      <c r="Y12" s="2" t="s">
        <v>171</v>
      </c>
      <c r="Z12" s="276">
        <v>18408.23</v>
      </c>
      <c r="AA12" s="55">
        <v>16307.732500000002</v>
      </c>
      <c r="AB12" s="66">
        <f t="shared" si="1"/>
        <v>-0.114106435</v>
      </c>
      <c r="AC12" s="229">
        <v>13080.609999999999</v>
      </c>
      <c r="AD12" s="229">
        <v>13893.575</v>
      </c>
      <c r="AE12" s="66">
        <f t="shared" si="2"/>
        <v>0.06215038901</v>
      </c>
      <c r="AF12" s="2" t="s">
        <v>171</v>
      </c>
      <c r="AG12" s="229">
        <v>16841.56</v>
      </c>
      <c r="AH12" s="274">
        <f t="shared" si="3"/>
        <v>14919.82963</v>
      </c>
      <c r="AI12" s="75"/>
      <c r="AJ12" s="229">
        <v>13508.59</v>
      </c>
      <c r="AK12" s="274">
        <f t="shared" si="4"/>
        <v>14348.15412</v>
      </c>
    </row>
    <row r="13" ht="15.75" customHeight="1">
      <c r="A13" s="8"/>
      <c r="B13" s="8"/>
      <c r="C13" s="147">
        <v>5.0</v>
      </c>
      <c r="D13" s="147" t="s">
        <v>47</v>
      </c>
      <c r="E13" s="209">
        <v>7000.0</v>
      </c>
      <c r="F13" s="209">
        <v>3129.5</v>
      </c>
      <c r="G13" s="51">
        <f t="shared" si="6"/>
        <v>-3870.5</v>
      </c>
      <c r="H13" s="290">
        <v>14.0</v>
      </c>
      <c r="I13" s="265">
        <f t="shared" si="7"/>
        <v>223.5357143</v>
      </c>
      <c r="J13" s="57">
        <v>4.0</v>
      </c>
      <c r="K13" s="57">
        <f>1+9</f>
        <v>10</v>
      </c>
      <c r="L13" s="57">
        <v>3.0</v>
      </c>
      <c r="M13" s="57">
        <f t="shared" si="8"/>
        <v>17</v>
      </c>
      <c r="N13" s="204">
        <v>5.0</v>
      </c>
      <c r="O13" s="204" t="s">
        <v>47</v>
      </c>
      <c r="P13" s="213">
        <v>5500.0</v>
      </c>
      <c r="Q13" s="213">
        <f>3066.18+1905.17-319.63</f>
        <v>4651.72</v>
      </c>
      <c r="R13" s="51">
        <f t="shared" si="10"/>
        <v>-848.28</v>
      </c>
      <c r="S13" s="291">
        <v>30.0</v>
      </c>
      <c r="T13" s="291">
        <f t="shared" si="11"/>
        <v>155.0573333</v>
      </c>
      <c r="U13" s="57">
        <v>5.0</v>
      </c>
      <c r="V13" s="57">
        <f>4+21</f>
        <v>25</v>
      </c>
      <c r="W13" s="57">
        <v>8.0</v>
      </c>
      <c r="X13" s="57">
        <f t="shared" si="12"/>
        <v>38</v>
      </c>
      <c r="Y13" s="2" t="s">
        <v>44</v>
      </c>
      <c r="Z13" s="276">
        <v>23277.19</v>
      </c>
      <c r="AA13" s="55">
        <v>14307.8</v>
      </c>
      <c r="AB13" s="66">
        <f t="shared" si="1"/>
        <v>-0.3853295866</v>
      </c>
      <c r="AC13" s="229">
        <v>18838.595</v>
      </c>
      <c r="AD13" s="229">
        <v>20893.4225</v>
      </c>
      <c r="AE13" s="66">
        <f t="shared" si="2"/>
        <v>0.1090754114</v>
      </c>
      <c r="AF13" s="2" t="s">
        <v>44</v>
      </c>
      <c r="AG13" s="229">
        <v>20909.38</v>
      </c>
      <c r="AH13" s="274">
        <f t="shared" si="3"/>
        <v>12852.37725</v>
      </c>
      <c r="AI13" s="75"/>
      <c r="AJ13" s="229">
        <v>18931.01</v>
      </c>
      <c r="AK13" s="274">
        <f t="shared" si="4"/>
        <v>20995.9177</v>
      </c>
    </row>
    <row r="14" ht="15.75" customHeight="1">
      <c r="A14" s="8"/>
      <c r="B14" s="8"/>
      <c r="C14" s="147">
        <v>6.0</v>
      </c>
      <c r="D14" s="147" t="s">
        <v>205</v>
      </c>
      <c r="E14" s="209">
        <v>11000.0</v>
      </c>
      <c r="F14" s="209">
        <f>9261.06-161</f>
        <v>9100.06</v>
      </c>
      <c r="G14" s="51">
        <f t="shared" si="6"/>
        <v>-1899.94</v>
      </c>
      <c r="H14" s="290">
        <v>41.0</v>
      </c>
      <c r="I14" s="265">
        <f t="shared" si="7"/>
        <v>221.9526829</v>
      </c>
      <c r="J14" s="57">
        <v>14.0</v>
      </c>
      <c r="K14" s="57">
        <f>2.5+18.5</f>
        <v>21</v>
      </c>
      <c r="L14" s="57">
        <v>17.0</v>
      </c>
      <c r="M14" s="57">
        <f t="shared" si="8"/>
        <v>52</v>
      </c>
      <c r="N14" s="204">
        <v>6.0</v>
      </c>
      <c r="O14" s="204" t="s">
        <v>205</v>
      </c>
      <c r="P14" s="213">
        <v>8000.0</v>
      </c>
      <c r="Q14" s="213">
        <f>5457.27+602.37+2011.29-570.95</f>
        <v>7499.98</v>
      </c>
      <c r="R14" s="51">
        <f t="shared" si="10"/>
        <v>-500.02</v>
      </c>
      <c r="S14" s="291">
        <v>50.0</v>
      </c>
      <c r="T14" s="291">
        <f t="shared" si="11"/>
        <v>149.9996</v>
      </c>
      <c r="U14" s="57">
        <v>17.0</v>
      </c>
      <c r="V14" s="57">
        <f>7+29</f>
        <v>36</v>
      </c>
      <c r="W14" s="57">
        <v>9.0</v>
      </c>
      <c r="X14" s="57">
        <f t="shared" si="12"/>
        <v>62</v>
      </c>
      <c r="Z14" s="167">
        <f t="shared" ref="Z14:AA14" si="14">SUM(Z7:Z13)</f>
        <v>78723.84</v>
      </c>
      <c r="AA14" s="167">
        <f t="shared" si="14"/>
        <v>60351.0825</v>
      </c>
      <c r="AB14" s="61"/>
      <c r="AC14" s="167">
        <f t="shared" ref="AC14:AD14" si="15">SUM(AC7:AC13)</f>
        <v>59838.1575</v>
      </c>
      <c r="AD14" s="167">
        <f t="shared" si="15"/>
        <v>62791.98</v>
      </c>
      <c r="AE14" s="61"/>
      <c r="AG14" s="167">
        <f t="shared" ref="AG14:AH14" si="16">SUM(AG7:AG13)</f>
        <v>80029.57</v>
      </c>
      <c r="AH14" s="167">
        <f t="shared" si="16"/>
        <v>62427.82951</v>
      </c>
      <c r="AI14" s="61"/>
      <c r="AJ14" s="167">
        <f t="shared" ref="AJ14:AK14" si="17">SUM(AJ7:AJ13)</f>
        <v>63914.23</v>
      </c>
      <c r="AK14" s="167">
        <f t="shared" si="17"/>
        <v>67482.71528</v>
      </c>
    </row>
    <row r="15" ht="15.75" customHeight="1">
      <c r="A15" s="8"/>
      <c r="B15" s="8"/>
      <c r="C15" s="147">
        <v>7.0</v>
      </c>
      <c r="D15" s="147" t="s">
        <v>171</v>
      </c>
      <c r="E15" s="209">
        <v>20000.0</v>
      </c>
      <c r="F15" s="209">
        <f>948+20488</f>
        <v>21436</v>
      </c>
      <c r="G15" s="51">
        <f t="shared" si="6"/>
        <v>1436</v>
      </c>
      <c r="H15" s="290">
        <v>84.0</v>
      </c>
      <c r="I15" s="265">
        <f t="shared" si="7"/>
        <v>255.1904762</v>
      </c>
      <c r="J15" s="57">
        <v>16.0</v>
      </c>
      <c r="K15" s="57">
        <f>6+41</f>
        <v>47</v>
      </c>
      <c r="L15" s="57">
        <v>54.0</v>
      </c>
      <c r="M15" s="57">
        <f t="shared" si="8"/>
        <v>117</v>
      </c>
      <c r="N15" s="204">
        <v>7.0</v>
      </c>
      <c r="O15" s="204" t="s">
        <v>171</v>
      </c>
      <c r="P15" s="213">
        <v>14000.0</v>
      </c>
      <c r="Q15" s="213">
        <f>11403.59+5346.47+106.88-1229.9</f>
        <v>15627.04</v>
      </c>
      <c r="R15" s="51">
        <f t="shared" si="10"/>
        <v>1627.04</v>
      </c>
      <c r="S15" s="291">
        <v>96.0</v>
      </c>
      <c r="T15" s="291">
        <f t="shared" si="11"/>
        <v>162.7816667</v>
      </c>
      <c r="U15" s="57">
        <v>34.0</v>
      </c>
      <c r="V15" s="57">
        <f>7+56</f>
        <v>63</v>
      </c>
      <c r="W15" s="57">
        <v>26.0</v>
      </c>
      <c r="X15" s="57">
        <f t="shared" si="12"/>
        <v>123</v>
      </c>
      <c r="AA15" s="66">
        <f>AA14/Z14-1</f>
        <v>-0.2333823845</v>
      </c>
      <c r="AD15" s="66">
        <f>AD14/AC14-1</f>
        <v>0.04936352694</v>
      </c>
      <c r="AH15" s="66">
        <f>AH14/AG14-1</f>
        <v>-0.2199404606</v>
      </c>
      <c r="AK15" s="66">
        <f>AK14/AJ14-1</f>
        <v>0.05583240663</v>
      </c>
    </row>
    <row r="16" ht="15.75" customHeight="1">
      <c r="A16" s="8"/>
      <c r="B16" s="8"/>
      <c r="C16" s="147">
        <v>8.0</v>
      </c>
      <c r="D16" s="147" t="s">
        <v>44</v>
      </c>
      <c r="E16" s="209">
        <v>21000.0</v>
      </c>
      <c r="F16" s="209">
        <v>12083.5</v>
      </c>
      <c r="G16" s="51">
        <f t="shared" si="6"/>
        <v>-8916.5</v>
      </c>
      <c r="H16" s="290">
        <v>53.0</v>
      </c>
      <c r="I16" s="265">
        <f t="shared" si="7"/>
        <v>227.990566</v>
      </c>
      <c r="J16" s="57">
        <v>12.0</v>
      </c>
      <c r="K16" s="57">
        <f>3.5+18.5</f>
        <v>22</v>
      </c>
      <c r="L16" s="57">
        <v>34.0</v>
      </c>
      <c r="M16" s="57">
        <f t="shared" si="8"/>
        <v>68</v>
      </c>
      <c r="N16" s="204">
        <v>8.0</v>
      </c>
      <c r="O16" s="204" t="s">
        <v>44</v>
      </c>
      <c r="P16" s="213">
        <v>18000.0</v>
      </c>
      <c r="Q16" s="213">
        <f>13413.54+7166.27-1692.68</f>
        <v>18887.13</v>
      </c>
      <c r="R16" s="51">
        <f t="shared" si="10"/>
        <v>887.13</v>
      </c>
      <c r="S16" s="291">
        <v>118.0</v>
      </c>
      <c r="T16" s="291">
        <f t="shared" si="11"/>
        <v>160.0604237</v>
      </c>
      <c r="U16" s="57">
        <v>34.0</v>
      </c>
      <c r="V16" s="57">
        <f>13.5+67.5</f>
        <v>81</v>
      </c>
      <c r="W16" s="57">
        <v>31.0</v>
      </c>
      <c r="X16" s="57">
        <f t="shared" si="12"/>
        <v>146</v>
      </c>
    </row>
    <row r="17" ht="15.75" customHeight="1">
      <c r="A17" s="8"/>
      <c r="B17" s="8"/>
      <c r="C17" s="147">
        <v>9.0</v>
      </c>
      <c r="D17" s="147" t="s">
        <v>45</v>
      </c>
      <c r="E17" s="209">
        <v>5000.0</v>
      </c>
      <c r="F17" s="209">
        <v>5062.2</v>
      </c>
      <c r="G17" s="51">
        <f t="shared" si="6"/>
        <v>62.2</v>
      </c>
      <c r="H17" s="290">
        <v>20.0</v>
      </c>
      <c r="I17" s="265">
        <f t="shared" si="7"/>
        <v>253.11</v>
      </c>
      <c r="J17" s="57">
        <v>4.0</v>
      </c>
      <c r="K17" s="57">
        <f>0.5+8.5</f>
        <v>9</v>
      </c>
      <c r="L17" s="57">
        <v>13.0</v>
      </c>
      <c r="M17" s="57">
        <f t="shared" si="8"/>
        <v>26</v>
      </c>
      <c r="N17" s="204">
        <v>9.0</v>
      </c>
      <c r="O17" s="204" t="s">
        <v>45</v>
      </c>
      <c r="P17" s="213">
        <v>3800.0</v>
      </c>
      <c r="Q17" s="213">
        <f>2784.03+564.8-225.54</f>
        <v>3123.29</v>
      </c>
      <c r="R17" s="51">
        <f t="shared" si="10"/>
        <v>-676.71</v>
      </c>
      <c r="S17" s="291">
        <v>20.0</v>
      </c>
      <c r="T17" s="291">
        <f t="shared" si="11"/>
        <v>156.1645</v>
      </c>
      <c r="U17" s="57">
        <v>3.0</v>
      </c>
      <c r="V17" s="57">
        <f>5.5+17.5</f>
        <v>23</v>
      </c>
      <c r="W17" s="57">
        <v>1.0</v>
      </c>
      <c r="X17" s="57">
        <f t="shared" si="12"/>
        <v>27</v>
      </c>
      <c r="AA17" s="70"/>
      <c r="AB17" s="71" t="s">
        <v>52</v>
      </c>
      <c r="AC17" s="72"/>
      <c r="AD17" s="73" t="s">
        <v>53</v>
      </c>
    </row>
    <row r="18" ht="15.75" customHeight="1">
      <c r="A18" s="8"/>
      <c r="B18" s="8"/>
      <c r="C18" s="147">
        <v>10.0</v>
      </c>
      <c r="D18" s="147" t="s">
        <v>46</v>
      </c>
      <c r="E18" s="209">
        <v>6000.0</v>
      </c>
      <c r="F18" s="209">
        <v>5575.0</v>
      </c>
      <c r="G18" s="51">
        <f t="shared" si="6"/>
        <v>-425</v>
      </c>
      <c r="H18" s="290">
        <v>18.0</v>
      </c>
      <c r="I18" s="265">
        <f t="shared" si="7"/>
        <v>309.7222222</v>
      </c>
      <c r="J18" s="57">
        <v>4.0</v>
      </c>
      <c r="K18" s="57">
        <f>1+7</f>
        <v>8</v>
      </c>
      <c r="L18" s="57">
        <v>17.0</v>
      </c>
      <c r="M18" s="57">
        <f t="shared" si="8"/>
        <v>29</v>
      </c>
      <c r="N18" s="204">
        <v>10.0</v>
      </c>
      <c r="O18" s="204" t="s">
        <v>46</v>
      </c>
      <c r="P18" s="213">
        <v>4500.0</v>
      </c>
      <c r="Q18" s="213">
        <f>2634.38+3807.04-328.48</f>
        <v>6112.94</v>
      </c>
      <c r="R18" s="51">
        <f t="shared" si="10"/>
        <v>1612.94</v>
      </c>
      <c r="S18" s="291">
        <v>30.0</v>
      </c>
      <c r="T18" s="291">
        <f t="shared" si="11"/>
        <v>203.7646667</v>
      </c>
      <c r="U18" s="57">
        <v>7.0</v>
      </c>
      <c r="V18" s="57">
        <f>4.5+30.5</f>
        <v>35</v>
      </c>
      <c r="W18" s="57">
        <v>9.0</v>
      </c>
      <c r="X18" s="57">
        <f t="shared" si="12"/>
        <v>51</v>
      </c>
      <c r="AA18" s="74" t="s">
        <v>29</v>
      </c>
      <c r="AB18" s="75">
        <v>330000.0</v>
      </c>
      <c r="AC18" s="2" t="s">
        <v>29</v>
      </c>
      <c r="AD18" s="76">
        <v>255000.0</v>
      </c>
    </row>
    <row r="19" ht="15.75" customHeight="1">
      <c r="A19" s="8"/>
      <c r="B19" s="8"/>
      <c r="C19" s="147">
        <v>11.0</v>
      </c>
      <c r="D19" s="147" t="s">
        <v>40</v>
      </c>
      <c r="E19" s="209">
        <v>6000.0</v>
      </c>
      <c r="F19" s="209">
        <v>4240.01</v>
      </c>
      <c r="G19" s="51">
        <f t="shared" si="6"/>
        <v>-1759.99</v>
      </c>
      <c r="H19" s="290">
        <v>17.0</v>
      </c>
      <c r="I19" s="265">
        <f t="shared" si="7"/>
        <v>249.4123529</v>
      </c>
      <c r="J19" s="57">
        <v>4.0</v>
      </c>
      <c r="K19" s="57">
        <f>0.5+7.5</f>
        <v>8</v>
      </c>
      <c r="L19" s="57">
        <v>11.0</v>
      </c>
      <c r="M19" s="57">
        <f t="shared" si="8"/>
        <v>23</v>
      </c>
      <c r="N19" s="204">
        <v>11.0</v>
      </c>
      <c r="O19" s="204" t="s">
        <v>40</v>
      </c>
      <c r="P19" s="213">
        <v>4500.0</v>
      </c>
      <c r="Q19" s="213">
        <f>2768.01+2908.45-383.45</f>
        <v>5293.01</v>
      </c>
      <c r="R19" s="51">
        <f t="shared" si="10"/>
        <v>793.01</v>
      </c>
      <c r="S19" s="291">
        <v>36.0</v>
      </c>
      <c r="T19" s="291">
        <f t="shared" si="11"/>
        <v>147.0280556</v>
      </c>
      <c r="U19" s="57">
        <v>14.0</v>
      </c>
      <c r="V19" s="57">
        <f>3.5+21.5</f>
        <v>25</v>
      </c>
      <c r="W19" s="57">
        <v>8.0</v>
      </c>
      <c r="X19" s="57">
        <f t="shared" si="12"/>
        <v>47</v>
      </c>
      <c r="AA19" s="74"/>
      <c r="AB19" s="2"/>
      <c r="AC19" s="2"/>
      <c r="AD19" s="77"/>
    </row>
    <row r="20" ht="15.75" customHeight="1">
      <c r="A20" s="8"/>
      <c r="B20" s="8"/>
      <c r="C20" s="147">
        <v>12.0</v>
      </c>
      <c r="D20" s="147" t="s">
        <v>47</v>
      </c>
      <c r="E20" s="209">
        <v>7000.0</v>
      </c>
      <c r="F20" s="209">
        <v>6219.5</v>
      </c>
      <c r="G20" s="51">
        <f t="shared" si="6"/>
        <v>-780.5</v>
      </c>
      <c r="H20" s="290">
        <v>25.0</v>
      </c>
      <c r="I20" s="265">
        <f t="shared" si="7"/>
        <v>248.78</v>
      </c>
      <c r="J20" s="57">
        <v>6.0</v>
      </c>
      <c r="K20" s="57">
        <f>2+12</f>
        <v>14</v>
      </c>
      <c r="L20" s="57">
        <v>12.0</v>
      </c>
      <c r="M20" s="57">
        <f t="shared" si="8"/>
        <v>32</v>
      </c>
      <c r="N20" s="204">
        <v>12.0</v>
      </c>
      <c r="O20" s="204" t="s">
        <v>47</v>
      </c>
      <c r="P20" s="213">
        <v>5500.0</v>
      </c>
      <c r="Q20" s="213">
        <f>3017.07+9+1553.56-437.23</f>
        <v>4142.4</v>
      </c>
      <c r="R20" s="51">
        <f t="shared" si="10"/>
        <v>-1357.6</v>
      </c>
      <c r="S20" s="291">
        <v>35.0</v>
      </c>
      <c r="T20" s="291">
        <f t="shared" si="11"/>
        <v>118.3542857</v>
      </c>
      <c r="U20" s="57">
        <v>9.0</v>
      </c>
      <c r="V20" s="57">
        <f>2.5+18.5</f>
        <v>21</v>
      </c>
      <c r="W20" s="57">
        <v>6.0</v>
      </c>
      <c r="X20" s="57">
        <f t="shared" si="12"/>
        <v>36</v>
      </c>
      <c r="AA20" s="74" t="s">
        <v>58</v>
      </c>
      <c r="AB20" s="75">
        <f>SUM(F9:F15)</f>
        <v>72998.21</v>
      </c>
      <c r="AC20" s="58" t="s">
        <v>58</v>
      </c>
      <c r="AD20" s="76">
        <f>SUM(Q9:Q15)</f>
        <v>54497.86</v>
      </c>
    </row>
    <row r="21" ht="15.75" customHeight="1">
      <c r="A21" s="8"/>
      <c r="B21" s="8"/>
      <c r="C21" s="147">
        <v>13.0</v>
      </c>
      <c r="D21" s="147" t="s">
        <v>205</v>
      </c>
      <c r="E21" s="209">
        <v>14000.0</v>
      </c>
      <c r="F21" s="209">
        <f>11160.24-259</f>
        <v>10901.24</v>
      </c>
      <c r="G21" s="51">
        <f t="shared" si="6"/>
        <v>-3098.76</v>
      </c>
      <c r="H21" s="290">
        <v>44.0</v>
      </c>
      <c r="I21" s="265">
        <f t="shared" si="7"/>
        <v>247.7554545</v>
      </c>
      <c r="J21" s="57">
        <v>14.0</v>
      </c>
      <c r="K21" s="57">
        <f>2.5+28.5</f>
        <v>31</v>
      </c>
      <c r="L21" s="57">
        <v>20.0</v>
      </c>
      <c r="M21" s="57">
        <f t="shared" si="8"/>
        <v>65</v>
      </c>
      <c r="N21" s="204">
        <v>13.0</v>
      </c>
      <c r="O21" s="204" t="s">
        <v>205</v>
      </c>
      <c r="P21" s="213">
        <v>9000.0</v>
      </c>
      <c r="Q21" s="213">
        <f>5914.96+4121.18-763.67</f>
        <v>9272.47</v>
      </c>
      <c r="R21" s="51">
        <f t="shared" si="10"/>
        <v>272.47</v>
      </c>
      <c r="S21" s="291">
        <v>61.0</v>
      </c>
      <c r="T21" s="291">
        <f t="shared" si="11"/>
        <v>152.0077049</v>
      </c>
      <c r="U21" s="57">
        <v>14.0</v>
      </c>
      <c r="V21" s="57">
        <f>11.5+37.5</f>
        <v>49</v>
      </c>
      <c r="W21" s="57">
        <v>14.0</v>
      </c>
      <c r="X21" s="57">
        <f t="shared" si="12"/>
        <v>77</v>
      </c>
      <c r="AA21" s="74"/>
      <c r="AB21" s="79">
        <f>AB20/AB18</f>
        <v>0.221206697</v>
      </c>
      <c r="AD21" s="80">
        <f>AD20/AD18</f>
        <v>0.213717098</v>
      </c>
      <c r="AE21" s="66"/>
    </row>
    <row r="22" ht="15.75" customHeight="1">
      <c r="A22" s="8"/>
      <c r="B22" s="8"/>
      <c r="C22" s="147">
        <v>14.0</v>
      </c>
      <c r="D22" s="147" t="s">
        <v>171</v>
      </c>
      <c r="E22" s="209">
        <v>22000.0</v>
      </c>
      <c r="F22" s="209">
        <v>19668.45</v>
      </c>
      <c r="G22" s="51">
        <f t="shared" si="6"/>
        <v>-2331.55</v>
      </c>
      <c r="H22" s="290">
        <v>69.0</v>
      </c>
      <c r="I22" s="265">
        <f t="shared" si="7"/>
        <v>285.05</v>
      </c>
      <c r="J22" s="57">
        <v>21.0</v>
      </c>
      <c r="K22" s="57">
        <f>9+49</f>
        <v>58</v>
      </c>
      <c r="L22" s="57">
        <v>34.0</v>
      </c>
      <c r="M22" s="57">
        <f t="shared" si="8"/>
        <v>113</v>
      </c>
      <c r="N22" s="204">
        <v>14.0</v>
      </c>
      <c r="O22" s="204" t="s">
        <v>171</v>
      </c>
      <c r="P22" s="213">
        <v>15000.0</v>
      </c>
      <c r="Q22" s="213">
        <f>6456.91+74+5054.19-940.69</f>
        <v>10644.41</v>
      </c>
      <c r="R22" s="51">
        <f t="shared" si="10"/>
        <v>-4355.59</v>
      </c>
      <c r="S22" s="291">
        <v>72.0</v>
      </c>
      <c r="T22" s="291">
        <f t="shared" si="11"/>
        <v>147.8390278</v>
      </c>
      <c r="U22" s="57">
        <v>20.0</v>
      </c>
      <c r="V22" s="57">
        <f>13+42</f>
        <v>55</v>
      </c>
      <c r="W22" s="57">
        <v>12.0</v>
      </c>
      <c r="X22" s="57">
        <f t="shared" si="12"/>
        <v>87</v>
      </c>
      <c r="AA22" s="74"/>
      <c r="AB22" s="81"/>
      <c r="AD22" s="77"/>
    </row>
    <row r="23" ht="15.75" customHeight="1">
      <c r="A23" s="8"/>
      <c r="B23" s="8"/>
      <c r="C23" s="147">
        <v>15.0</v>
      </c>
      <c r="D23" s="147" t="s">
        <v>44</v>
      </c>
      <c r="E23" s="209">
        <v>33000.0</v>
      </c>
      <c r="F23" s="209">
        <f>23741.26-400</f>
        <v>23341.26</v>
      </c>
      <c r="G23" s="51">
        <f t="shared" si="6"/>
        <v>-9658.74</v>
      </c>
      <c r="H23" s="290">
        <v>99.0</v>
      </c>
      <c r="I23" s="265">
        <f t="shared" si="7"/>
        <v>235.770303</v>
      </c>
      <c r="J23" s="57">
        <v>28.0</v>
      </c>
      <c r="K23" s="57">
        <f>12.5+43.5</f>
        <v>56</v>
      </c>
      <c r="L23" s="57">
        <v>41.0</v>
      </c>
      <c r="M23" s="57">
        <f t="shared" si="8"/>
        <v>125</v>
      </c>
      <c r="N23" s="204">
        <v>15.0</v>
      </c>
      <c r="O23" s="204" t="s">
        <v>44</v>
      </c>
      <c r="P23" s="213">
        <v>23000.0</v>
      </c>
      <c r="Q23" s="213">
        <f>11082.77+264.3+8491.68-1510.91</f>
        <v>18327.84</v>
      </c>
      <c r="R23" s="51">
        <f t="shared" si="10"/>
        <v>-4672.16</v>
      </c>
      <c r="S23" s="291">
        <v>121.0</v>
      </c>
      <c r="T23" s="291">
        <f t="shared" si="11"/>
        <v>151.4697521</v>
      </c>
      <c r="U23" s="57">
        <v>46.0</v>
      </c>
      <c r="V23" s="57">
        <f>11+58</f>
        <v>69</v>
      </c>
      <c r="W23" s="57">
        <v>30.0</v>
      </c>
      <c r="X23" s="57">
        <f t="shared" si="12"/>
        <v>145</v>
      </c>
      <c r="AA23" s="74" t="s">
        <v>62</v>
      </c>
      <c r="AB23" s="75">
        <f>SUM(F16:F22)</f>
        <v>63749.9</v>
      </c>
      <c r="AC23" s="58" t="s">
        <v>62</v>
      </c>
      <c r="AD23" s="76">
        <f>SUM(Q16:Q22)</f>
        <v>57475.65</v>
      </c>
    </row>
    <row r="24" ht="15.75" customHeight="1">
      <c r="A24" s="8"/>
      <c r="B24" s="8"/>
      <c r="C24" s="147">
        <v>16.0</v>
      </c>
      <c r="D24" s="147" t="s">
        <v>45</v>
      </c>
      <c r="E24" s="209">
        <v>8000.0</v>
      </c>
      <c r="F24" s="209">
        <v>9326.5</v>
      </c>
      <c r="G24" s="51">
        <f t="shared" si="6"/>
        <v>1326.5</v>
      </c>
      <c r="H24" s="290">
        <v>27.0</v>
      </c>
      <c r="I24" s="265">
        <f t="shared" si="7"/>
        <v>345.4259259</v>
      </c>
      <c r="J24" s="57">
        <v>6.0</v>
      </c>
      <c r="K24" s="57">
        <f>2.5+15.5</f>
        <v>18</v>
      </c>
      <c r="L24" s="57">
        <v>23.0</v>
      </c>
      <c r="M24" s="57">
        <f t="shared" si="8"/>
        <v>47</v>
      </c>
      <c r="N24" s="204">
        <v>16.0</v>
      </c>
      <c r="O24" s="204" t="s">
        <v>45</v>
      </c>
      <c r="P24" s="213">
        <v>12000.0</v>
      </c>
      <c r="Q24" s="213">
        <f>6927.21+6382.44-928.52</f>
        <v>12381.13</v>
      </c>
      <c r="R24" s="51">
        <f t="shared" si="10"/>
        <v>381.13</v>
      </c>
      <c r="S24" s="291">
        <v>74.0</v>
      </c>
      <c r="T24" s="291">
        <f t="shared" si="11"/>
        <v>167.3125676</v>
      </c>
      <c r="U24" s="57">
        <v>19.0</v>
      </c>
      <c r="V24" s="57">
        <v>63.0</v>
      </c>
      <c r="W24" s="57">
        <v>16.0</v>
      </c>
      <c r="X24" s="57">
        <f t="shared" si="12"/>
        <v>98</v>
      </c>
      <c r="AA24" s="74"/>
      <c r="AB24" s="79">
        <f>AB23/AB18</f>
        <v>0.1931815152</v>
      </c>
      <c r="AD24" s="80">
        <f>AD23/AD18</f>
        <v>0.2253947059</v>
      </c>
    </row>
    <row r="25" ht="15.75" customHeight="1">
      <c r="A25" s="8"/>
      <c r="B25" s="8"/>
      <c r="C25" s="147">
        <v>17.0</v>
      </c>
      <c r="D25" s="147" t="s">
        <v>46</v>
      </c>
      <c r="E25" s="209">
        <v>9000.0</v>
      </c>
      <c r="F25" s="209">
        <v>9270.1</v>
      </c>
      <c r="G25" s="51">
        <f t="shared" si="6"/>
        <v>270.1</v>
      </c>
      <c r="H25" s="290">
        <v>45.0</v>
      </c>
      <c r="I25" s="265">
        <f t="shared" si="7"/>
        <v>206.0022222</v>
      </c>
      <c r="J25" s="57">
        <v>22.0</v>
      </c>
      <c r="K25" s="57">
        <f>2.5+14.5</f>
        <v>17</v>
      </c>
      <c r="L25" s="57">
        <v>22.0</v>
      </c>
      <c r="M25" s="57">
        <f t="shared" si="8"/>
        <v>61</v>
      </c>
      <c r="N25" s="204">
        <v>17.0</v>
      </c>
      <c r="O25" s="204" t="s">
        <v>46</v>
      </c>
      <c r="P25" s="213">
        <v>14000.0</v>
      </c>
      <c r="Q25" s="213">
        <f>7289.5+4698.03-939.66-125.5</f>
        <v>10922.37</v>
      </c>
      <c r="R25" s="51">
        <f t="shared" si="10"/>
        <v>-3077.63</v>
      </c>
      <c r="S25" s="291">
        <v>64.0</v>
      </c>
      <c r="T25" s="291">
        <f t="shared" si="11"/>
        <v>170.6620313</v>
      </c>
      <c r="U25" s="57">
        <v>17.0</v>
      </c>
      <c r="V25" s="57">
        <f>13+50</f>
        <v>63</v>
      </c>
      <c r="W25" s="57">
        <v>12.0</v>
      </c>
      <c r="X25" s="57">
        <f t="shared" si="12"/>
        <v>92</v>
      </c>
      <c r="AA25" s="74"/>
      <c r="AB25" s="81"/>
      <c r="AD25" s="77"/>
    </row>
    <row r="26" ht="19.5" customHeight="1">
      <c r="A26" s="8"/>
      <c r="B26" s="8"/>
      <c r="C26" s="147">
        <v>18.0</v>
      </c>
      <c r="D26" s="147" t="s">
        <v>40</v>
      </c>
      <c r="E26" s="209">
        <v>7000.0</v>
      </c>
      <c r="F26" s="209">
        <v>6084.0</v>
      </c>
      <c r="G26" s="51">
        <f t="shared" si="6"/>
        <v>-916</v>
      </c>
      <c r="H26" s="290">
        <v>30.0</v>
      </c>
      <c r="I26" s="265">
        <f t="shared" si="7"/>
        <v>202.8</v>
      </c>
      <c r="J26" s="57">
        <v>9.0</v>
      </c>
      <c r="K26" s="57">
        <f>1.5+15.5</f>
        <v>17</v>
      </c>
      <c r="L26" s="57">
        <v>13.0</v>
      </c>
      <c r="M26" s="57">
        <f t="shared" si="8"/>
        <v>39</v>
      </c>
      <c r="N26" s="204">
        <v>18.0</v>
      </c>
      <c r="O26" s="204" t="s">
        <v>40</v>
      </c>
      <c r="P26" s="213">
        <v>4800.0</v>
      </c>
      <c r="Q26" s="213">
        <f>3891.63+3698.2-545.22</f>
        <v>7044.61</v>
      </c>
      <c r="R26" s="51">
        <f t="shared" si="10"/>
        <v>2244.61</v>
      </c>
      <c r="S26" s="291">
        <v>42.0</v>
      </c>
      <c r="T26" s="291">
        <f t="shared" si="11"/>
        <v>167.7288095</v>
      </c>
      <c r="U26" s="57">
        <v>11.0</v>
      </c>
      <c r="V26" s="57">
        <f>9+24</f>
        <v>33</v>
      </c>
      <c r="W26" s="57">
        <v>10.0</v>
      </c>
      <c r="X26" s="57">
        <f t="shared" si="12"/>
        <v>54</v>
      </c>
      <c r="AA26" s="74" t="s">
        <v>63</v>
      </c>
      <c r="AB26" s="75">
        <f>SUM(F23:F29)</f>
        <v>90968.93</v>
      </c>
      <c r="AC26" s="58" t="s">
        <v>63</v>
      </c>
      <c r="AD26" s="76">
        <f>SUM(Q23:Q29)</f>
        <v>74627.59</v>
      </c>
    </row>
    <row r="27" ht="15.75" customHeight="1">
      <c r="A27" s="8"/>
      <c r="B27" s="8"/>
      <c r="C27" s="147">
        <v>19.0</v>
      </c>
      <c r="D27" s="147" t="s">
        <v>47</v>
      </c>
      <c r="E27" s="209">
        <v>7000.0</v>
      </c>
      <c r="F27" s="209">
        <v>4780.0</v>
      </c>
      <c r="G27" s="51">
        <f t="shared" si="6"/>
        <v>-2220</v>
      </c>
      <c r="H27" s="290">
        <v>19.0</v>
      </c>
      <c r="I27" s="265">
        <f t="shared" si="7"/>
        <v>251.5789474</v>
      </c>
      <c r="J27" s="57">
        <v>2.0</v>
      </c>
      <c r="K27" s="57">
        <f>2.5+7.5</f>
        <v>10</v>
      </c>
      <c r="L27" s="57">
        <v>11.0</v>
      </c>
      <c r="M27" s="57">
        <f t="shared" si="8"/>
        <v>23</v>
      </c>
      <c r="N27" s="204">
        <v>19.0</v>
      </c>
      <c r="O27" s="204" t="s">
        <v>47</v>
      </c>
      <c r="P27" s="213">
        <v>5500.0</v>
      </c>
      <c r="Q27" s="213">
        <f>2750.9+1999.15-311.53</f>
        <v>4438.52</v>
      </c>
      <c r="R27" s="51">
        <f t="shared" si="10"/>
        <v>-1061.48</v>
      </c>
      <c r="S27" s="291">
        <v>23.0</v>
      </c>
      <c r="T27" s="291">
        <f t="shared" si="11"/>
        <v>192.9791304</v>
      </c>
      <c r="U27" s="57">
        <v>8.0</v>
      </c>
      <c r="V27" s="57">
        <f>3.5+18.5</f>
        <v>22</v>
      </c>
      <c r="W27" s="57">
        <v>5.0</v>
      </c>
      <c r="X27" s="57">
        <f t="shared" si="12"/>
        <v>35</v>
      </c>
      <c r="AA27" s="74"/>
      <c r="AB27" s="79">
        <f>AB26/AB18</f>
        <v>0.2756634242</v>
      </c>
      <c r="AD27" s="80">
        <f>AD26/AD18</f>
        <v>0.2926572157</v>
      </c>
    </row>
    <row r="28" ht="15.75" customHeight="1">
      <c r="A28" s="8"/>
      <c r="B28" s="8"/>
      <c r="C28" s="147">
        <v>20.0</v>
      </c>
      <c r="D28" s="147" t="s">
        <v>205</v>
      </c>
      <c r="E28" s="209">
        <v>11000.0</v>
      </c>
      <c r="F28" s="209">
        <f>19325.55-301</f>
        <v>19024.55</v>
      </c>
      <c r="G28" s="51">
        <f t="shared" si="6"/>
        <v>8024.55</v>
      </c>
      <c r="H28" s="290">
        <v>59.0</v>
      </c>
      <c r="I28" s="265">
        <f t="shared" si="7"/>
        <v>322.45</v>
      </c>
      <c r="J28" s="57">
        <v>12.0</v>
      </c>
      <c r="K28" s="57">
        <f>5.5+46.5</f>
        <v>52</v>
      </c>
      <c r="L28" s="57">
        <v>32.0</v>
      </c>
      <c r="M28" s="57">
        <f t="shared" si="8"/>
        <v>96</v>
      </c>
      <c r="N28" s="204">
        <v>20.0</v>
      </c>
      <c r="O28" s="204" t="s">
        <v>205</v>
      </c>
      <c r="P28" s="213">
        <v>8000.0</v>
      </c>
      <c r="Q28" s="213">
        <f>6137.43+2675.7-681.88</f>
        <v>8131.25</v>
      </c>
      <c r="R28" s="51">
        <f t="shared" si="10"/>
        <v>131.25</v>
      </c>
      <c r="S28" s="291">
        <v>56.0</v>
      </c>
      <c r="T28" s="291">
        <f t="shared" si="11"/>
        <v>145.2008929</v>
      </c>
      <c r="U28" s="57">
        <v>10.0</v>
      </c>
      <c r="V28" s="57">
        <f>5.5+31.5</f>
        <v>37</v>
      </c>
      <c r="W28" s="57">
        <v>17.0</v>
      </c>
      <c r="X28" s="57">
        <f t="shared" si="12"/>
        <v>64</v>
      </c>
      <c r="AA28" s="74"/>
      <c r="AD28" s="82"/>
    </row>
    <row r="29" ht="15.75" customHeight="1">
      <c r="A29" s="8"/>
      <c r="B29" s="8"/>
      <c r="C29" s="147">
        <v>21.0</v>
      </c>
      <c r="D29" s="147" t="s">
        <v>41</v>
      </c>
      <c r="E29" s="209">
        <v>20000.0</v>
      </c>
      <c r="F29" s="209">
        <v>19142.52</v>
      </c>
      <c r="G29" s="51">
        <f t="shared" si="6"/>
        <v>-857.48</v>
      </c>
      <c r="H29" s="290">
        <v>76.0</v>
      </c>
      <c r="I29" s="265">
        <f t="shared" si="7"/>
        <v>251.8752632</v>
      </c>
      <c r="J29" s="57">
        <v>19.0</v>
      </c>
      <c r="K29" s="57">
        <f>8+33</f>
        <v>41</v>
      </c>
      <c r="L29" s="57">
        <v>44.0</v>
      </c>
      <c r="M29" s="57">
        <f t="shared" si="8"/>
        <v>104</v>
      </c>
      <c r="N29" s="204">
        <v>21.0</v>
      </c>
      <c r="O29" s="204" t="s">
        <v>41</v>
      </c>
      <c r="P29" s="213">
        <v>14000.0</v>
      </c>
      <c r="Q29" s="213">
        <f>8043.5+6358.8-1020.43</f>
        <v>13381.87</v>
      </c>
      <c r="R29" s="51">
        <f t="shared" si="10"/>
        <v>-618.13</v>
      </c>
      <c r="S29" s="291">
        <v>85.0</v>
      </c>
      <c r="T29" s="291">
        <f t="shared" si="11"/>
        <v>157.4337647</v>
      </c>
      <c r="U29" s="57">
        <v>22.0</v>
      </c>
      <c r="V29" s="57">
        <f>5.5+46.5</f>
        <v>52</v>
      </c>
      <c r="W29" s="57">
        <v>27.0</v>
      </c>
      <c r="X29" s="57">
        <f t="shared" si="12"/>
        <v>101</v>
      </c>
      <c r="AA29" s="74" t="s">
        <v>64</v>
      </c>
      <c r="AB29" s="61">
        <f>SUM(F30:F36)</f>
        <v>70236.07</v>
      </c>
      <c r="AC29" s="58" t="s">
        <v>64</v>
      </c>
      <c r="AD29" s="83">
        <f>SUM(Q30:Q36)</f>
        <v>54920.4</v>
      </c>
    </row>
    <row r="30" ht="19.5" customHeight="1">
      <c r="A30" s="8"/>
      <c r="B30" s="8"/>
      <c r="C30" s="147">
        <v>22.0</v>
      </c>
      <c r="D30" s="147" t="s">
        <v>44</v>
      </c>
      <c r="E30" s="209">
        <v>21000.0</v>
      </c>
      <c r="F30" s="209">
        <v>19957.6</v>
      </c>
      <c r="G30" s="51">
        <f t="shared" si="6"/>
        <v>-1042.4</v>
      </c>
      <c r="H30" s="290">
        <v>81.0</v>
      </c>
      <c r="I30" s="265">
        <f t="shared" si="7"/>
        <v>246.3901235</v>
      </c>
      <c r="J30" s="57">
        <v>21.0</v>
      </c>
      <c r="K30" s="57">
        <f>7.5+43.5</f>
        <v>51</v>
      </c>
      <c r="L30" s="57">
        <v>46.0</v>
      </c>
      <c r="M30" s="57">
        <f t="shared" si="8"/>
        <v>118</v>
      </c>
      <c r="N30" s="204">
        <v>22.0</v>
      </c>
      <c r="O30" s="204" t="s">
        <v>44</v>
      </c>
      <c r="P30" s="213">
        <v>18000.0</v>
      </c>
      <c r="Q30" s="213">
        <f>9371.82+7007.78-1354.01+89.91</f>
        <v>15115.5</v>
      </c>
      <c r="R30" s="51">
        <f t="shared" si="10"/>
        <v>-2884.5</v>
      </c>
      <c r="S30" s="291">
        <v>102.0</v>
      </c>
      <c r="T30" s="291">
        <f t="shared" si="11"/>
        <v>148.1911765</v>
      </c>
      <c r="U30" s="57">
        <v>24.0</v>
      </c>
      <c r="V30" s="57">
        <f>18+67</f>
        <v>85</v>
      </c>
      <c r="W30" s="57">
        <v>13.0</v>
      </c>
      <c r="X30" s="57">
        <f t="shared" si="12"/>
        <v>122</v>
      </c>
      <c r="AA30" s="74"/>
      <c r="AB30" s="79">
        <f>AB29/AB18</f>
        <v>0.2128365758</v>
      </c>
      <c r="AD30" s="80">
        <f>AD29/AD18</f>
        <v>0.2153741176</v>
      </c>
    </row>
    <row r="31" ht="18.0" customHeight="1">
      <c r="A31" s="8"/>
      <c r="B31" s="8"/>
      <c r="C31" s="147">
        <v>23.0</v>
      </c>
      <c r="D31" s="147" t="s">
        <v>45</v>
      </c>
      <c r="E31" s="209">
        <v>5000.0</v>
      </c>
      <c r="F31" s="209">
        <v>1921.49</v>
      </c>
      <c r="G31" s="51">
        <f t="shared" si="6"/>
        <v>-3078.51</v>
      </c>
      <c r="H31" s="290">
        <v>8.0</v>
      </c>
      <c r="I31" s="265">
        <f t="shared" si="7"/>
        <v>240.18625</v>
      </c>
      <c r="J31" s="57">
        <v>3.0</v>
      </c>
      <c r="K31" s="57">
        <f>9</f>
        <v>9</v>
      </c>
      <c r="L31" s="57">
        <v>0.0</v>
      </c>
      <c r="M31" s="57">
        <f t="shared" si="8"/>
        <v>12</v>
      </c>
      <c r="N31" s="204">
        <v>23.0</v>
      </c>
      <c r="O31" s="204" t="s">
        <v>45</v>
      </c>
      <c r="P31" s="213">
        <v>3800.0</v>
      </c>
      <c r="Q31" s="213">
        <f>2384.74+1486.39-244.6</f>
        <v>3626.53</v>
      </c>
      <c r="R31" s="51">
        <f t="shared" si="10"/>
        <v>-173.47</v>
      </c>
      <c r="S31" s="291">
        <v>18.0</v>
      </c>
      <c r="T31" s="291">
        <f t="shared" si="11"/>
        <v>201.4738889</v>
      </c>
      <c r="U31" s="57">
        <v>6.0</v>
      </c>
      <c r="V31" s="57">
        <f>5+13</f>
        <v>18</v>
      </c>
      <c r="W31" s="57">
        <v>5.0</v>
      </c>
      <c r="X31" s="57">
        <f t="shared" si="12"/>
        <v>29</v>
      </c>
      <c r="AA31" s="74" t="s">
        <v>65</v>
      </c>
      <c r="AB31" s="61" t="str">
        <f>SUM(#REF!)</f>
        <v>#REF!</v>
      </c>
      <c r="AC31" s="58" t="s">
        <v>65</v>
      </c>
      <c r="AD31" s="83" t="str">
        <f>SUM(#REF!)</f>
        <v>#REF!</v>
      </c>
    </row>
    <row r="32" ht="15.75" customHeight="1">
      <c r="A32" s="8"/>
      <c r="B32" s="8"/>
      <c r="C32" s="147">
        <v>24.0</v>
      </c>
      <c r="D32" s="147" t="s">
        <v>46</v>
      </c>
      <c r="E32" s="209">
        <v>6000.0</v>
      </c>
      <c r="F32" s="209">
        <v>3609.6</v>
      </c>
      <c r="G32" s="51">
        <f t="shared" si="6"/>
        <v>-2390.4</v>
      </c>
      <c r="H32" s="290">
        <v>14.0</v>
      </c>
      <c r="I32" s="265">
        <f t="shared" si="7"/>
        <v>257.8285714</v>
      </c>
      <c r="J32" s="57">
        <v>2.0</v>
      </c>
      <c r="K32" s="57">
        <f>1.5+8.5</f>
        <v>10</v>
      </c>
      <c r="L32" s="57">
        <v>7.0</v>
      </c>
      <c r="M32" s="57">
        <f t="shared" si="8"/>
        <v>19</v>
      </c>
      <c r="N32" s="204">
        <v>24.0</v>
      </c>
      <c r="O32" s="204" t="s">
        <v>46</v>
      </c>
      <c r="P32" s="213">
        <v>4500.0</v>
      </c>
      <c r="Q32" s="213">
        <f>1113+1847.53-282.61</f>
        <v>2677.92</v>
      </c>
      <c r="R32" s="51">
        <f t="shared" si="10"/>
        <v>-1822.08</v>
      </c>
      <c r="S32" s="291">
        <v>22.0</v>
      </c>
      <c r="T32" s="291">
        <f t="shared" si="11"/>
        <v>121.7236364</v>
      </c>
      <c r="U32" s="57">
        <v>7.0</v>
      </c>
      <c r="V32" s="57">
        <f>2+11</f>
        <v>13</v>
      </c>
      <c r="W32" s="57">
        <v>3.0</v>
      </c>
      <c r="X32" s="57">
        <f t="shared" si="12"/>
        <v>23</v>
      </c>
      <c r="AA32" s="84"/>
      <c r="AB32" s="85" t="str">
        <f>AB31/AB18</f>
        <v>#REF!</v>
      </c>
      <c r="AC32" s="84"/>
      <c r="AD32" s="87" t="str">
        <f>AD31/AD18</f>
        <v>#REF!</v>
      </c>
    </row>
    <row r="33" ht="15.75" customHeight="1">
      <c r="A33" s="8"/>
      <c r="B33" s="8"/>
      <c r="C33" s="147">
        <v>25.0</v>
      </c>
      <c r="D33" s="147" t="s">
        <v>40</v>
      </c>
      <c r="E33" s="209">
        <v>6000.0</v>
      </c>
      <c r="F33" s="209">
        <v>4583.75</v>
      </c>
      <c r="G33" s="51">
        <f t="shared" si="6"/>
        <v>-1416.25</v>
      </c>
      <c r="H33" s="290">
        <v>15.0</v>
      </c>
      <c r="I33" s="265">
        <f t="shared" si="7"/>
        <v>305.5833333</v>
      </c>
      <c r="J33" s="57">
        <v>4.0</v>
      </c>
      <c r="K33" s="57">
        <f>0.5+8.5</f>
        <v>9</v>
      </c>
      <c r="L33" s="57">
        <v>15.0</v>
      </c>
      <c r="M33" s="57">
        <f t="shared" si="8"/>
        <v>28</v>
      </c>
      <c r="N33" s="204">
        <v>25.0</v>
      </c>
      <c r="O33" s="204" t="s">
        <v>40</v>
      </c>
      <c r="P33" s="213">
        <v>4500.0</v>
      </c>
      <c r="Q33" s="213">
        <f>3689.54+2695.78-504.24</f>
        <v>5881.08</v>
      </c>
      <c r="R33" s="51">
        <f t="shared" si="10"/>
        <v>1381.08</v>
      </c>
      <c r="S33" s="291">
        <v>41.0</v>
      </c>
      <c r="T33" s="291">
        <f t="shared" si="11"/>
        <v>143.4409756</v>
      </c>
      <c r="U33" s="57">
        <v>9.0</v>
      </c>
      <c r="V33" s="57">
        <f>6+25</f>
        <v>31</v>
      </c>
      <c r="W33" s="57">
        <v>11.0</v>
      </c>
      <c r="X33" s="57">
        <f t="shared" si="12"/>
        <v>51</v>
      </c>
    </row>
    <row r="34" ht="15.75" customHeight="1">
      <c r="A34" s="8"/>
      <c r="B34" s="8"/>
      <c r="C34" s="147">
        <v>26.0</v>
      </c>
      <c r="D34" s="147" t="s">
        <v>47</v>
      </c>
      <c r="E34" s="209">
        <v>7000.0</v>
      </c>
      <c r="F34" s="209">
        <v>3838.2</v>
      </c>
      <c r="G34" s="51">
        <f t="shared" si="6"/>
        <v>-3161.8</v>
      </c>
      <c r="H34" s="290">
        <v>20.0</v>
      </c>
      <c r="I34" s="265">
        <f t="shared" si="7"/>
        <v>191.91</v>
      </c>
      <c r="J34" s="57">
        <v>3.0</v>
      </c>
      <c r="K34" s="57">
        <f>2+15</f>
        <v>17</v>
      </c>
      <c r="L34" s="57">
        <v>4.0</v>
      </c>
      <c r="M34" s="57">
        <f t="shared" si="8"/>
        <v>24</v>
      </c>
      <c r="N34" s="204">
        <v>26.0</v>
      </c>
      <c r="O34" s="204" t="s">
        <v>47</v>
      </c>
      <c r="P34" s="213">
        <v>5500.0</v>
      </c>
      <c r="Q34" s="213">
        <f>2067.62+3827.8-423.44</f>
        <v>5471.98</v>
      </c>
      <c r="R34" s="51">
        <f t="shared" si="10"/>
        <v>-28.02</v>
      </c>
      <c r="S34" s="291">
        <v>41.0</v>
      </c>
      <c r="T34" s="291">
        <f t="shared" si="11"/>
        <v>133.4629268</v>
      </c>
      <c r="U34" s="57">
        <v>8.0</v>
      </c>
      <c r="V34" s="57">
        <f>6.5+19.5</f>
        <v>26</v>
      </c>
      <c r="W34" s="57">
        <v>10.0</v>
      </c>
      <c r="X34" s="57">
        <f t="shared" si="12"/>
        <v>44</v>
      </c>
      <c r="Z34" s="92" t="s">
        <v>72</v>
      </c>
      <c r="AA34" s="93" t="s">
        <v>73</v>
      </c>
      <c r="AB34" s="94">
        <f>F37</f>
        <v>297953.11</v>
      </c>
      <c r="AC34" s="164" t="s">
        <v>74</v>
      </c>
      <c r="AD34" s="96">
        <f>Q37</f>
        <v>241521.5</v>
      </c>
      <c r="AE34" s="92" t="s">
        <v>72</v>
      </c>
    </row>
    <row r="35" ht="19.5" customHeight="1">
      <c r="A35" s="8"/>
      <c r="B35" s="8"/>
      <c r="C35" s="147">
        <v>27.0</v>
      </c>
      <c r="D35" s="147" t="s">
        <v>205</v>
      </c>
      <c r="E35" s="209">
        <v>11000.0</v>
      </c>
      <c r="F35" s="209">
        <f>11747.5-343-821.7</f>
        <v>10582.8</v>
      </c>
      <c r="G35" s="51">
        <f t="shared" si="6"/>
        <v>-417.2</v>
      </c>
      <c r="H35" s="290">
        <v>46.0</v>
      </c>
      <c r="I35" s="265">
        <f t="shared" si="7"/>
        <v>230.0608696</v>
      </c>
      <c r="J35" s="57">
        <v>14.0</v>
      </c>
      <c r="K35" s="57">
        <f>4+17</f>
        <v>21</v>
      </c>
      <c r="L35" s="57">
        <v>24.0</v>
      </c>
      <c r="M35" s="57">
        <f t="shared" si="8"/>
        <v>59</v>
      </c>
      <c r="N35" s="204">
        <v>27.0</v>
      </c>
      <c r="O35" s="204" t="s">
        <v>205</v>
      </c>
      <c r="P35" s="213">
        <v>8000.0</v>
      </c>
      <c r="Q35" s="213">
        <f>6818.38+750.5+3045.97-748.7</f>
        <v>9866.15</v>
      </c>
      <c r="R35" s="51">
        <f t="shared" si="10"/>
        <v>1866.15</v>
      </c>
      <c r="S35" s="291">
        <v>66.0</v>
      </c>
      <c r="T35" s="291">
        <f t="shared" si="11"/>
        <v>149.4871212</v>
      </c>
      <c r="U35" s="57">
        <v>24.0</v>
      </c>
      <c r="V35" s="57">
        <f>13+36</f>
        <v>49</v>
      </c>
      <c r="W35" s="57">
        <v>10.0</v>
      </c>
      <c r="X35" s="57">
        <f t="shared" si="12"/>
        <v>83</v>
      </c>
      <c r="Z35" s="97">
        <f>AB35-AC35</f>
        <v>-0.09711178788</v>
      </c>
      <c r="AA35" s="98"/>
      <c r="AB35" s="99">
        <f>AB34/AB18</f>
        <v>0.9028882121</v>
      </c>
      <c r="AC35" s="165">
        <f>28/28</f>
        <v>1</v>
      </c>
      <c r="AD35" s="100">
        <f>AD34/AD18</f>
        <v>0.9471431373</v>
      </c>
      <c r="AE35" s="97">
        <f>AD35-AC35</f>
        <v>-0.05285686275</v>
      </c>
    </row>
    <row r="36" ht="15.75" customHeight="1">
      <c r="A36" s="8"/>
      <c r="B36" s="8"/>
      <c r="C36" s="147">
        <v>28.0</v>
      </c>
      <c r="D36" s="147" t="s">
        <v>171</v>
      </c>
      <c r="E36" s="209">
        <v>20000.0</v>
      </c>
      <c r="F36" s="209">
        <v>25742.63</v>
      </c>
      <c r="G36" s="51">
        <f t="shared" si="6"/>
        <v>5742.63</v>
      </c>
      <c r="H36" s="290">
        <v>100.0</v>
      </c>
      <c r="I36" s="265">
        <f t="shared" si="7"/>
        <v>257.4263</v>
      </c>
      <c r="J36" s="57">
        <v>21.0</v>
      </c>
      <c r="K36" s="57">
        <f>8+53</f>
        <v>61</v>
      </c>
      <c r="L36" s="57">
        <v>59.0</v>
      </c>
      <c r="M36" s="57">
        <f t="shared" si="8"/>
        <v>141</v>
      </c>
      <c r="N36" s="204">
        <v>28.0</v>
      </c>
      <c r="O36" s="204" t="s">
        <v>171</v>
      </c>
      <c r="P36" s="213">
        <v>14000.0</v>
      </c>
      <c r="Q36" s="213">
        <f>6476.25+6917.53-1112.54</f>
        <v>12281.24</v>
      </c>
      <c r="R36" s="51">
        <f t="shared" si="10"/>
        <v>-1718.76</v>
      </c>
      <c r="S36" s="291">
        <v>81.0</v>
      </c>
      <c r="T36" s="291">
        <f t="shared" si="11"/>
        <v>151.6202469</v>
      </c>
      <c r="U36" s="57">
        <v>25.0</v>
      </c>
      <c r="V36" s="57">
        <f>8.5+54.5</f>
        <v>63</v>
      </c>
      <c r="W36" s="57">
        <v>12.0</v>
      </c>
      <c r="X36" s="57">
        <f t="shared" si="12"/>
        <v>100</v>
      </c>
      <c r="AA36" s="98" t="s">
        <v>76</v>
      </c>
      <c r="AB36" s="104">
        <f>AB18-AB34</f>
        <v>32046.89</v>
      </c>
      <c r="AC36" s="99"/>
      <c r="AD36" s="106">
        <f>AD18-AD34</f>
        <v>13478.5</v>
      </c>
    </row>
    <row r="37" ht="15.75" customHeight="1">
      <c r="A37" s="8"/>
      <c r="B37" s="8"/>
      <c r="C37" s="218"/>
      <c r="D37" s="218"/>
      <c r="E37" s="219">
        <f t="shared" ref="E37:H37" si="18">SUM(E9:E36)</f>
        <v>330197.15</v>
      </c>
      <c r="F37" s="219">
        <f t="shared" si="18"/>
        <v>297953.11</v>
      </c>
      <c r="G37" s="105">
        <f t="shared" si="18"/>
        <v>-32244.04</v>
      </c>
      <c r="H37" s="105">
        <f t="shared" si="18"/>
        <v>1199</v>
      </c>
      <c r="I37" s="105"/>
      <c r="J37" s="105">
        <f t="shared" ref="J37:M37" si="19">SUM(J9:J36)</f>
        <v>305</v>
      </c>
      <c r="K37" s="105">
        <f t="shared" si="19"/>
        <v>716</v>
      </c>
      <c r="L37" s="105">
        <f t="shared" si="19"/>
        <v>640</v>
      </c>
      <c r="M37" s="105">
        <f t="shared" si="19"/>
        <v>1661</v>
      </c>
      <c r="N37" s="286"/>
      <c r="O37" s="287"/>
      <c r="P37" s="222">
        <f t="shared" ref="P37:S37" si="20">SUM(P9:P36)</f>
        <v>255145.8</v>
      </c>
      <c r="Q37" s="222">
        <f t="shared" si="20"/>
        <v>241521.5</v>
      </c>
      <c r="R37" s="105">
        <f t="shared" si="20"/>
        <v>-13624.3</v>
      </c>
      <c r="S37" s="223">
        <f t="shared" si="20"/>
        <v>1558</v>
      </c>
      <c r="T37" s="223"/>
      <c r="U37" s="223">
        <f t="shared" ref="U37:X37" si="21">SUM(U9:U36)</f>
        <v>445</v>
      </c>
      <c r="V37" s="223">
        <f t="shared" si="21"/>
        <v>1134.8</v>
      </c>
      <c r="W37" s="223">
        <f t="shared" si="21"/>
        <v>361</v>
      </c>
      <c r="X37" s="223">
        <f t="shared" si="21"/>
        <v>1940.8</v>
      </c>
      <c r="Y37" s="61"/>
      <c r="AD37" s="61"/>
    </row>
    <row r="38" ht="15.75" customHeight="1">
      <c r="D38" s="61"/>
      <c r="E38" s="61"/>
      <c r="F38" s="225"/>
      <c r="G38" s="114"/>
      <c r="H38" s="356" t="s">
        <v>281</v>
      </c>
      <c r="I38" s="226"/>
      <c r="N38" s="61"/>
      <c r="P38" s="61"/>
      <c r="Q38" s="275"/>
      <c r="R38" s="114"/>
      <c r="S38" s="199"/>
      <c r="T38" s="199"/>
    </row>
    <row r="39" ht="15.75" customHeight="1">
      <c r="A39" s="2"/>
      <c r="B39" s="2"/>
      <c r="C39" s="2"/>
      <c r="D39" s="75"/>
      <c r="E39" s="75"/>
      <c r="F39" s="2"/>
      <c r="H39" s="226"/>
      <c r="I39" s="226"/>
      <c r="N39" s="75"/>
      <c r="P39" s="75"/>
      <c r="Q39" s="2"/>
      <c r="S39" s="199"/>
      <c r="T39" s="199"/>
    </row>
    <row r="40" ht="15.75" customHeight="1">
      <c r="A40" s="2"/>
      <c r="B40" s="2"/>
      <c r="C40" s="2"/>
      <c r="D40" s="2"/>
      <c r="E40" s="174" t="s">
        <v>77</v>
      </c>
      <c r="F40" s="118">
        <f>E37+G37</f>
        <v>297953.11</v>
      </c>
      <c r="P40" s="115" t="s">
        <v>77</v>
      </c>
      <c r="Q40" s="118">
        <f>P37+R37</f>
        <v>241521.5</v>
      </c>
      <c r="S40" s="199"/>
      <c r="T40" s="199"/>
    </row>
    <row r="41" ht="15.75" customHeight="1">
      <c r="A41" s="2"/>
      <c r="B41" s="2"/>
      <c r="C41" s="122" t="s">
        <v>29</v>
      </c>
      <c r="D41" s="124">
        <v>330000.0</v>
      </c>
      <c r="E41" s="75"/>
      <c r="F41" s="2"/>
      <c r="N41" s="126" t="s">
        <v>29</v>
      </c>
      <c r="O41" s="124">
        <v>255000.0</v>
      </c>
      <c r="P41" s="2"/>
      <c r="Q41" s="2"/>
      <c r="S41" s="199"/>
      <c r="T41" s="199"/>
    </row>
    <row r="42" ht="15.75" customHeight="1">
      <c r="A42" s="61"/>
      <c r="B42" s="61"/>
      <c r="C42" s="61"/>
      <c r="D42" s="175"/>
      <c r="N42" s="175"/>
      <c r="O42" s="61"/>
      <c r="S42" s="199"/>
      <c r="T42" s="199"/>
    </row>
    <row r="43" ht="15.75" customHeight="1">
      <c r="A43" s="61"/>
      <c r="B43" s="61"/>
      <c r="C43" s="61"/>
      <c r="O43" s="61"/>
      <c r="S43" s="199"/>
      <c r="T43" s="199"/>
    </row>
    <row r="44" ht="15.75" customHeight="1">
      <c r="A44" s="61"/>
      <c r="B44" s="61"/>
      <c r="C44" s="61"/>
      <c r="N44" s="61"/>
      <c r="S44" s="199"/>
      <c r="T44" s="199"/>
    </row>
    <row r="45" ht="15.75" customHeight="1">
      <c r="A45" s="61"/>
      <c r="B45" s="61"/>
      <c r="C45" s="61"/>
      <c r="N45" s="121"/>
      <c r="S45" s="199"/>
      <c r="T45" s="199"/>
    </row>
    <row r="46" ht="15.75" customHeight="1">
      <c r="A46" s="61"/>
      <c r="B46" s="61"/>
      <c r="C46" s="61"/>
      <c r="S46" s="199"/>
      <c r="T46" s="199"/>
    </row>
    <row r="47" ht="15.75" customHeight="1">
      <c r="A47" s="61"/>
      <c r="B47" s="61"/>
      <c r="C47" s="61"/>
      <c r="S47" s="199"/>
      <c r="T47" s="199"/>
    </row>
    <row r="48" ht="15.75" customHeight="1">
      <c r="A48" s="61"/>
      <c r="B48" s="61"/>
      <c r="C48" s="61"/>
      <c r="S48" s="199"/>
      <c r="T48" s="199"/>
    </row>
    <row r="49" ht="15.75" customHeight="1">
      <c r="A49" s="61"/>
      <c r="B49" s="61"/>
      <c r="C49" s="61"/>
      <c r="S49" s="199"/>
      <c r="T49" s="199"/>
    </row>
    <row r="50" ht="15.75" customHeight="1">
      <c r="A50" s="61"/>
      <c r="B50" s="61"/>
      <c r="C50" s="61"/>
      <c r="S50" s="199"/>
      <c r="T50" s="199"/>
    </row>
    <row r="51" ht="15.75" customHeight="1">
      <c r="A51" s="61"/>
      <c r="B51" s="61"/>
      <c r="C51" s="61"/>
      <c r="S51" s="199"/>
      <c r="T51" s="199"/>
      <c r="AA51" s="61"/>
    </row>
    <row r="52" ht="15.75" customHeight="1">
      <c r="A52" s="61"/>
      <c r="B52" s="61"/>
      <c r="C52" s="61"/>
      <c r="S52" s="199"/>
      <c r="T52" s="199"/>
      <c r="AA52" s="61"/>
    </row>
    <row r="53" ht="15.75" customHeight="1">
      <c r="A53" s="61"/>
      <c r="B53" s="61"/>
      <c r="C53" s="61"/>
      <c r="S53" s="199"/>
      <c r="T53" s="199"/>
      <c r="AA53" s="61"/>
    </row>
    <row r="54" ht="15.75" customHeight="1">
      <c r="A54" s="61"/>
      <c r="B54" s="61"/>
      <c r="C54" s="61"/>
      <c r="S54" s="199"/>
      <c r="T54" s="199"/>
      <c r="AA54" s="61"/>
    </row>
    <row r="55" ht="15.75" customHeight="1">
      <c r="A55" s="61"/>
      <c r="B55" s="61"/>
      <c r="C55" s="61"/>
      <c r="S55" s="199"/>
      <c r="T55" s="199"/>
    </row>
    <row r="56" ht="15.75" customHeight="1">
      <c r="A56" s="61"/>
      <c r="B56" s="61"/>
      <c r="C56" s="61"/>
      <c r="S56" s="199"/>
      <c r="T56" s="199"/>
    </row>
    <row r="57" ht="15.75" customHeight="1">
      <c r="A57" s="61"/>
      <c r="B57" s="61"/>
      <c r="C57" s="61"/>
      <c r="S57" s="199"/>
      <c r="T57" s="199"/>
    </row>
    <row r="58" ht="15.75" customHeight="1">
      <c r="A58" s="61"/>
      <c r="B58" s="61"/>
      <c r="C58" s="61"/>
      <c r="S58" s="199"/>
      <c r="T58" s="199"/>
    </row>
    <row r="59" ht="15.75" customHeight="1">
      <c r="A59" s="61"/>
      <c r="B59" s="61"/>
      <c r="C59" s="61"/>
      <c r="S59" s="199"/>
      <c r="T59" s="199"/>
    </row>
    <row r="60" ht="15.75" customHeight="1">
      <c r="A60" s="61"/>
      <c r="B60" s="61"/>
      <c r="C60" s="61"/>
      <c r="S60" s="199"/>
      <c r="T60" s="199"/>
    </row>
    <row r="61" ht="15.75" customHeight="1">
      <c r="A61" s="61"/>
      <c r="B61" s="61"/>
      <c r="C61" s="61"/>
      <c r="S61" s="199"/>
      <c r="T61" s="199"/>
    </row>
    <row r="62" ht="15.75" customHeight="1">
      <c r="A62" s="61"/>
      <c r="B62" s="61"/>
      <c r="C62" s="61"/>
      <c r="S62" s="199"/>
      <c r="T62" s="199"/>
    </row>
    <row r="63" ht="15.75" customHeight="1">
      <c r="A63" s="61"/>
      <c r="B63" s="61"/>
      <c r="C63" s="61"/>
      <c r="S63" s="199"/>
      <c r="T63" s="199"/>
    </row>
    <row r="64" ht="15.75" customHeight="1">
      <c r="A64" s="61"/>
      <c r="B64" s="61"/>
      <c r="C64" s="61"/>
      <c r="S64" s="199"/>
      <c r="T64" s="199"/>
    </row>
    <row r="65" ht="15.75" customHeight="1">
      <c r="A65" s="61"/>
      <c r="B65" s="61"/>
      <c r="C65" s="61"/>
      <c r="S65" s="199"/>
      <c r="T65" s="199"/>
    </row>
    <row r="66" ht="15.75" customHeight="1">
      <c r="A66" s="61"/>
      <c r="B66" s="61"/>
      <c r="C66" s="61"/>
      <c r="S66" s="199"/>
      <c r="T66" s="199"/>
    </row>
    <row r="67" ht="15.75" customHeight="1">
      <c r="A67" s="61"/>
      <c r="B67" s="61"/>
      <c r="C67" s="61"/>
      <c r="S67" s="199"/>
      <c r="T67" s="199"/>
    </row>
    <row r="68" ht="15.75" customHeight="1">
      <c r="A68" s="61"/>
      <c r="B68" s="61"/>
      <c r="C68" s="61"/>
      <c r="S68" s="199"/>
      <c r="T68" s="199"/>
    </row>
    <row r="69" ht="15.75" customHeight="1">
      <c r="A69" s="61"/>
      <c r="B69" s="61"/>
      <c r="C69" s="61"/>
      <c r="S69" s="199"/>
      <c r="T69" s="199"/>
    </row>
    <row r="70" ht="15.75" customHeight="1">
      <c r="S70" s="199"/>
      <c r="T70" s="199"/>
    </row>
    <row r="71" ht="15.75" customHeight="1">
      <c r="E71" s="61"/>
      <c r="H71" s="61"/>
      <c r="I71" s="61"/>
      <c r="S71" s="199"/>
      <c r="T71" s="199"/>
    </row>
    <row r="72" ht="15.75" customHeight="1">
      <c r="E72" s="61"/>
      <c r="H72" s="61"/>
      <c r="I72" s="61"/>
      <c r="S72" s="199"/>
      <c r="T72" s="199"/>
    </row>
    <row r="73" ht="15.75" customHeight="1">
      <c r="E73" s="61"/>
      <c r="H73" s="61"/>
      <c r="I73" s="61"/>
      <c r="S73" s="199"/>
      <c r="T73" s="199"/>
    </row>
    <row r="74" ht="15.75" customHeight="1">
      <c r="E74" s="61"/>
      <c r="H74" s="61"/>
      <c r="I74" s="61"/>
      <c r="S74" s="199"/>
      <c r="T74" s="199"/>
    </row>
    <row r="75" ht="15.75" customHeight="1">
      <c r="E75" s="61"/>
      <c r="H75" s="61"/>
      <c r="I75" s="61"/>
      <c r="S75" s="199"/>
      <c r="T75" s="199"/>
    </row>
    <row r="76" ht="15.75" customHeight="1">
      <c r="E76" s="61"/>
      <c r="H76" s="61"/>
      <c r="I76" s="61"/>
      <c r="S76" s="199"/>
      <c r="T76" s="199"/>
    </row>
    <row r="77" ht="15.75" customHeight="1">
      <c r="E77" s="61"/>
      <c r="H77" s="61"/>
      <c r="I77" s="61"/>
      <c r="S77" s="199"/>
      <c r="T77" s="199"/>
    </row>
    <row r="78" ht="15.75" customHeight="1">
      <c r="E78" s="61"/>
      <c r="H78" s="61"/>
      <c r="I78" s="61"/>
      <c r="S78" s="199"/>
      <c r="T78" s="199"/>
    </row>
    <row r="79" ht="15.75" customHeight="1">
      <c r="E79" s="61"/>
      <c r="H79" s="61"/>
      <c r="I79" s="61"/>
      <c r="S79" s="199"/>
      <c r="T79" s="199"/>
    </row>
    <row r="80" ht="15.75" customHeight="1">
      <c r="E80" s="61"/>
      <c r="H80" s="61"/>
      <c r="I80" s="61"/>
      <c r="S80" s="199"/>
      <c r="T80" s="199"/>
    </row>
    <row r="81" ht="15.75" customHeight="1">
      <c r="E81" s="61"/>
      <c r="H81" s="61"/>
      <c r="I81" s="61"/>
      <c r="S81" s="199"/>
      <c r="T81" s="199"/>
    </row>
    <row r="82" ht="15.75" customHeight="1">
      <c r="E82" s="61"/>
      <c r="H82" s="61"/>
      <c r="I82" s="61"/>
      <c r="S82" s="199"/>
      <c r="T82" s="199"/>
    </row>
    <row r="83" ht="15.75" customHeight="1">
      <c r="E83" s="61"/>
      <c r="H83" s="61"/>
      <c r="I83" s="61"/>
      <c r="S83" s="199"/>
      <c r="T83" s="199"/>
    </row>
    <row r="84" ht="15.75" customHeight="1">
      <c r="E84" s="61"/>
      <c r="H84" s="61"/>
      <c r="I84" s="61"/>
      <c r="S84" s="199"/>
      <c r="T84" s="199"/>
    </row>
    <row r="85" ht="15.75" customHeight="1">
      <c r="E85" s="61"/>
      <c r="H85" s="61"/>
      <c r="I85" s="61"/>
      <c r="S85" s="199"/>
      <c r="T85" s="199"/>
    </row>
    <row r="86" ht="15.75" customHeight="1">
      <c r="E86" s="61"/>
      <c r="H86" s="61"/>
      <c r="I86" s="61"/>
      <c r="S86" s="199"/>
      <c r="T86" s="199"/>
    </row>
    <row r="87" ht="15.75" customHeight="1">
      <c r="E87" s="61"/>
      <c r="H87" s="61"/>
      <c r="I87" s="61"/>
      <c r="S87" s="199"/>
      <c r="T87" s="199"/>
    </row>
    <row r="88" ht="15.75" customHeight="1">
      <c r="E88" s="61"/>
      <c r="H88" s="61"/>
      <c r="I88" s="61"/>
      <c r="S88" s="199"/>
      <c r="T88" s="199"/>
    </row>
    <row r="89" ht="15.75" customHeight="1">
      <c r="E89" s="61"/>
      <c r="H89" s="61"/>
      <c r="I89" s="61"/>
      <c r="S89" s="199"/>
      <c r="T89" s="199"/>
    </row>
    <row r="90" ht="15.75" customHeight="1">
      <c r="E90" s="61"/>
      <c r="H90" s="61"/>
      <c r="I90" s="61"/>
      <c r="S90" s="199"/>
      <c r="T90" s="199"/>
    </row>
    <row r="91" ht="15.75" customHeight="1">
      <c r="E91" s="61"/>
      <c r="H91" s="61"/>
      <c r="I91" s="61"/>
      <c r="S91" s="199"/>
      <c r="T91" s="199"/>
    </row>
    <row r="92" ht="15.75" customHeight="1">
      <c r="E92" s="61"/>
      <c r="H92" s="61"/>
      <c r="I92" s="61"/>
      <c r="S92" s="199"/>
      <c r="T92" s="199"/>
    </row>
    <row r="93" ht="15.75" customHeight="1">
      <c r="E93" s="61"/>
      <c r="H93" s="61"/>
      <c r="I93" s="61"/>
      <c r="S93" s="199"/>
      <c r="T93" s="199"/>
    </row>
    <row r="94" ht="15.75" customHeight="1">
      <c r="E94" s="61"/>
      <c r="H94" s="61"/>
      <c r="I94" s="61"/>
      <c r="S94" s="199"/>
      <c r="T94" s="199"/>
    </row>
    <row r="95" ht="15.75" customHeight="1">
      <c r="E95" s="61"/>
      <c r="H95" s="61"/>
      <c r="I95" s="61"/>
      <c r="S95" s="199"/>
      <c r="T95" s="199"/>
    </row>
    <row r="96" ht="15.75" customHeight="1">
      <c r="E96" s="61"/>
      <c r="H96" s="61"/>
      <c r="I96" s="61"/>
      <c r="S96" s="199"/>
      <c r="T96" s="199"/>
    </row>
    <row r="97" ht="15.75" customHeight="1">
      <c r="E97" s="61"/>
      <c r="H97" s="61"/>
      <c r="I97" s="61"/>
      <c r="S97" s="199"/>
      <c r="T97" s="199"/>
    </row>
    <row r="98" ht="15.75" customHeight="1">
      <c r="E98" s="61"/>
      <c r="H98" s="61"/>
      <c r="I98" s="61"/>
      <c r="S98" s="199"/>
      <c r="T98" s="199"/>
    </row>
    <row r="99" ht="15.75" customHeight="1">
      <c r="E99" s="61"/>
      <c r="H99" s="61"/>
      <c r="I99" s="61"/>
      <c r="S99" s="199"/>
      <c r="T99" s="199"/>
    </row>
    <row r="100" ht="15.75" customHeight="1">
      <c r="E100" s="61"/>
      <c r="H100" s="61"/>
      <c r="I100" s="61"/>
      <c r="S100" s="199"/>
      <c r="T100" s="199"/>
    </row>
    <row r="101" ht="15.75" customHeight="1">
      <c r="E101" s="61"/>
      <c r="H101" s="61"/>
      <c r="I101" s="61"/>
      <c r="S101" s="199"/>
      <c r="T101" s="199"/>
    </row>
    <row r="102" ht="15.75" customHeight="1">
      <c r="E102" s="61"/>
      <c r="H102" s="61"/>
      <c r="I102" s="61"/>
      <c r="S102" s="199"/>
      <c r="T102" s="199"/>
    </row>
    <row r="103" ht="15.75" customHeight="1">
      <c r="E103" s="61"/>
      <c r="H103" s="61"/>
      <c r="I103" s="61"/>
      <c r="S103" s="199"/>
      <c r="T103" s="199"/>
    </row>
    <row r="104" ht="15.75" customHeight="1">
      <c r="E104" s="61"/>
      <c r="H104" s="61"/>
      <c r="I104" s="61"/>
      <c r="S104" s="199"/>
      <c r="T104" s="199"/>
    </row>
    <row r="105" ht="15.75" customHeight="1">
      <c r="E105" s="61"/>
      <c r="H105" s="61"/>
      <c r="I105" s="61"/>
      <c r="S105" s="199"/>
      <c r="T105" s="199"/>
    </row>
    <row r="106" ht="15.75" customHeight="1">
      <c r="E106" s="61"/>
      <c r="H106" s="61"/>
      <c r="I106" s="61"/>
      <c r="S106" s="199"/>
      <c r="T106" s="199"/>
    </row>
    <row r="107" ht="15.75" customHeight="1">
      <c r="E107" s="61"/>
      <c r="H107" s="61"/>
      <c r="I107" s="61"/>
      <c r="S107" s="199"/>
      <c r="T107" s="199"/>
    </row>
    <row r="108" ht="15.75" customHeight="1">
      <c r="E108" s="61"/>
      <c r="H108" s="61"/>
      <c r="I108" s="61"/>
      <c r="S108" s="199"/>
      <c r="T108" s="199"/>
    </row>
    <row r="109" ht="15.75" customHeight="1">
      <c r="E109" s="61"/>
      <c r="H109" s="61"/>
      <c r="I109" s="61"/>
      <c r="S109" s="199"/>
      <c r="T109" s="199"/>
    </row>
    <row r="110" ht="15.75" customHeight="1">
      <c r="E110" s="61"/>
      <c r="H110" s="61"/>
      <c r="I110" s="61"/>
      <c r="S110" s="199"/>
      <c r="T110" s="199"/>
    </row>
    <row r="111" ht="15.75" customHeight="1">
      <c r="E111" s="61"/>
      <c r="H111" s="61"/>
      <c r="I111" s="61"/>
      <c r="S111" s="199"/>
      <c r="T111" s="199"/>
    </row>
    <row r="112" ht="15.75" customHeight="1">
      <c r="E112" s="61"/>
      <c r="H112" s="61"/>
      <c r="I112" s="61"/>
      <c r="S112" s="199"/>
      <c r="T112" s="199"/>
    </row>
    <row r="113" ht="15.75" customHeight="1">
      <c r="E113" s="61"/>
      <c r="H113" s="61"/>
      <c r="I113" s="61"/>
      <c r="S113" s="199"/>
      <c r="T113" s="199"/>
    </row>
    <row r="114" ht="15.75" customHeight="1">
      <c r="E114" s="61"/>
      <c r="H114" s="61"/>
      <c r="I114" s="61"/>
      <c r="S114" s="199"/>
      <c r="T114" s="199"/>
    </row>
    <row r="115" ht="15.75" customHeight="1">
      <c r="E115" s="61"/>
      <c r="H115" s="61"/>
      <c r="I115" s="61"/>
      <c r="S115" s="199"/>
      <c r="T115" s="199"/>
    </row>
    <row r="116" ht="15.75" customHeight="1">
      <c r="E116" s="61"/>
      <c r="H116" s="61"/>
      <c r="I116" s="61"/>
      <c r="S116" s="199"/>
      <c r="T116" s="199"/>
    </row>
    <row r="117" ht="15.75" customHeight="1">
      <c r="E117" s="61"/>
      <c r="H117" s="61"/>
      <c r="I117" s="61"/>
      <c r="S117" s="199"/>
      <c r="T117" s="199"/>
    </row>
    <row r="118" ht="15.75" customHeight="1">
      <c r="E118" s="61"/>
      <c r="H118" s="61"/>
      <c r="I118" s="61"/>
      <c r="S118" s="199"/>
      <c r="T118" s="199"/>
    </row>
    <row r="119" ht="15.75" customHeight="1">
      <c r="E119" s="61"/>
      <c r="H119" s="61"/>
      <c r="I119" s="61"/>
      <c r="S119" s="199"/>
      <c r="T119" s="199"/>
    </row>
    <row r="120" ht="15.75" customHeight="1">
      <c r="E120" s="61"/>
      <c r="H120" s="61"/>
      <c r="I120" s="61"/>
      <c r="S120" s="199"/>
      <c r="T120" s="199"/>
    </row>
    <row r="121" ht="15.75" customHeight="1">
      <c r="E121" s="61"/>
      <c r="H121" s="61"/>
      <c r="I121" s="61"/>
      <c r="S121" s="199"/>
      <c r="T121" s="199"/>
    </row>
    <row r="122" ht="15.75" customHeight="1">
      <c r="E122" s="61"/>
      <c r="H122" s="61"/>
      <c r="I122" s="61"/>
      <c r="S122" s="199"/>
      <c r="T122" s="199"/>
    </row>
    <row r="123" ht="15.75" customHeight="1">
      <c r="E123" s="61"/>
      <c r="H123" s="61"/>
      <c r="I123" s="61"/>
      <c r="S123" s="199"/>
      <c r="T123" s="199"/>
    </row>
    <row r="124" ht="15.75" customHeight="1">
      <c r="E124" s="61"/>
      <c r="H124" s="61"/>
      <c r="I124" s="61"/>
      <c r="S124" s="199"/>
      <c r="T124" s="199"/>
    </row>
    <row r="125" ht="15.75" customHeight="1">
      <c r="E125" s="61"/>
      <c r="H125" s="61"/>
      <c r="I125" s="61"/>
      <c r="S125" s="199"/>
      <c r="T125" s="199"/>
    </row>
    <row r="126" ht="15.75" customHeight="1">
      <c r="E126" s="61"/>
      <c r="H126" s="61"/>
      <c r="I126" s="61"/>
      <c r="S126" s="199"/>
      <c r="T126" s="199"/>
    </row>
    <row r="127" ht="15.75" customHeight="1">
      <c r="E127" s="61"/>
      <c r="H127" s="61"/>
      <c r="I127" s="61"/>
      <c r="S127" s="199"/>
      <c r="T127" s="199"/>
    </row>
    <row r="128" ht="15.75" customHeight="1">
      <c r="E128" s="61"/>
      <c r="H128" s="61"/>
      <c r="I128" s="61"/>
      <c r="S128" s="199"/>
      <c r="T128" s="199"/>
    </row>
    <row r="129" ht="15.75" customHeight="1">
      <c r="E129" s="61"/>
      <c r="H129" s="61"/>
      <c r="I129" s="61"/>
      <c r="S129" s="199"/>
      <c r="T129" s="199"/>
    </row>
    <row r="130" ht="15.75" customHeight="1">
      <c r="E130" s="61"/>
      <c r="H130" s="61"/>
      <c r="I130" s="61"/>
      <c r="S130" s="199"/>
      <c r="T130" s="199"/>
    </row>
    <row r="131" ht="15.75" customHeight="1">
      <c r="E131" s="61"/>
      <c r="H131" s="61"/>
      <c r="I131" s="61"/>
      <c r="S131" s="199"/>
      <c r="T131" s="199"/>
    </row>
    <row r="132" ht="15.75" customHeight="1">
      <c r="E132" s="61"/>
      <c r="H132" s="61"/>
      <c r="I132" s="61"/>
      <c r="S132" s="199"/>
      <c r="T132" s="199"/>
    </row>
    <row r="133" ht="15.75" customHeight="1">
      <c r="E133" s="61"/>
      <c r="H133" s="61"/>
      <c r="I133" s="61"/>
      <c r="S133" s="199"/>
      <c r="T133" s="199"/>
    </row>
    <row r="134" ht="15.75" customHeight="1">
      <c r="E134" s="61"/>
      <c r="H134" s="61"/>
      <c r="I134" s="61"/>
      <c r="S134" s="199"/>
      <c r="T134" s="199"/>
    </row>
    <row r="135" ht="15.75" customHeight="1">
      <c r="E135" s="61"/>
      <c r="H135" s="61"/>
      <c r="I135" s="61"/>
      <c r="S135" s="199"/>
      <c r="T135" s="199"/>
    </row>
    <row r="136" ht="15.75" customHeight="1">
      <c r="E136" s="61"/>
      <c r="H136" s="61"/>
      <c r="I136" s="61"/>
      <c r="S136" s="199"/>
      <c r="T136" s="199"/>
    </row>
    <row r="137" ht="15.75" customHeight="1">
      <c r="E137" s="61"/>
      <c r="H137" s="61"/>
      <c r="I137" s="61"/>
      <c r="S137" s="199"/>
      <c r="T137" s="199"/>
    </row>
    <row r="138" ht="15.75" customHeight="1">
      <c r="E138" s="61"/>
      <c r="H138" s="61"/>
      <c r="I138" s="61"/>
      <c r="S138" s="199"/>
      <c r="T138" s="199"/>
    </row>
    <row r="139" ht="15.75" customHeight="1">
      <c r="E139" s="61"/>
      <c r="H139" s="61"/>
      <c r="I139" s="61"/>
      <c r="S139" s="199"/>
      <c r="T139" s="199"/>
    </row>
    <row r="140" ht="15.75" customHeight="1">
      <c r="E140" s="61"/>
      <c r="H140" s="61"/>
      <c r="I140" s="61"/>
      <c r="S140" s="199"/>
      <c r="T140" s="199"/>
    </row>
    <row r="141" ht="15.75" customHeight="1">
      <c r="E141" s="61"/>
      <c r="H141" s="61"/>
      <c r="I141" s="61"/>
      <c r="S141" s="199"/>
      <c r="T141" s="199"/>
    </row>
    <row r="142" ht="15.75" customHeight="1">
      <c r="E142" s="61"/>
      <c r="H142" s="61"/>
      <c r="I142" s="61"/>
      <c r="S142" s="199"/>
      <c r="T142" s="199"/>
    </row>
    <row r="143" ht="15.75" customHeight="1">
      <c r="E143" s="61"/>
      <c r="H143" s="61"/>
      <c r="I143" s="61"/>
      <c r="S143" s="199"/>
      <c r="T143" s="199"/>
    </row>
    <row r="144" ht="15.75" customHeight="1">
      <c r="E144" s="61"/>
      <c r="H144" s="61"/>
      <c r="I144" s="61"/>
      <c r="S144" s="199"/>
      <c r="T144" s="199"/>
    </row>
    <row r="145" ht="15.75" customHeight="1">
      <c r="E145" s="61"/>
      <c r="H145" s="61"/>
      <c r="I145" s="61"/>
      <c r="S145" s="199"/>
      <c r="T145" s="199"/>
    </row>
    <row r="146" ht="15.75" customHeight="1">
      <c r="E146" s="61"/>
      <c r="H146" s="61"/>
      <c r="I146" s="61"/>
      <c r="S146" s="199"/>
      <c r="T146" s="199"/>
    </row>
    <row r="147" ht="15.75" customHeight="1">
      <c r="E147" s="61"/>
      <c r="H147" s="61"/>
      <c r="I147" s="61"/>
      <c r="S147" s="199"/>
      <c r="T147" s="199"/>
    </row>
    <row r="148" ht="15.75" customHeight="1">
      <c r="E148" s="61"/>
      <c r="H148" s="61"/>
      <c r="I148" s="61"/>
      <c r="S148" s="199"/>
      <c r="T148" s="199"/>
    </row>
    <row r="149" ht="15.75" customHeight="1">
      <c r="E149" s="61"/>
      <c r="H149" s="61"/>
      <c r="I149" s="61"/>
      <c r="S149" s="199"/>
      <c r="T149" s="199"/>
    </row>
    <row r="150" ht="15.75" customHeight="1">
      <c r="E150" s="61"/>
      <c r="H150" s="61"/>
      <c r="I150" s="61"/>
      <c r="S150" s="199"/>
      <c r="T150" s="199"/>
    </row>
    <row r="151" ht="15.75" customHeight="1">
      <c r="E151" s="61"/>
      <c r="H151" s="61"/>
      <c r="I151" s="61"/>
      <c r="S151" s="199"/>
      <c r="T151" s="199"/>
    </row>
    <row r="152" ht="15.75" customHeight="1">
      <c r="E152" s="61"/>
      <c r="H152" s="61"/>
      <c r="I152" s="61"/>
      <c r="S152" s="199"/>
      <c r="T152" s="199"/>
    </row>
    <row r="153" ht="15.75" customHeight="1">
      <c r="E153" s="61"/>
      <c r="H153" s="61"/>
      <c r="I153" s="61"/>
      <c r="S153" s="199"/>
      <c r="T153" s="199"/>
    </row>
    <row r="154" ht="15.75" customHeight="1">
      <c r="E154" s="61"/>
      <c r="H154" s="61"/>
      <c r="I154" s="61"/>
      <c r="S154" s="199"/>
      <c r="T154" s="199"/>
    </row>
    <row r="155" ht="15.75" customHeight="1">
      <c r="E155" s="61"/>
      <c r="H155" s="61"/>
      <c r="I155" s="61"/>
      <c r="S155" s="199"/>
      <c r="T155" s="199"/>
    </row>
    <row r="156" ht="15.75" customHeight="1">
      <c r="E156" s="61"/>
      <c r="H156" s="61"/>
      <c r="I156" s="61"/>
      <c r="S156" s="199"/>
      <c r="T156" s="199"/>
    </row>
    <row r="157" ht="15.75" customHeight="1">
      <c r="E157" s="61"/>
      <c r="H157" s="61"/>
      <c r="I157" s="61"/>
      <c r="S157" s="199"/>
      <c r="T157" s="199"/>
    </row>
    <row r="158" ht="15.75" customHeight="1">
      <c r="E158" s="61"/>
      <c r="H158" s="61"/>
      <c r="I158" s="61"/>
      <c r="S158" s="199"/>
      <c r="T158" s="199"/>
    </row>
    <row r="159" ht="15.75" customHeight="1">
      <c r="E159" s="61"/>
      <c r="H159" s="61"/>
      <c r="I159" s="61"/>
      <c r="S159" s="199"/>
      <c r="T159" s="199"/>
    </row>
    <row r="160" ht="15.75" customHeight="1">
      <c r="E160" s="61"/>
      <c r="H160" s="61"/>
      <c r="I160" s="61"/>
      <c r="S160" s="199"/>
      <c r="T160" s="199"/>
    </row>
    <row r="161" ht="15.75" customHeight="1">
      <c r="E161" s="61"/>
      <c r="H161" s="61"/>
      <c r="I161" s="61"/>
      <c r="S161" s="199"/>
      <c r="T161" s="199"/>
    </row>
    <row r="162" ht="15.75" customHeight="1">
      <c r="E162" s="61"/>
      <c r="H162" s="61"/>
      <c r="I162" s="61"/>
      <c r="S162" s="199"/>
      <c r="T162" s="199"/>
    </row>
    <row r="163" ht="15.75" customHeight="1">
      <c r="E163" s="61"/>
      <c r="H163" s="61"/>
      <c r="I163" s="61"/>
      <c r="S163" s="199"/>
      <c r="T163" s="199"/>
    </row>
    <row r="164" ht="15.75" customHeight="1">
      <c r="E164" s="61"/>
      <c r="H164" s="61"/>
      <c r="I164" s="61"/>
      <c r="S164" s="199"/>
      <c r="T164" s="199"/>
    </row>
    <row r="165" ht="15.75" customHeight="1">
      <c r="E165" s="61"/>
      <c r="H165" s="61"/>
      <c r="I165" s="61"/>
      <c r="S165" s="199"/>
      <c r="T165" s="199"/>
    </row>
    <row r="166" ht="15.75" customHeight="1">
      <c r="E166" s="61"/>
      <c r="H166" s="61"/>
      <c r="I166" s="61"/>
      <c r="S166" s="199"/>
      <c r="T166" s="199"/>
    </row>
    <row r="167" ht="15.75" customHeight="1">
      <c r="E167" s="61"/>
      <c r="H167" s="61"/>
      <c r="I167" s="61"/>
      <c r="S167" s="199"/>
      <c r="T167" s="199"/>
    </row>
    <row r="168" ht="15.75" customHeight="1">
      <c r="E168" s="61"/>
      <c r="H168" s="61"/>
      <c r="I168" s="61"/>
      <c r="S168" s="199"/>
      <c r="T168" s="199"/>
    </row>
    <row r="169" ht="15.75" customHeight="1">
      <c r="E169" s="61"/>
      <c r="H169" s="61"/>
      <c r="I169" s="61"/>
      <c r="S169" s="199"/>
      <c r="T169" s="199"/>
    </row>
    <row r="170" ht="15.75" customHeight="1">
      <c r="E170" s="61"/>
      <c r="H170" s="61"/>
      <c r="I170" s="61"/>
      <c r="S170" s="199"/>
      <c r="T170" s="199"/>
    </row>
    <row r="171" ht="15.75" customHeight="1">
      <c r="E171" s="61"/>
      <c r="H171" s="61"/>
      <c r="I171" s="61"/>
      <c r="S171" s="199"/>
      <c r="T171" s="199"/>
    </row>
    <row r="172" ht="15.75" customHeight="1">
      <c r="E172" s="61"/>
      <c r="H172" s="61"/>
      <c r="I172" s="61"/>
      <c r="S172" s="199"/>
      <c r="T172" s="199"/>
    </row>
    <row r="173" ht="15.75" customHeight="1">
      <c r="E173" s="61"/>
      <c r="H173" s="61"/>
      <c r="I173" s="61"/>
      <c r="S173" s="199"/>
      <c r="T173" s="199"/>
    </row>
    <row r="174" ht="15.75" customHeight="1">
      <c r="E174" s="61"/>
      <c r="H174" s="61"/>
      <c r="I174" s="61"/>
      <c r="S174" s="199"/>
      <c r="T174" s="199"/>
    </row>
    <row r="175" ht="15.75" customHeight="1">
      <c r="E175" s="61"/>
      <c r="H175" s="61"/>
      <c r="I175" s="61"/>
      <c r="S175" s="199"/>
      <c r="T175" s="199"/>
    </row>
    <row r="176" ht="15.75" customHeight="1">
      <c r="E176" s="61"/>
      <c r="H176" s="61"/>
      <c r="I176" s="61"/>
      <c r="S176" s="199"/>
      <c r="T176" s="199"/>
    </row>
    <row r="177" ht="15.75" customHeight="1">
      <c r="E177" s="61"/>
      <c r="H177" s="61"/>
      <c r="I177" s="61"/>
      <c r="S177" s="199"/>
      <c r="T177" s="199"/>
    </row>
    <row r="178" ht="15.75" customHeight="1">
      <c r="E178" s="61"/>
      <c r="H178" s="61"/>
      <c r="I178" s="61"/>
      <c r="S178" s="199"/>
      <c r="T178" s="199"/>
    </row>
    <row r="179" ht="15.75" customHeight="1">
      <c r="E179" s="61"/>
      <c r="H179" s="61"/>
      <c r="I179" s="61"/>
      <c r="S179" s="199"/>
      <c r="T179" s="199"/>
    </row>
    <row r="180" ht="15.75" customHeight="1">
      <c r="E180" s="61"/>
      <c r="H180" s="61"/>
      <c r="I180" s="61"/>
      <c r="S180" s="199"/>
      <c r="T180" s="199"/>
    </row>
    <row r="181" ht="15.75" customHeight="1">
      <c r="E181" s="61"/>
      <c r="H181" s="61"/>
      <c r="I181" s="61"/>
      <c r="S181" s="199"/>
      <c r="T181" s="199"/>
    </row>
    <row r="182" ht="15.75" customHeight="1">
      <c r="E182" s="61"/>
      <c r="H182" s="61"/>
      <c r="I182" s="61"/>
      <c r="S182" s="199"/>
      <c r="T182" s="199"/>
    </row>
    <row r="183" ht="15.75" customHeight="1">
      <c r="E183" s="61"/>
      <c r="H183" s="61"/>
      <c r="I183" s="61"/>
      <c r="S183" s="199"/>
      <c r="T183" s="199"/>
    </row>
    <row r="184" ht="15.75" customHeight="1">
      <c r="E184" s="61"/>
      <c r="H184" s="61"/>
      <c r="I184" s="61"/>
      <c r="S184" s="199"/>
      <c r="T184" s="199"/>
    </row>
    <row r="185" ht="15.75" customHeight="1">
      <c r="E185" s="61"/>
      <c r="H185" s="61"/>
      <c r="I185" s="61"/>
      <c r="S185" s="199"/>
      <c r="T185" s="199"/>
    </row>
    <row r="186" ht="15.75" customHeight="1">
      <c r="E186" s="61"/>
      <c r="H186" s="61"/>
      <c r="I186" s="61"/>
      <c r="S186" s="199"/>
      <c r="T186" s="199"/>
    </row>
    <row r="187" ht="15.75" customHeight="1">
      <c r="E187" s="61"/>
      <c r="H187" s="61"/>
      <c r="I187" s="61"/>
      <c r="S187" s="199"/>
      <c r="T187" s="199"/>
    </row>
    <row r="188" ht="15.75" customHeight="1">
      <c r="E188" s="61"/>
      <c r="H188" s="61"/>
      <c r="I188" s="61"/>
      <c r="S188" s="199"/>
      <c r="T188" s="199"/>
    </row>
    <row r="189" ht="15.75" customHeight="1">
      <c r="E189" s="61"/>
      <c r="H189" s="61"/>
      <c r="I189" s="61"/>
      <c r="S189" s="199"/>
      <c r="T189" s="199"/>
    </row>
    <row r="190" ht="15.75" customHeight="1">
      <c r="E190" s="61"/>
      <c r="H190" s="61"/>
      <c r="I190" s="61"/>
      <c r="S190" s="199"/>
      <c r="T190" s="199"/>
    </row>
    <row r="191" ht="15.75" customHeight="1">
      <c r="E191" s="61"/>
      <c r="H191" s="61"/>
      <c r="I191" s="61"/>
      <c r="S191" s="199"/>
      <c r="T191" s="199"/>
    </row>
    <row r="192" ht="15.75" customHeight="1">
      <c r="E192" s="61"/>
      <c r="H192" s="61"/>
      <c r="I192" s="61"/>
      <c r="S192" s="199"/>
      <c r="T192" s="199"/>
    </row>
    <row r="193" ht="15.75" customHeight="1">
      <c r="E193" s="61"/>
      <c r="H193" s="61"/>
      <c r="I193" s="61"/>
      <c r="S193" s="199"/>
      <c r="T193" s="199"/>
    </row>
    <row r="194" ht="15.75" customHeight="1">
      <c r="E194" s="61"/>
      <c r="H194" s="61"/>
      <c r="I194" s="61"/>
      <c r="S194" s="199"/>
      <c r="T194" s="199"/>
    </row>
    <row r="195" ht="15.75" customHeight="1">
      <c r="E195" s="61"/>
      <c r="H195" s="61"/>
      <c r="I195" s="61"/>
      <c r="S195" s="199"/>
      <c r="T195" s="199"/>
    </row>
    <row r="196" ht="15.75" customHeight="1">
      <c r="E196" s="61"/>
      <c r="H196" s="61"/>
      <c r="I196" s="61"/>
      <c r="S196" s="199"/>
      <c r="T196" s="199"/>
    </row>
    <row r="197" ht="15.75" customHeight="1">
      <c r="E197" s="61"/>
      <c r="H197" s="61"/>
      <c r="I197" s="61"/>
      <c r="S197" s="199"/>
      <c r="T197" s="199"/>
    </row>
    <row r="198" ht="15.75" customHeight="1">
      <c r="E198" s="61"/>
      <c r="H198" s="61"/>
      <c r="I198" s="61"/>
      <c r="S198" s="199"/>
      <c r="T198" s="199"/>
    </row>
    <row r="199" ht="15.75" customHeight="1">
      <c r="E199" s="61"/>
      <c r="H199" s="61"/>
      <c r="I199" s="61"/>
      <c r="S199" s="199"/>
      <c r="T199" s="199"/>
    </row>
    <row r="200" ht="15.75" customHeight="1">
      <c r="E200" s="61"/>
      <c r="H200" s="61"/>
      <c r="I200" s="61"/>
      <c r="S200" s="199"/>
      <c r="T200" s="199"/>
    </row>
    <row r="201" ht="15.75" customHeight="1">
      <c r="E201" s="61"/>
      <c r="H201" s="61"/>
      <c r="I201" s="61"/>
      <c r="S201" s="199"/>
      <c r="T201" s="199"/>
    </row>
    <row r="202" ht="15.75" customHeight="1">
      <c r="E202" s="61"/>
      <c r="H202" s="61"/>
      <c r="I202" s="61"/>
      <c r="S202" s="199"/>
      <c r="T202" s="199"/>
    </row>
    <row r="203" ht="15.75" customHeight="1">
      <c r="E203" s="61"/>
      <c r="H203" s="61"/>
      <c r="I203" s="61"/>
      <c r="S203" s="199"/>
      <c r="T203" s="199"/>
    </row>
    <row r="204" ht="15.75" customHeight="1">
      <c r="E204" s="61"/>
      <c r="H204" s="61"/>
      <c r="I204" s="61"/>
      <c r="S204" s="199"/>
      <c r="T204" s="199"/>
    </row>
    <row r="205" ht="15.75" customHeight="1">
      <c r="E205" s="61"/>
      <c r="H205" s="61"/>
      <c r="I205" s="61"/>
      <c r="S205" s="199"/>
      <c r="T205" s="199"/>
    </row>
    <row r="206" ht="15.75" customHeight="1">
      <c r="E206" s="61"/>
      <c r="H206" s="61"/>
      <c r="I206" s="61"/>
      <c r="S206" s="199"/>
      <c r="T206" s="199"/>
    </row>
    <row r="207" ht="15.75" customHeight="1">
      <c r="E207" s="61"/>
      <c r="H207" s="61"/>
      <c r="I207" s="61"/>
      <c r="S207" s="199"/>
      <c r="T207" s="199"/>
    </row>
    <row r="208" ht="15.75" customHeight="1">
      <c r="E208" s="61"/>
      <c r="H208" s="61"/>
      <c r="I208" s="61"/>
      <c r="S208" s="199"/>
      <c r="T208" s="199"/>
    </row>
    <row r="209" ht="15.75" customHeight="1">
      <c r="E209" s="61"/>
      <c r="H209" s="61"/>
      <c r="I209" s="61"/>
      <c r="S209" s="199"/>
      <c r="T209" s="199"/>
    </row>
    <row r="210" ht="15.75" customHeight="1">
      <c r="E210" s="61"/>
      <c r="H210" s="61"/>
      <c r="I210" s="61"/>
      <c r="S210" s="199"/>
      <c r="T210" s="199"/>
    </row>
    <row r="211" ht="15.75" customHeight="1">
      <c r="E211" s="61"/>
      <c r="H211" s="61"/>
      <c r="I211" s="61"/>
      <c r="S211" s="199"/>
      <c r="T211" s="199"/>
    </row>
    <row r="212" ht="15.75" customHeight="1">
      <c r="E212" s="61"/>
      <c r="H212" s="61"/>
      <c r="I212" s="61"/>
      <c r="S212" s="199"/>
      <c r="T212" s="199"/>
    </row>
    <row r="213" ht="15.75" customHeight="1">
      <c r="E213" s="61"/>
      <c r="H213" s="61"/>
      <c r="I213" s="61"/>
      <c r="S213" s="199"/>
      <c r="T213" s="199"/>
    </row>
    <row r="214" ht="15.75" customHeight="1">
      <c r="E214" s="61"/>
      <c r="H214" s="61"/>
      <c r="I214" s="61"/>
      <c r="S214" s="199"/>
      <c r="T214" s="199"/>
    </row>
    <row r="215" ht="15.75" customHeight="1">
      <c r="E215" s="61"/>
      <c r="H215" s="61"/>
      <c r="I215" s="61"/>
      <c r="S215" s="199"/>
      <c r="T215" s="199"/>
    </row>
    <row r="216" ht="15.75" customHeight="1">
      <c r="E216" s="61"/>
      <c r="H216" s="61"/>
      <c r="I216" s="61"/>
      <c r="S216" s="199"/>
      <c r="T216" s="199"/>
    </row>
    <row r="217" ht="15.75" customHeight="1">
      <c r="E217" s="61"/>
      <c r="H217" s="61"/>
      <c r="I217" s="61"/>
      <c r="S217" s="199"/>
      <c r="T217" s="199"/>
    </row>
    <row r="218" ht="15.75" customHeight="1">
      <c r="E218" s="61"/>
      <c r="H218" s="61"/>
      <c r="I218" s="61"/>
      <c r="S218" s="199"/>
      <c r="T218" s="199"/>
    </row>
    <row r="219" ht="15.75" customHeight="1">
      <c r="E219" s="61"/>
      <c r="H219" s="61"/>
      <c r="I219" s="61"/>
      <c r="S219" s="199"/>
      <c r="T219" s="199"/>
    </row>
    <row r="220" ht="15.75" customHeight="1">
      <c r="E220" s="61"/>
      <c r="H220" s="61"/>
      <c r="I220" s="61"/>
      <c r="S220" s="199"/>
      <c r="T220" s="199"/>
    </row>
    <row r="221" ht="15.75" customHeight="1">
      <c r="E221" s="61"/>
      <c r="H221" s="61"/>
      <c r="I221" s="61"/>
      <c r="S221" s="199"/>
      <c r="T221" s="199"/>
    </row>
    <row r="222" ht="15.75" customHeight="1">
      <c r="E222" s="61"/>
      <c r="H222" s="61"/>
      <c r="I222" s="61"/>
      <c r="S222" s="199"/>
      <c r="T222" s="199"/>
    </row>
    <row r="223" ht="15.75" customHeight="1">
      <c r="E223" s="61"/>
      <c r="H223" s="61"/>
      <c r="I223" s="61"/>
      <c r="S223" s="199"/>
      <c r="T223" s="199"/>
    </row>
    <row r="224" ht="15.75" customHeight="1">
      <c r="E224" s="61"/>
      <c r="H224" s="61"/>
      <c r="I224" s="61"/>
      <c r="S224" s="199"/>
      <c r="T224" s="199"/>
    </row>
    <row r="225" ht="15.75" customHeight="1">
      <c r="E225" s="61"/>
      <c r="H225" s="61"/>
      <c r="I225" s="61"/>
      <c r="S225" s="199"/>
      <c r="T225" s="199"/>
    </row>
    <row r="226" ht="15.75" customHeight="1">
      <c r="E226" s="61"/>
      <c r="H226" s="61"/>
      <c r="I226" s="61"/>
      <c r="S226" s="199"/>
      <c r="T226" s="199"/>
    </row>
    <row r="227" ht="15.75" customHeight="1">
      <c r="E227" s="61"/>
      <c r="H227" s="61"/>
      <c r="I227" s="61"/>
      <c r="S227" s="199"/>
      <c r="T227" s="199"/>
    </row>
    <row r="228" ht="15.75" customHeight="1">
      <c r="E228" s="61"/>
      <c r="H228" s="61"/>
      <c r="I228" s="61"/>
      <c r="S228" s="199"/>
      <c r="T228" s="199"/>
    </row>
    <row r="229" ht="15.75" customHeight="1">
      <c r="E229" s="61"/>
      <c r="H229" s="61"/>
      <c r="I229" s="61"/>
      <c r="S229" s="199"/>
      <c r="T229" s="199"/>
    </row>
    <row r="230" ht="15.75" customHeight="1">
      <c r="E230" s="61"/>
      <c r="H230" s="61"/>
      <c r="I230" s="61"/>
      <c r="S230" s="199"/>
      <c r="T230" s="199"/>
    </row>
    <row r="231" ht="15.75" customHeight="1">
      <c r="E231" s="61"/>
      <c r="H231" s="61"/>
      <c r="I231" s="61"/>
      <c r="S231" s="199"/>
      <c r="T231" s="199"/>
    </row>
    <row r="232" ht="15.75" customHeight="1">
      <c r="E232" s="61"/>
      <c r="H232" s="61"/>
      <c r="I232" s="61"/>
      <c r="S232" s="199"/>
      <c r="T232" s="199"/>
    </row>
    <row r="233" ht="15.75" customHeight="1">
      <c r="E233" s="61"/>
      <c r="H233" s="61"/>
      <c r="I233" s="61"/>
      <c r="S233" s="199"/>
      <c r="T233" s="199"/>
    </row>
    <row r="234" ht="15.75" customHeight="1">
      <c r="E234" s="61"/>
      <c r="H234" s="61"/>
      <c r="I234" s="61"/>
      <c r="S234" s="199"/>
      <c r="T234" s="199"/>
    </row>
    <row r="235" ht="15.75" customHeight="1">
      <c r="E235" s="61"/>
      <c r="H235" s="61"/>
      <c r="I235" s="61"/>
      <c r="S235" s="199"/>
      <c r="T235" s="199"/>
    </row>
    <row r="236" ht="15.75" customHeight="1">
      <c r="E236" s="61"/>
      <c r="H236" s="61"/>
      <c r="I236" s="61"/>
      <c r="S236" s="199"/>
      <c r="T236" s="199"/>
    </row>
    <row r="237" ht="15.75" customHeight="1">
      <c r="E237" s="61"/>
      <c r="H237" s="61"/>
      <c r="I237" s="61"/>
      <c r="S237" s="199"/>
      <c r="T237" s="199"/>
    </row>
    <row r="238" ht="15.75" customHeight="1">
      <c r="E238" s="61"/>
      <c r="H238" s="61"/>
      <c r="I238" s="61"/>
      <c r="S238" s="199"/>
      <c r="T238" s="199"/>
    </row>
    <row r="239" ht="15.75" customHeight="1">
      <c r="E239" s="61"/>
      <c r="H239" s="61"/>
      <c r="I239" s="61"/>
      <c r="S239" s="199"/>
      <c r="T239" s="199"/>
    </row>
    <row r="240" ht="15.75" customHeight="1">
      <c r="E240" s="61"/>
      <c r="H240" s="61"/>
      <c r="I240" s="61"/>
      <c r="S240" s="199"/>
      <c r="T240" s="199"/>
    </row>
    <row r="241" ht="15.75" customHeight="1">
      <c r="E241" s="61"/>
      <c r="H241" s="61"/>
      <c r="I241" s="61"/>
      <c r="S241" s="199"/>
      <c r="T241" s="199"/>
    </row>
    <row r="242" ht="15.75" customHeight="1">
      <c r="E242" s="61"/>
      <c r="H242" s="61"/>
      <c r="I242" s="61"/>
      <c r="S242" s="199"/>
      <c r="T242" s="199"/>
    </row>
    <row r="243" ht="15.75" customHeight="1">
      <c r="E243" s="61"/>
      <c r="H243" s="61"/>
      <c r="I243" s="61"/>
      <c r="S243" s="199"/>
      <c r="T243" s="199"/>
    </row>
    <row r="244" ht="15.75" customHeight="1">
      <c r="E244" s="61"/>
      <c r="H244" s="61"/>
      <c r="I244" s="61"/>
      <c r="S244" s="199"/>
      <c r="T244" s="199"/>
    </row>
    <row r="245" ht="15.75" customHeight="1">
      <c r="E245" s="61"/>
      <c r="H245" s="61"/>
      <c r="I245" s="61"/>
      <c r="S245" s="199"/>
      <c r="T245" s="199"/>
    </row>
    <row r="246" ht="15.75" customHeight="1">
      <c r="E246" s="61"/>
      <c r="H246" s="61"/>
      <c r="I246" s="61"/>
      <c r="S246" s="199"/>
      <c r="T246" s="199"/>
    </row>
    <row r="247" ht="15.75" customHeight="1">
      <c r="E247" s="61"/>
      <c r="H247" s="61"/>
      <c r="I247" s="61"/>
      <c r="S247" s="199"/>
      <c r="T247" s="199"/>
    </row>
    <row r="248" ht="15.75" customHeight="1">
      <c r="E248" s="61"/>
      <c r="H248" s="61"/>
      <c r="I248" s="61"/>
      <c r="S248" s="199"/>
      <c r="T248" s="199"/>
    </row>
    <row r="249" ht="15.75" customHeight="1">
      <c r="E249" s="61"/>
      <c r="H249" s="61"/>
      <c r="I249" s="61"/>
      <c r="S249" s="199"/>
      <c r="T249" s="199"/>
    </row>
    <row r="250" ht="15.75" customHeight="1">
      <c r="E250" s="61"/>
      <c r="H250" s="61"/>
      <c r="I250" s="61"/>
      <c r="S250" s="199"/>
      <c r="T250" s="199"/>
    </row>
    <row r="251" ht="15.75" customHeight="1">
      <c r="E251" s="61"/>
      <c r="H251" s="61"/>
      <c r="I251" s="61"/>
      <c r="S251" s="199"/>
      <c r="T251" s="199"/>
    </row>
    <row r="252" ht="15.75" customHeight="1">
      <c r="E252" s="61"/>
      <c r="H252" s="61"/>
      <c r="I252" s="61"/>
      <c r="S252" s="199"/>
      <c r="T252" s="199"/>
    </row>
    <row r="253" ht="15.75" customHeight="1">
      <c r="E253" s="61"/>
      <c r="H253" s="61"/>
      <c r="I253" s="61"/>
      <c r="S253" s="199"/>
      <c r="T253" s="199"/>
    </row>
    <row r="254" ht="15.75" customHeight="1">
      <c r="E254" s="61"/>
      <c r="H254" s="61"/>
      <c r="I254" s="61"/>
      <c r="S254" s="199"/>
      <c r="T254" s="199"/>
    </row>
    <row r="255" ht="15.75" customHeight="1">
      <c r="E255" s="61"/>
      <c r="H255" s="61"/>
      <c r="I255" s="61"/>
      <c r="S255" s="199"/>
      <c r="T255" s="199"/>
    </row>
    <row r="256" ht="15.75" customHeight="1">
      <c r="E256" s="61"/>
      <c r="H256" s="61"/>
      <c r="I256" s="61"/>
      <c r="S256" s="199"/>
      <c r="T256" s="199"/>
    </row>
    <row r="257" ht="15.75" customHeight="1">
      <c r="E257" s="61"/>
      <c r="H257" s="61"/>
      <c r="I257" s="61"/>
      <c r="S257" s="199"/>
      <c r="T257" s="199"/>
    </row>
    <row r="258" ht="15.75" customHeight="1">
      <c r="E258" s="61"/>
      <c r="H258" s="61"/>
      <c r="I258" s="61"/>
      <c r="S258" s="199"/>
      <c r="T258" s="199"/>
    </row>
    <row r="259" ht="15.75" customHeight="1">
      <c r="E259" s="61"/>
      <c r="H259" s="61"/>
      <c r="I259" s="61"/>
      <c r="S259" s="199"/>
      <c r="T259" s="199"/>
    </row>
    <row r="260" ht="15.75" customHeight="1">
      <c r="E260" s="61"/>
      <c r="H260" s="61"/>
      <c r="I260" s="61"/>
      <c r="S260" s="199"/>
      <c r="T260" s="199"/>
    </row>
    <row r="261" ht="15.75" customHeight="1">
      <c r="E261" s="61"/>
      <c r="H261" s="61"/>
      <c r="I261" s="61"/>
      <c r="S261" s="199"/>
      <c r="T261" s="199"/>
    </row>
    <row r="262" ht="15.75" customHeight="1">
      <c r="E262" s="61"/>
      <c r="H262" s="61"/>
      <c r="I262" s="61"/>
      <c r="S262" s="199"/>
      <c r="T262" s="199"/>
    </row>
    <row r="263" ht="15.75" customHeight="1">
      <c r="E263" s="61"/>
      <c r="H263" s="61"/>
      <c r="I263" s="61"/>
      <c r="S263" s="199"/>
      <c r="T263" s="199"/>
    </row>
    <row r="264" ht="15.75" customHeight="1">
      <c r="E264" s="61"/>
      <c r="H264" s="61"/>
      <c r="I264" s="61"/>
      <c r="S264" s="199"/>
      <c r="T264" s="199"/>
    </row>
    <row r="265" ht="15.75" customHeight="1">
      <c r="E265" s="61"/>
      <c r="H265" s="61"/>
      <c r="I265" s="61"/>
      <c r="S265" s="199"/>
      <c r="T265" s="199"/>
    </row>
    <row r="266" ht="15.75" customHeight="1">
      <c r="E266" s="61"/>
      <c r="H266" s="61"/>
      <c r="I266" s="61"/>
      <c r="S266" s="199"/>
      <c r="T266" s="199"/>
    </row>
    <row r="267" ht="15.75" customHeight="1">
      <c r="E267" s="61"/>
      <c r="H267" s="61"/>
      <c r="I267" s="61"/>
      <c r="S267" s="199"/>
      <c r="T267" s="199"/>
    </row>
    <row r="268" ht="15.75" customHeight="1">
      <c r="E268" s="61"/>
      <c r="H268" s="61"/>
      <c r="I268" s="61"/>
      <c r="S268" s="199"/>
      <c r="T268" s="199"/>
    </row>
    <row r="269" ht="15.75" customHeight="1">
      <c r="E269" s="61"/>
      <c r="H269" s="61"/>
      <c r="I269" s="61"/>
      <c r="S269" s="199"/>
      <c r="T269" s="199"/>
    </row>
    <row r="270" ht="15.75" customHeight="1">
      <c r="E270" s="61"/>
      <c r="H270" s="61"/>
      <c r="I270" s="61"/>
      <c r="S270" s="199"/>
      <c r="T270" s="199"/>
    </row>
    <row r="271" ht="15.75" customHeight="1">
      <c r="E271" s="61"/>
      <c r="H271" s="61"/>
      <c r="I271" s="61"/>
      <c r="S271" s="199"/>
      <c r="T271" s="199"/>
    </row>
    <row r="272" ht="15.75" customHeight="1">
      <c r="E272" s="61"/>
      <c r="H272" s="61"/>
      <c r="I272" s="61"/>
      <c r="S272" s="199"/>
      <c r="T272" s="199"/>
    </row>
    <row r="273" ht="15.75" customHeight="1">
      <c r="E273" s="61"/>
      <c r="H273" s="61"/>
      <c r="I273" s="61"/>
      <c r="S273" s="199"/>
      <c r="T273" s="199"/>
    </row>
    <row r="274" ht="15.75" customHeight="1">
      <c r="E274" s="61"/>
      <c r="H274" s="61"/>
      <c r="I274" s="61"/>
      <c r="S274" s="199"/>
      <c r="T274" s="199"/>
    </row>
    <row r="275" ht="15.75" customHeight="1">
      <c r="E275" s="61"/>
      <c r="H275" s="61"/>
      <c r="I275" s="61"/>
      <c r="S275" s="199"/>
      <c r="T275" s="199"/>
    </row>
    <row r="276" ht="15.75" customHeight="1">
      <c r="E276" s="61"/>
      <c r="H276" s="61"/>
      <c r="I276" s="61"/>
      <c r="S276" s="199"/>
      <c r="T276" s="199"/>
    </row>
    <row r="277" ht="15.75" customHeight="1">
      <c r="E277" s="61"/>
      <c r="H277" s="61"/>
      <c r="I277" s="61"/>
      <c r="S277" s="199"/>
      <c r="T277" s="199"/>
    </row>
    <row r="278" ht="15.75" customHeight="1">
      <c r="E278" s="61"/>
      <c r="H278" s="61"/>
      <c r="I278" s="61"/>
      <c r="S278" s="199"/>
      <c r="T278" s="199"/>
    </row>
    <row r="279" ht="15.75" customHeight="1">
      <c r="E279" s="61"/>
      <c r="H279" s="61"/>
      <c r="I279" s="61"/>
      <c r="S279" s="199"/>
      <c r="T279" s="199"/>
    </row>
    <row r="280" ht="15.75" customHeight="1">
      <c r="E280" s="61"/>
      <c r="H280" s="61"/>
      <c r="I280" s="61"/>
      <c r="S280" s="199"/>
      <c r="T280" s="199"/>
    </row>
    <row r="281" ht="15.75" customHeight="1">
      <c r="E281" s="61"/>
      <c r="H281" s="61"/>
      <c r="I281" s="61"/>
      <c r="S281" s="199"/>
      <c r="T281" s="199"/>
    </row>
    <row r="282" ht="15.75" customHeight="1">
      <c r="E282" s="61"/>
      <c r="H282" s="61"/>
      <c r="I282" s="61"/>
      <c r="S282" s="199"/>
      <c r="T282" s="199"/>
    </row>
    <row r="283" ht="15.75" customHeight="1">
      <c r="E283" s="61"/>
      <c r="H283" s="61"/>
      <c r="I283" s="61"/>
      <c r="S283" s="199"/>
      <c r="T283" s="199"/>
    </row>
    <row r="284" ht="15.75" customHeight="1">
      <c r="E284" s="61"/>
      <c r="H284" s="61"/>
      <c r="I284" s="61"/>
      <c r="S284" s="199"/>
      <c r="T284" s="199"/>
    </row>
    <row r="285" ht="15.75" customHeight="1">
      <c r="E285" s="61"/>
      <c r="H285" s="61"/>
      <c r="I285" s="61"/>
      <c r="S285" s="199"/>
      <c r="T285" s="199"/>
    </row>
    <row r="286" ht="15.75" customHeight="1">
      <c r="E286" s="61"/>
      <c r="H286" s="61"/>
      <c r="I286" s="61"/>
      <c r="S286" s="199"/>
      <c r="T286" s="199"/>
    </row>
    <row r="287" ht="15.75" customHeight="1">
      <c r="E287" s="61"/>
      <c r="H287" s="61"/>
      <c r="I287" s="61"/>
      <c r="S287" s="199"/>
      <c r="T287" s="199"/>
    </row>
    <row r="288" ht="15.75" customHeight="1">
      <c r="E288" s="61"/>
      <c r="H288" s="61"/>
      <c r="I288" s="61"/>
      <c r="S288" s="199"/>
      <c r="T288" s="199"/>
    </row>
    <row r="289" ht="15.75" customHeight="1">
      <c r="E289" s="61"/>
      <c r="H289" s="61"/>
      <c r="I289" s="61"/>
      <c r="S289" s="199"/>
      <c r="T289" s="199"/>
    </row>
    <row r="290" ht="15.75" customHeight="1">
      <c r="E290" s="61"/>
      <c r="H290" s="61"/>
      <c r="I290" s="61"/>
      <c r="S290" s="199"/>
      <c r="T290" s="199"/>
    </row>
    <row r="291" ht="15.75" customHeight="1">
      <c r="E291" s="61"/>
      <c r="H291" s="61"/>
      <c r="I291" s="61"/>
      <c r="S291" s="199"/>
      <c r="T291" s="199"/>
    </row>
    <row r="292" ht="15.75" customHeight="1">
      <c r="E292" s="61"/>
      <c r="H292" s="61"/>
      <c r="I292" s="61"/>
      <c r="S292" s="199"/>
      <c r="T292" s="199"/>
    </row>
    <row r="293" ht="15.75" customHeight="1">
      <c r="E293" s="61"/>
      <c r="H293" s="61"/>
      <c r="I293" s="61"/>
      <c r="S293" s="199"/>
      <c r="T293" s="199"/>
    </row>
    <row r="294" ht="15.75" customHeight="1">
      <c r="E294" s="61"/>
      <c r="H294" s="61"/>
      <c r="I294" s="61"/>
      <c r="S294" s="199"/>
      <c r="T294" s="199"/>
    </row>
    <row r="295" ht="15.75" customHeight="1">
      <c r="E295" s="61"/>
      <c r="H295" s="61"/>
      <c r="I295" s="61"/>
      <c r="S295" s="199"/>
      <c r="T295" s="199"/>
    </row>
    <row r="296" ht="15.75" customHeight="1">
      <c r="E296" s="61"/>
      <c r="H296" s="61"/>
      <c r="I296" s="61"/>
      <c r="S296" s="199"/>
      <c r="T296" s="199"/>
    </row>
    <row r="297" ht="15.75" customHeight="1">
      <c r="E297" s="61"/>
      <c r="H297" s="61"/>
      <c r="I297" s="61"/>
      <c r="S297" s="199"/>
      <c r="T297" s="199"/>
    </row>
    <row r="298" ht="15.75" customHeight="1">
      <c r="E298" s="61"/>
      <c r="H298" s="61"/>
      <c r="I298" s="61"/>
      <c r="S298" s="199"/>
      <c r="T298" s="199"/>
    </row>
    <row r="299" ht="15.75" customHeight="1">
      <c r="E299" s="61"/>
      <c r="H299" s="61"/>
      <c r="I299" s="61"/>
      <c r="S299" s="199"/>
      <c r="T299" s="199"/>
    </row>
    <row r="300" ht="15.75" customHeight="1">
      <c r="E300" s="61"/>
      <c r="H300" s="61"/>
      <c r="I300" s="61"/>
      <c r="S300" s="199"/>
      <c r="T300" s="199"/>
    </row>
    <row r="301" ht="15.75" customHeight="1">
      <c r="E301" s="61"/>
      <c r="H301" s="61"/>
      <c r="I301" s="61"/>
      <c r="S301" s="199"/>
      <c r="T301" s="199"/>
    </row>
    <row r="302" ht="15.75" customHeight="1">
      <c r="E302" s="61"/>
      <c r="H302" s="61"/>
      <c r="I302" s="61"/>
      <c r="S302" s="199"/>
      <c r="T302" s="199"/>
    </row>
    <row r="303" ht="15.75" customHeight="1">
      <c r="E303" s="61"/>
      <c r="H303" s="61"/>
      <c r="I303" s="61"/>
      <c r="S303" s="199"/>
      <c r="T303" s="199"/>
    </row>
    <row r="304" ht="15.75" customHeight="1">
      <c r="E304" s="61"/>
      <c r="H304" s="61"/>
      <c r="I304" s="61"/>
      <c r="S304" s="199"/>
      <c r="T304" s="199"/>
    </row>
    <row r="305" ht="15.75" customHeight="1">
      <c r="E305" s="61"/>
      <c r="H305" s="61"/>
      <c r="I305" s="61"/>
      <c r="S305" s="199"/>
      <c r="T305" s="199"/>
    </row>
    <row r="306" ht="15.75" customHeight="1">
      <c r="E306" s="61"/>
      <c r="H306" s="61"/>
      <c r="I306" s="61"/>
      <c r="S306" s="199"/>
      <c r="T306" s="199"/>
    </row>
    <row r="307" ht="15.75" customHeight="1">
      <c r="E307" s="61"/>
      <c r="H307" s="61"/>
      <c r="I307" s="61"/>
      <c r="S307" s="199"/>
      <c r="T307" s="199"/>
    </row>
    <row r="308" ht="15.75" customHeight="1">
      <c r="E308" s="61"/>
      <c r="H308" s="61"/>
      <c r="I308" s="61"/>
      <c r="S308" s="199"/>
      <c r="T308" s="199"/>
    </row>
    <row r="309" ht="15.75" customHeight="1">
      <c r="E309" s="61"/>
      <c r="H309" s="61"/>
      <c r="I309" s="61"/>
      <c r="S309" s="199"/>
      <c r="T309" s="199"/>
    </row>
    <row r="310" ht="15.75" customHeight="1">
      <c r="E310" s="61"/>
      <c r="H310" s="61"/>
      <c r="I310" s="61"/>
      <c r="S310" s="199"/>
      <c r="T310" s="199"/>
    </row>
    <row r="311" ht="15.75" customHeight="1">
      <c r="E311" s="61"/>
      <c r="H311" s="61"/>
      <c r="I311" s="61"/>
      <c r="S311" s="199"/>
      <c r="T311" s="199"/>
    </row>
    <row r="312" ht="15.75" customHeight="1">
      <c r="E312" s="61"/>
      <c r="H312" s="61"/>
      <c r="I312" s="61"/>
      <c r="S312" s="199"/>
      <c r="T312" s="199"/>
    </row>
    <row r="313" ht="15.75" customHeight="1">
      <c r="E313" s="61"/>
      <c r="H313" s="61"/>
      <c r="I313" s="61"/>
      <c r="S313" s="199"/>
      <c r="T313" s="199"/>
    </row>
    <row r="314" ht="15.75" customHeight="1">
      <c r="E314" s="61"/>
      <c r="H314" s="61"/>
      <c r="I314" s="61"/>
      <c r="S314" s="199"/>
      <c r="T314" s="199"/>
    </row>
    <row r="315" ht="15.75" customHeight="1">
      <c r="E315" s="61"/>
      <c r="H315" s="61"/>
      <c r="I315" s="61"/>
      <c r="S315" s="199"/>
      <c r="T315" s="199"/>
    </row>
    <row r="316" ht="15.75" customHeight="1">
      <c r="E316" s="61"/>
      <c r="H316" s="61"/>
      <c r="I316" s="61"/>
      <c r="S316" s="199"/>
      <c r="T316" s="199"/>
    </row>
    <row r="317" ht="15.75" customHeight="1">
      <c r="E317" s="61"/>
      <c r="H317" s="61"/>
      <c r="I317" s="61"/>
      <c r="S317" s="199"/>
      <c r="T317" s="199"/>
    </row>
    <row r="318" ht="15.75" customHeight="1">
      <c r="E318" s="61"/>
      <c r="H318" s="61"/>
      <c r="I318" s="61"/>
      <c r="S318" s="199"/>
      <c r="T318" s="199"/>
    </row>
    <row r="319" ht="15.75" customHeight="1">
      <c r="E319" s="61"/>
      <c r="H319" s="61"/>
      <c r="I319" s="61"/>
      <c r="S319" s="199"/>
      <c r="T319" s="199"/>
    </row>
    <row r="320" ht="15.75" customHeight="1">
      <c r="E320" s="61"/>
      <c r="H320" s="61"/>
      <c r="I320" s="61"/>
      <c r="S320" s="199"/>
      <c r="T320" s="199"/>
    </row>
    <row r="321" ht="15.75" customHeight="1">
      <c r="E321" s="61"/>
      <c r="H321" s="61"/>
      <c r="I321" s="61"/>
      <c r="S321" s="199"/>
      <c r="T321" s="199"/>
    </row>
    <row r="322" ht="15.75" customHeight="1">
      <c r="E322" s="61"/>
      <c r="H322" s="61"/>
      <c r="I322" s="61"/>
      <c r="S322" s="199"/>
      <c r="T322" s="199"/>
    </row>
    <row r="323" ht="15.75" customHeight="1">
      <c r="E323" s="61"/>
      <c r="H323" s="61"/>
      <c r="I323" s="61"/>
      <c r="S323" s="199"/>
      <c r="T323" s="199"/>
    </row>
    <row r="324" ht="15.75" customHeight="1">
      <c r="E324" s="61"/>
      <c r="H324" s="61"/>
      <c r="I324" s="61"/>
      <c r="S324" s="199"/>
      <c r="T324" s="199"/>
    </row>
    <row r="325" ht="15.75" customHeight="1">
      <c r="E325" s="61"/>
      <c r="H325" s="61"/>
      <c r="I325" s="61"/>
      <c r="S325" s="199"/>
      <c r="T325" s="199"/>
    </row>
    <row r="326" ht="15.75" customHeight="1">
      <c r="E326" s="61"/>
      <c r="H326" s="61"/>
      <c r="I326" s="61"/>
      <c r="S326" s="199"/>
      <c r="T326" s="199"/>
    </row>
    <row r="327" ht="15.75" customHeight="1">
      <c r="E327" s="61"/>
      <c r="H327" s="61"/>
      <c r="I327" s="61"/>
      <c r="S327" s="199"/>
      <c r="T327" s="199"/>
    </row>
    <row r="328" ht="15.75" customHeight="1">
      <c r="E328" s="61"/>
      <c r="H328" s="61"/>
      <c r="I328" s="61"/>
      <c r="S328" s="199"/>
      <c r="T328" s="199"/>
    </row>
    <row r="329" ht="15.75" customHeight="1">
      <c r="E329" s="61"/>
      <c r="H329" s="61"/>
      <c r="I329" s="61"/>
      <c r="S329" s="199"/>
      <c r="T329" s="199"/>
    </row>
    <row r="330" ht="15.75" customHeight="1">
      <c r="E330" s="61"/>
      <c r="H330" s="61"/>
      <c r="I330" s="61"/>
      <c r="S330" s="199"/>
      <c r="T330" s="199"/>
    </row>
    <row r="331" ht="15.75" customHeight="1">
      <c r="E331" s="61"/>
      <c r="H331" s="61"/>
      <c r="I331" s="61"/>
      <c r="S331" s="199"/>
      <c r="T331" s="199"/>
    </row>
    <row r="332" ht="15.75" customHeight="1">
      <c r="E332" s="61"/>
      <c r="H332" s="61"/>
      <c r="I332" s="61"/>
      <c r="S332" s="199"/>
      <c r="T332" s="199"/>
    </row>
    <row r="333" ht="15.75" customHeight="1">
      <c r="E333" s="61"/>
      <c r="H333" s="61"/>
      <c r="I333" s="61"/>
      <c r="S333" s="199"/>
      <c r="T333" s="199"/>
    </row>
    <row r="334" ht="15.75" customHeight="1">
      <c r="E334" s="61"/>
      <c r="H334" s="61"/>
      <c r="I334" s="61"/>
      <c r="S334" s="199"/>
      <c r="T334" s="199"/>
    </row>
    <row r="335" ht="15.75" customHeight="1">
      <c r="E335" s="61"/>
      <c r="H335" s="61"/>
      <c r="I335" s="61"/>
      <c r="S335" s="199"/>
      <c r="T335" s="199"/>
    </row>
    <row r="336" ht="15.75" customHeight="1">
      <c r="E336" s="61"/>
      <c r="H336" s="61"/>
      <c r="I336" s="61"/>
      <c r="S336" s="199"/>
      <c r="T336" s="199"/>
    </row>
    <row r="337" ht="15.75" customHeight="1">
      <c r="E337" s="61"/>
      <c r="H337" s="61"/>
      <c r="I337" s="61"/>
      <c r="S337" s="199"/>
      <c r="T337" s="199"/>
    </row>
    <row r="338" ht="15.75" customHeight="1">
      <c r="E338" s="61"/>
      <c r="H338" s="61"/>
      <c r="I338" s="61"/>
      <c r="S338" s="199"/>
      <c r="T338" s="199"/>
    </row>
    <row r="339" ht="15.75" customHeight="1">
      <c r="E339" s="61"/>
      <c r="H339" s="61"/>
      <c r="I339" s="61"/>
      <c r="S339" s="199"/>
      <c r="T339" s="199"/>
    </row>
    <row r="340" ht="15.75" customHeight="1">
      <c r="E340" s="61"/>
      <c r="H340" s="61"/>
      <c r="I340" s="61"/>
      <c r="S340" s="199"/>
      <c r="T340" s="199"/>
    </row>
    <row r="341" ht="15.75" customHeight="1">
      <c r="E341" s="61"/>
      <c r="H341" s="61"/>
      <c r="I341" s="61"/>
      <c r="S341" s="199"/>
      <c r="T341" s="199"/>
    </row>
    <row r="342" ht="15.75" customHeight="1">
      <c r="E342" s="61"/>
      <c r="H342" s="61"/>
      <c r="I342" s="61"/>
      <c r="S342" s="199"/>
      <c r="T342" s="199"/>
    </row>
    <row r="343" ht="15.75" customHeight="1">
      <c r="E343" s="61"/>
      <c r="H343" s="61"/>
      <c r="I343" s="61"/>
      <c r="S343" s="199"/>
      <c r="T343" s="199"/>
    </row>
    <row r="344" ht="15.75" customHeight="1">
      <c r="E344" s="61"/>
      <c r="H344" s="61"/>
      <c r="I344" s="61"/>
      <c r="S344" s="199"/>
      <c r="T344" s="199"/>
    </row>
    <row r="345" ht="15.75" customHeight="1">
      <c r="E345" s="61"/>
      <c r="H345" s="61"/>
      <c r="I345" s="61"/>
      <c r="S345" s="199"/>
      <c r="T345" s="199"/>
    </row>
    <row r="346" ht="15.75" customHeight="1">
      <c r="E346" s="61"/>
      <c r="H346" s="61"/>
      <c r="I346" s="61"/>
      <c r="S346" s="199"/>
      <c r="T346" s="199"/>
    </row>
    <row r="347" ht="15.75" customHeight="1">
      <c r="E347" s="61"/>
      <c r="H347" s="61"/>
      <c r="I347" s="61"/>
      <c r="S347" s="199"/>
      <c r="T347" s="199"/>
    </row>
    <row r="348" ht="15.75" customHeight="1">
      <c r="E348" s="61"/>
      <c r="H348" s="61"/>
      <c r="I348" s="61"/>
      <c r="S348" s="199"/>
      <c r="T348" s="199"/>
    </row>
    <row r="349" ht="15.75" customHeight="1">
      <c r="E349" s="61"/>
      <c r="H349" s="61"/>
      <c r="I349" s="61"/>
      <c r="S349" s="199"/>
      <c r="T349" s="199"/>
    </row>
    <row r="350" ht="15.75" customHeight="1">
      <c r="E350" s="61"/>
      <c r="H350" s="61"/>
      <c r="I350" s="61"/>
      <c r="S350" s="199"/>
      <c r="T350" s="199"/>
    </row>
    <row r="351" ht="15.75" customHeight="1">
      <c r="E351" s="61"/>
      <c r="H351" s="61"/>
      <c r="I351" s="61"/>
      <c r="S351" s="199"/>
      <c r="T351" s="199"/>
    </row>
    <row r="352" ht="15.75" customHeight="1">
      <c r="E352" s="61"/>
      <c r="H352" s="61"/>
      <c r="I352" s="61"/>
      <c r="S352" s="199"/>
      <c r="T352" s="199"/>
    </row>
    <row r="353" ht="15.75" customHeight="1">
      <c r="E353" s="61"/>
      <c r="H353" s="61"/>
      <c r="I353" s="61"/>
      <c r="S353" s="199"/>
      <c r="T353" s="199"/>
    </row>
    <row r="354" ht="15.75" customHeight="1">
      <c r="E354" s="61"/>
      <c r="H354" s="61"/>
      <c r="I354" s="61"/>
      <c r="S354" s="199"/>
      <c r="T354" s="199"/>
    </row>
    <row r="355" ht="15.75" customHeight="1">
      <c r="E355" s="61"/>
      <c r="H355" s="61"/>
      <c r="I355" s="61"/>
      <c r="S355" s="199"/>
      <c r="T355" s="199"/>
    </row>
    <row r="356" ht="15.75" customHeight="1">
      <c r="E356" s="61"/>
      <c r="H356" s="61"/>
      <c r="I356" s="61"/>
      <c r="S356" s="199"/>
      <c r="T356" s="199"/>
    </row>
    <row r="357" ht="15.75" customHeight="1">
      <c r="E357" s="61"/>
      <c r="H357" s="61"/>
      <c r="I357" s="61"/>
      <c r="S357" s="199"/>
      <c r="T357" s="199"/>
    </row>
    <row r="358" ht="15.75" customHeight="1">
      <c r="E358" s="61"/>
      <c r="H358" s="61"/>
      <c r="I358" s="61"/>
      <c r="S358" s="199"/>
      <c r="T358" s="199"/>
    </row>
    <row r="359" ht="15.75" customHeight="1">
      <c r="E359" s="61"/>
      <c r="H359" s="61"/>
      <c r="I359" s="61"/>
      <c r="S359" s="199"/>
      <c r="T359" s="199"/>
    </row>
    <row r="360" ht="15.75" customHeight="1">
      <c r="E360" s="61"/>
      <c r="H360" s="61"/>
      <c r="I360" s="61"/>
      <c r="S360" s="199"/>
      <c r="T360" s="199"/>
    </row>
    <row r="361" ht="15.75" customHeight="1">
      <c r="E361" s="61"/>
      <c r="H361" s="61"/>
      <c r="I361" s="61"/>
      <c r="S361" s="199"/>
      <c r="T361" s="199"/>
    </row>
    <row r="362" ht="15.75" customHeight="1">
      <c r="E362" s="61"/>
      <c r="H362" s="61"/>
      <c r="I362" s="61"/>
      <c r="S362" s="199"/>
      <c r="T362" s="199"/>
    </row>
    <row r="363" ht="15.75" customHeight="1">
      <c r="E363" s="61"/>
      <c r="H363" s="61"/>
      <c r="I363" s="61"/>
      <c r="S363" s="199"/>
      <c r="T363" s="199"/>
    </row>
    <row r="364" ht="15.75" customHeight="1">
      <c r="E364" s="61"/>
      <c r="H364" s="61"/>
      <c r="I364" s="61"/>
      <c r="S364" s="199"/>
      <c r="T364" s="199"/>
    </row>
    <row r="365" ht="15.75" customHeight="1">
      <c r="E365" s="61"/>
      <c r="H365" s="61"/>
      <c r="I365" s="61"/>
      <c r="S365" s="199"/>
      <c r="T365" s="199"/>
    </row>
    <row r="366" ht="15.75" customHeight="1">
      <c r="E366" s="61"/>
      <c r="H366" s="61"/>
      <c r="I366" s="61"/>
      <c r="S366" s="199"/>
      <c r="T366" s="199"/>
    </row>
    <row r="367" ht="15.75" customHeight="1">
      <c r="E367" s="61"/>
      <c r="H367" s="61"/>
      <c r="I367" s="61"/>
      <c r="S367" s="199"/>
      <c r="T367" s="199"/>
    </row>
    <row r="368" ht="15.75" customHeight="1">
      <c r="E368" s="61"/>
      <c r="H368" s="61"/>
      <c r="I368" s="61"/>
      <c r="S368" s="199"/>
      <c r="T368" s="199"/>
    </row>
    <row r="369" ht="15.75" customHeight="1">
      <c r="E369" s="61"/>
      <c r="H369" s="61"/>
      <c r="I369" s="61"/>
      <c r="S369" s="199"/>
      <c r="T369" s="199"/>
    </row>
    <row r="370" ht="15.75" customHeight="1">
      <c r="E370" s="61"/>
      <c r="H370" s="61"/>
      <c r="I370" s="61"/>
      <c r="S370" s="199"/>
      <c r="T370" s="199"/>
    </row>
    <row r="371" ht="15.75" customHeight="1">
      <c r="E371" s="61"/>
      <c r="H371" s="61"/>
      <c r="I371" s="61"/>
      <c r="S371" s="199"/>
      <c r="T371" s="199"/>
    </row>
    <row r="372" ht="15.75" customHeight="1">
      <c r="E372" s="61"/>
      <c r="H372" s="61"/>
      <c r="I372" s="61"/>
      <c r="S372" s="199"/>
      <c r="T372" s="199"/>
    </row>
    <row r="373" ht="15.75" customHeight="1">
      <c r="E373" s="61"/>
      <c r="H373" s="61"/>
      <c r="I373" s="61"/>
      <c r="S373" s="199"/>
      <c r="T373" s="199"/>
    </row>
    <row r="374" ht="15.75" customHeight="1">
      <c r="E374" s="61"/>
      <c r="H374" s="61"/>
      <c r="I374" s="61"/>
      <c r="S374" s="199"/>
      <c r="T374" s="199"/>
    </row>
    <row r="375" ht="15.75" customHeight="1">
      <c r="E375" s="61"/>
      <c r="H375" s="61"/>
      <c r="I375" s="61"/>
      <c r="S375" s="199"/>
      <c r="T375" s="199"/>
    </row>
    <row r="376" ht="15.75" customHeight="1">
      <c r="E376" s="61"/>
      <c r="H376" s="61"/>
      <c r="I376" s="61"/>
      <c r="S376" s="199"/>
      <c r="T376" s="199"/>
    </row>
    <row r="377" ht="15.75" customHeight="1">
      <c r="E377" s="61"/>
      <c r="H377" s="61"/>
      <c r="I377" s="61"/>
      <c r="S377" s="199"/>
      <c r="T377" s="199"/>
    </row>
    <row r="378" ht="15.75" customHeight="1">
      <c r="E378" s="61"/>
      <c r="H378" s="61"/>
      <c r="I378" s="61"/>
      <c r="S378" s="199"/>
      <c r="T378" s="199"/>
    </row>
    <row r="379" ht="15.75" customHeight="1">
      <c r="E379" s="61"/>
      <c r="H379" s="61"/>
      <c r="I379" s="61"/>
      <c r="S379" s="199"/>
      <c r="T379" s="199"/>
    </row>
    <row r="380" ht="15.75" customHeight="1">
      <c r="E380" s="61"/>
      <c r="H380" s="61"/>
      <c r="I380" s="61"/>
      <c r="S380" s="199"/>
      <c r="T380" s="199"/>
    </row>
    <row r="381" ht="15.75" customHeight="1">
      <c r="E381" s="61"/>
      <c r="H381" s="61"/>
      <c r="I381" s="61"/>
      <c r="S381" s="199"/>
      <c r="T381" s="199"/>
    </row>
    <row r="382" ht="15.75" customHeight="1">
      <c r="E382" s="61"/>
      <c r="H382" s="61"/>
      <c r="I382" s="61"/>
      <c r="S382" s="199"/>
      <c r="T382" s="199"/>
    </row>
    <row r="383" ht="15.75" customHeight="1">
      <c r="E383" s="61"/>
      <c r="H383" s="61"/>
      <c r="I383" s="61"/>
      <c r="S383" s="199"/>
      <c r="T383" s="199"/>
    </row>
    <row r="384" ht="15.75" customHeight="1">
      <c r="E384" s="61"/>
      <c r="H384" s="61"/>
      <c r="I384" s="61"/>
      <c r="S384" s="199"/>
      <c r="T384" s="199"/>
    </row>
    <row r="385" ht="15.75" customHeight="1">
      <c r="E385" s="61"/>
      <c r="H385" s="61"/>
      <c r="I385" s="61"/>
      <c r="S385" s="199"/>
      <c r="T385" s="199"/>
    </row>
    <row r="386" ht="15.75" customHeight="1">
      <c r="E386" s="61"/>
      <c r="H386" s="61"/>
      <c r="I386" s="61"/>
      <c r="S386" s="199"/>
      <c r="T386" s="199"/>
    </row>
    <row r="387" ht="15.75" customHeight="1">
      <c r="E387" s="61"/>
      <c r="H387" s="61"/>
      <c r="I387" s="61"/>
      <c r="S387" s="199"/>
      <c r="T387" s="199"/>
    </row>
    <row r="388" ht="15.75" customHeight="1">
      <c r="E388" s="61"/>
      <c r="H388" s="61"/>
      <c r="I388" s="61"/>
      <c r="S388" s="199"/>
      <c r="T388" s="199"/>
    </row>
    <row r="389" ht="15.75" customHeight="1">
      <c r="E389" s="61"/>
      <c r="H389" s="61"/>
      <c r="I389" s="61"/>
      <c r="S389" s="199"/>
      <c r="T389" s="199"/>
    </row>
    <row r="390" ht="15.75" customHeight="1">
      <c r="E390" s="61"/>
      <c r="H390" s="61"/>
      <c r="I390" s="61"/>
      <c r="S390" s="199"/>
      <c r="T390" s="199"/>
    </row>
    <row r="391" ht="15.75" customHeight="1">
      <c r="E391" s="61"/>
      <c r="H391" s="61"/>
      <c r="I391" s="61"/>
      <c r="S391" s="199"/>
      <c r="T391" s="199"/>
    </row>
    <row r="392" ht="15.75" customHeight="1">
      <c r="E392" s="61"/>
      <c r="H392" s="61"/>
      <c r="I392" s="61"/>
      <c r="S392" s="199"/>
      <c r="T392" s="199"/>
    </row>
    <row r="393" ht="15.75" customHeight="1">
      <c r="E393" s="61"/>
      <c r="H393" s="61"/>
      <c r="I393" s="61"/>
      <c r="S393" s="199"/>
      <c r="T393" s="199"/>
    </row>
    <row r="394" ht="15.75" customHeight="1">
      <c r="E394" s="61"/>
      <c r="H394" s="61"/>
      <c r="I394" s="61"/>
      <c r="S394" s="199"/>
      <c r="T394" s="199"/>
    </row>
    <row r="395" ht="15.75" customHeight="1">
      <c r="E395" s="61"/>
      <c r="H395" s="61"/>
      <c r="I395" s="61"/>
      <c r="S395" s="199"/>
      <c r="T395" s="199"/>
    </row>
    <row r="396" ht="15.75" customHeight="1">
      <c r="E396" s="61"/>
      <c r="H396" s="61"/>
      <c r="I396" s="61"/>
      <c r="S396" s="199"/>
      <c r="T396" s="199"/>
    </row>
    <row r="397" ht="15.75" customHeight="1">
      <c r="E397" s="61"/>
      <c r="H397" s="61"/>
      <c r="I397" s="61"/>
      <c r="S397" s="199"/>
      <c r="T397" s="199"/>
    </row>
    <row r="398" ht="15.75" customHeight="1">
      <c r="E398" s="61"/>
      <c r="H398" s="61"/>
      <c r="I398" s="61"/>
      <c r="S398" s="199"/>
      <c r="T398" s="199"/>
    </row>
    <row r="399" ht="15.75" customHeight="1">
      <c r="E399" s="61"/>
      <c r="H399" s="61"/>
      <c r="I399" s="61"/>
      <c r="S399" s="199"/>
      <c r="T399" s="199"/>
    </row>
    <row r="400" ht="15.75" customHeight="1">
      <c r="E400" s="61"/>
      <c r="H400" s="61"/>
      <c r="I400" s="61"/>
      <c r="S400" s="199"/>
      <c r="T400" s="199"/>
    </row>
    <row r="401" ht="15.75" customHeight="1">
      <c r="E401" s="61"/>
      <c r="H401" s="61"/>
      <c r="I401" s="61"/>
      <c r="S401" s="199"/>
      <c r="T401" s="199"/>
    </row>
    <row r="402" ht="15.75" customHeight="1">
      <c r="E402" s="61"/>
      <c r="H402" s="61"/>
      <c r="I402" s="61"/>
      <c r="S402" s="199"/>
      <c r="T402" s="199"/>
    </row>
    <row r="403" ht="15.75" customHeight="1">
      <c r="E403" s="61"/>
      <c r="H403" s="61"/>
      <c r="I403" s="61"/>
      <c r="S403" s="199"/>
      <c r="T403" s="199"/>
    </row>
    <row r="404" ht="15.75" customHeight="1">
      <c r="E404" s="61"/>
      <c r="H404" s="61"/>
      <c r="I404" s="61"/>
      <c r="S404" s="199"/>
      <c r="T404" s="199"/>
    </row>
    <row r="405" ht="15.75" customHeight="1">
      <c r="E405" s="61"/>
      <c r="H405" s="61"/>
      <c r="I405" s="61"/>
      <c r="S405" s="199"/>
      <c r="T405" s="199"/>
    </row>
    <row r="406" ht="15.75" customHeight="1">
      <c r="E406" s="61"/>
      <c r="H406" s="61"/>
      <c r="I406" s="61"/>
      <c r="S406" s="199"/>
      <c r="T406" s="199"/>
    </row>
    <row r="407" ht="15.75" customHeight="1">
      <c r="E407" s="61"/>
      <c r="H407" s="61"/>
      <c r="I407" s="61"/>
      <c r="S407" s="199"/>
      <c r="T407" s="199"/>
    </row>
    <row r="408" ht="15.75" customHeight="1">
      <c r="E408" s="61"/>
      <c r="H408" s="61"/>
      <c r="I408" s="61"/>
      <c r="S408" s="199"/>
      <c r="T408" s="199"/>
    </row>
    <row r="409" ht="15.75" customHeight="1">
      <c r="E409" s="61"/>
      <c r="H409" s="61"/>
      <c r="I409" s="61"/>
      <c r="S409" s="199"/>
      <c r="T409" s="199"/>
    </row>
    <row r="410" ht="15.75" customHeight="1">
      <c r="E410" s="61"/>
      <c r="H410" s="61"/>
      <c r="I410" s="61"/>
      <c r="S410" s="199"/>
      <c r="T410" s="199"/>
    </row>
    <row r="411" ht="15.75" customHeight="1">
      <c r="E411" s="61"/>
      <c r="H411" s="61"/>
      <c r="I411" s="61"/>
      <c r="S411" s="199"/>
      <c r="T411" s="199"/>
    </row>
    <row r="412" ht="15.75" customHeight="1">
      <c r="E412" s="61"/>
      <c r="H412" s="61"/>
      <c r="I412" s="61"/>
      <c r="S412" s="199"/>
      <c r="T412" s="199"/>
    </row>
    <row r="413" ht="15.75" customHeight="1">
      <c r="E413" s="61"/>
      <c r="H413" s="61"/>
      <c r="I413" s="61"/>
      <c r="S413" s="199"/>
      <c r="T413" s="199"/>
    </row>
    <row r="414" ht="15.75" customHeight="1">
      <c r="E414" s="61"/>
      <c r="H414" s="61"/>
      <c r="I414" s="61"/>
      <c r="S414" s="199"/>
      <c r="T414" s="199"/>
    </row>
    <row r="415" ht="15.75" customHeight="1">
      <c r="E415" s="61"/>
      <c r="H415" s="61"/>
      <c r="I415" s="61"/>
      <c r="S415" s="199"/>
      <c r="T415" s="199"/>
    </row>
    <row r="416" ht="15.75" customHeight="1">
      <c r="E416" s="61"/>
      <c r="H416" s="61"/>
      <c r="I416" s="61"/>
      <c r="S416" s="199"/>
      <c r="T416" s="199"/>
    </row>
    <row r="417" ht="15.75" customHeight="1">
      <c r="E417" s="61"/>
      <c r="H417" s="61"/>
      <c r="I417" s="61"/>
      <c r="S417" s="199"/>
      <c r="T417" s="199"/>
    </row>
    <row r="418" ht="15.75" customHeight="1">
      <c r="E418" s="61"/>
      <c r="H418" s="61"/>
      <c r="I418" s="61"/>
      <c r="S418" s="199"/>
      <c r="T418" s="199"/>
    </row>
    <row r="419" ht="15.75" customHeight="1">
      <c r="E419" s="61"/>
      <c r="H419" s="61"/>
      <c r="I419" s="61"/>
      <c r="S419" s="199"/>
      <c r="T419" s="199"/>
    </row>
    <row r="420" ht="15.75" customHeight="1">
      <c r="E420" s="61"/>
      <c r="H420" s="61"/>
      <c r="I420" s="61"/>
      <c r="S420" s="199"/>
      <c r="T420" s="199"/>
    </row>
    <row r="421" ht="15.75" customHeight="1">
      <c r="E421" s="61"/>
      <c r="H421" s="61"/>
      <c r="I421" s="61"/>
      <c r="S421" s="199"/>
      <c r="T421" s="199"/>
    </row>
    <row r="422" ht="15.75" customHeight="1">
      <c r="E422" s="61"/>
      <c r="H422" s="61"/>
      <c r="I422" s="61"/>
      <c r="S422" s="199"/>
      <c r="T422" s="199"/>
    </row>
    <row r="423" ht="15.75" customHeight="1">
      <c r="E423" s="61"/>
      <c r="H423" s="61"/>
      <c r="I423" s="61"/>
      <c r="S423" s="199"/>
      <c r="T423" s="199"/>
    </row>
    <row r="424" ht="15.75" customHeight="1">
      <c r="E424" s="61"/>
      <c r="H424" s="61"/>
      <c r="I424" s="61"/>
      <c r="S424" s="199"/>
      <c r="T424" s="199"/>
    </row>
    <row r="425" ht="15.75" customHeight="1">
      <c r="E425" s="61"/>
      <c r="H425" s="61"/>
      <c r="I425" s="61"/>
      <c r="S425" s="199"/>
      <c r="T425" s="199"/>
    </row>
    <row r="426" ht="15.75" customHeight="1">
      <c r="E426" s="61"/>
      <c r="H426" s="61"/>
      <c r="I426" s="61"/>
      <c r="S426" s="199"/>
      <c r="T426" s="199"/>
    </row>
    <row r="427" ht="15.75" customHeight="1">
      <c r="E427" s="61"/>
      <c r="H427" s="61"/>
      <c r="I427" s="61"/>
      <c r="S427" s="199"/>
      <c r="T427" s="199"/>
    </row>
    <row r="428" ht="15.75" customHeight="1">
      <c r="E428" s="61"/>
      <c r="H428" s="61"/>
      <c r="I428" s="61"/>
      <c r="S428" s="199"/>
      <c r="T428" s="199"/>
    </row>
    <row r="429" ht="15.75" customHeight="1">
      <c r="E429" s="61"/>
      <c r="H429" s="61"/>
      <c r="I429" s="61"/>
      <c r="S429" s="199"/>
      <c r="T429" s="199"/>
    </row>
    <row r="430" ht="15.75" customHeight="1">
      <c r="E430" s="61"/>
      <c r="H430" s="61"/>
      <c r="I430" s="61"/>
      <c r="S430" s="199"/>
      <c r="T430" s="199"/>
    </row>
    <row r="431" ht="15.75" customHeight="1">
      <c r="E431" s="61"/>
      <c r="H431" s="61"/>
      <c r="I431" s="61"/>
      <c r="S431" s="199"/>
      <c r="T431" s="199"/>
    </row>
    <row r="432" ht="15.75" customHeight="1">
      <c r="E432" s="61"/>
      <c r="H432" s="61"/>
      <c r="I432" s="61"/>
      <c r="S432" s="199"/>
      <c r="T432" s="199"/>
    </row>
    <row r="433" ht="15.75" customHeight="1">
      <c r="E433" s="61"/>
      <c r="H433" s="61"/>
      <c r="I433" s="61"/>
      <c r="S433" s="199"/>
      <c r="T433" s="199"/>
    </row>
    <row r="434" ht="15.75" customHeight="1">
      <c r="E434" s="61"/>
      <c r="H434" s="61"/>
      <c r="I434" s="61"/>
      <c r="S434" s="199"/>
      <c r="T434" s="199"/>
    </row>
    <row r="435" ht="15.75" customHeight="1">
      <c r="E435" s="61"/>
      <c r="H435" s="61"/>
      <c r="I435" s="61"/>
      <c r="S435" s="199"/>
      <c r="T435" s="199"/>
    </row>
    <row r="436" ht="15.75" customHeight="1">
      <c r="E436" s="61"/>
      <c r="H436" s="61"/>
      <c r="I436" s="61"/>
      <c r="S436" s="199"/>
      <c r="T436" s="199"/>
    </row>
    <row r="437" ht="15.75" customHeight="1">
      <c r="E437" s="61"/>
      <c r="H437" s="61"/>
      <c r="I437" s="61"/>
      <c r="S437" s="199"/>
      <c r="T437" s="199"/>
    </row>
    <row r="438" ht="15.75" customHeight="1">
      <c r="E438" s="61"/>
      <c r="H438" s="61"/>
      <c r="I438" s="61"/>
      <c r="S438" s="199"/>
      <c r="T438" s="199"/>
    </row>
    <row r="439" ht="15.75" customHeight="1">
      <c r="E439" s="61"/>
      <c r="H439" s="61"/>
      <c r="I439" s="61"/>
      <c r="S439" s="199"/>
      <c r="T439" s="199"/>
    </row>
    <row r="440" ht="15.75" customHeight="1">
      <c r="E440" s="61"/>
      <c r="H440" s="61"/>
      <c r="I440" s="61"/>
      <c r="S440" s="199"/>
      <c r="T440" s="199"/>
    </row>
    <row r="441" ht="15.75" customHeight="1">
      <c r="E441" s="61"/>
      <c r="H441" s="61"/>
      <c r="I441" s="61"/>
      <c r="S441" s="199"/>
      <c r="T441" s="199"/>
    </row>
    <row r="442" ht="15.75" customHeight="1">
      <c r="E442" s="61"/>
      <c r="H442" s="61"/>
      <c r="I442" s="61"/>
      <c r="S442" s="199"/>
      <c r="T442" s="199"/>
    </row>
    <row r="443" ht="15.75" customHeight="1">
      <c r="E443" s="61"/>
      <c r="H443" s="61"/>
      <c r="I443" s="61"/>
      <c r="S443" s="199"/>
      <c r="T443" s="199"/>
    </row>
    <row r="444" ht="15.75" customHeight="1">
      <c r="E444" s="61"/>
      <c r="H444" s="61"/>
      <c r="I444" s="61"/>
      <c r="S444" s="199"/>
      <c r="T444" s="199"/>
    </row>
    <row r="445" ht="15.75" customHeight="1">
      <c r="E445" s="61"/>
      <c r="H445" s="61"/>
      <c r="I445" s="61"/>
      <c r="S445" s="199"/>
      <c r="T445" s="199"/>
    </row>
    <row r="446" ht="15.75" customHeight="1">
      <c r="E446" s="61"/>
      <c r="H446" s="61"/>
      <c r="I446" s="61"/>
      <c r="S446" s="199"/>
      <c r="T446" s="199"/>
    </row>
    <row r="447" ht="15.75" customHeight="1">
      <c r="E447" s="61"/>
      <c r="H447" s="61"/>
      <c r="I447" s="61"/>
      <c r="S447" s="199"/>
      <c r="T447" s="199"/>
    </row>
    <row r="448" ht="15.75" customHeight="1">
      <c r="E448" s="61"/>
      <c r="H448" s="61"/>
      <c r="I448" s="61"/>
      <c r="S448" s="199"/>
      <c r="T448" s="199"/>
    </row>
    <row r="449" ht="15.75" customHeight="1">
      <c r="E449" s="61"/>
      <c r="H449" s="61"/>
      <c r="I449" s="61"/>
      <c r="S449" s="199"/>
      <c r="T449" s="199"/>
    </row>
    <row r="450" ht="15.75" customHeight="1">
      <c r="E450" s="61"/>
      <c r="H450" s="61"/>
      <c r="I450" s="61"/>
      <c r="S450" s="199"/>
      <c r="T450" s="199"/>
    </row>
    <row r="451" ht="15.75" customHeight="1">
      <c r="E451" s="61"/>
      <c r="H451" s="61"/>
      <c r="I451" s="61"/>
      <c r="S451" s="199"/>
      <c r="T451" s="199"/>
    </row>
    <row r="452" ht="15.75" customHeight="1">
      <c r="E452" s="61"/>
      <c r="H452" s="61"/>
      <c r="I452" s="61"/>
      <c r="S452" s="199"/>
      <c r="T452" s="199"/>
    </row>
    <row r="453" ht="15.75" customHeight="1">
      <c r="E453" s="61"/>
      <c r="H453" s="61"/>
      <c r="I453" s="61"/>
      <c r="S453" s="199"/>
      <c r="T453" s="199"/>
    </row>
    <row r="454" ht="15.75" customHeight="1">
      <c r="E454" s="61"/>
      <c r="H454" s="61"/>
      <c r="I454" s="61"/>
      <c r="S454" s="199"/>
      <c r="T454" s="199"/>
    </row>
    <row r="455" ht="15.75" customHeight="1">
      <c r="E455" s="61"/>
      <c r="H455" s="61"/>
      <c r="I455" s="61"/>
      <c r="S455" s="199"/>
      <c r="T455" s="199"/>
    </row>
    <row r="456" ht="15.75" customHeight="1">
      <c r="E456" s="61"/>
      <c r="H456" s="61"/>
      <c r="I456" s="61"/>
      <c r="S456" s="199"/>
      <c r="T456" s="199"/>
    </row>
    <row r="457" ht="15.75" customHeight="1">
      <c r="E457" s="61"/>
      <c r="H457" s="61"/>
      <c r="I457" s="61"/>
      <c r="S457" s="199"/>
      <c r="T457" s="199"/>
    </row>
    <row r="458" ht="15.75" customHeight="1">
      <c r="E458" s="61"/>
      <c r="H458" s="61"/>
      <c r="I458" s="61"/>
      <c r="S458" s="199"/>
      <c r="T458" s="199"/>
    </row>
    <row r="459" ht="15.75" customHeight="1">
      <c r="E459" s="61"/>
      <c r="H459" s="61"/>
      <c r="I459" s="61"/>
      <c r="S459" s="199"/>
      <c r="T459" s="199"/>
    </row>
    <row r="460" ht="15.75" customHeight="1">
      <c r="E460" s="61"/>
      <c r="H460" s="61"/>
      <c r="I460" s="61"/>
      <c r="S460" s="199"/>
      <c r="T460" s="199"/>
    </row>
    <row r="461" ht="15.75" customHeight="1">
      <c r="E461" s="61"/>
      <c r="H461" s="61"/>
      <c r="I461" s="61"/>
      <c r="S461" s="199"/>
      <c r="T461" s="199"/>
    </row>
    <row r="462" ht="15.75" customHeight="1">
      <c r="E462" s="61"/>
      <c r="H462" s="61"/>
      <c r="I462" s="61"/>
      <c r="S462" s="199"/>
      <c r="T462" s="199"/>
    </row>
    <row r="463" ht="15.75" customHeight="1">
      <c r="E463" s="61"/>
      <c r="H463" s="61"/>
      <c r="I463" s="61"/>
      <c r="S463" s="199"/>
      <c r="T463" s="199"/>
    </row>
    <row r="464" ht="15.75" customHeight="1">
      <c r="E464" s="61"/>
      <c r="H464" s="61"/>
      <c r="I464" s="61"/>
      <c r="S464" s="199"/>
      <c r="T464" s="199"/>
    </row>
    <row r="465" ht="15.75" customHeight="1">
      <c r="E465" s="61"/>
      <c r="H465" s="61"/>
      <c r="I465" s="61"/>
      <c r="S465" s="199"/>
      <c r="T465" s="199"/>
    </row>
    <row r="466" ht="15.75" customHeight="1">
      <c r="E466" s="61"/>
      <c r="H466" s="61"/>
      <c r="I466" s="61"/>
      <c r="S466" s="199"/>
      <c r="T466" s="199"/>
    </row>
    <row r="467" ht="15.75" customHeight="1">
      <c r="E467" s="61"/>
      <c r="H467" s="61"/>
      <c r="I467" s="61"/>
      <c r="S467" s="199"/>
      <c r="T467" s="199"/>
    </row>
    <row r="468" ht="15.75" customHeight="1">
      <c r="E468" s="61"/>
      <c r="H468" s="61"/>
      <c r="I468" s="61"/>
      <c r="S468" s="199"/>
      <c r="T468" s="199"/>
    </row>
    <row r="469" ht="15.75" customHeight="1">
      <c r="E469" s="61"/>
      <c r="H469" s="61"/>
      <c r="I469" s="61"/>
      <c r="S469" s="199"/>
      <c r="T469" s="199"/>
    </row>
    <row r="470" ht="15.75" customHeight="1">
      <c r="E470" s="61"/>
      <c r="H470" s="61"/>
      <c r="I470" s="61"/>
      <c r="S470" s="199"/>
      <c r="T470" s="199"/>
    </row>
    <row r="471" ht="15.75" customHeight="1">
      <c r="E471" s="61"/>
      <c r="H471" s="61"/>
      <c r="I471" s="61"/>
      <c r="S471" s="199"/>
      <c r="T471" s="199"/>
    </row>
    <row r="472" ht="15.75" customHeight="1">
      <c r="E472" s="61"/>
      <c r="H472" s="61"/>
      <c r="I472" s="61"/>
      <c r="S472" s="199"/>
      <c r="T472" s="199"/>
    </row>
    <row r="473" ht="15.75" customHeight="1">
      <c r="E473" s="61"/>
      <c r="H473" s="61"/>
      <c r="I473" s="61"/>
      <c r="S473" s="199"/>
      <c r="T473" s="199"/>
    </row>
    <row r="474" ht="15.75" customHeight="1">
      <c r="E474" s="61"/>
      <c r="H474" s="61"/>
      <c r="I474" s="61"/>
      <c r="S474" s="199"/>
      <c r="T474" s="199"/>
    </row>
    <row r="475" ht="15.75" customHeight="1">
      <c r="E475" s="61"/>
      <c r="H475" s="61"/>
      <c r="I475" s="61"/>
      <c r="S475" s="199"/>
      <c r="T475" s="199"/>
    </row>
    <row r="476" ht="15.75" customHeight="1">
      <c r="E476" s="61"/>
      <c r="H476" s="61"/>
      <c r="I476" s="61"/>
      <c r="S476" s="199"/>
      <c r="T476" s="199"/>
    </row>
    <row r="477" ht="15.75" customHeight="1">
      <c r="E477" s="61"/>
      <c r="H477" s="61"/>
      <c r="I477" s="61"/>
      <c r="S477" s="199"/>
      <c r="T477" s="199"/>
    </row>
    <row r="478" ht="15.75" customHeight="1">
      <c r="E478" s="61"/>
      <c r="H478" s="61"/>
      <c r="I478" s="61"/>
      <c r="S478" s="199"/>
      <c r="T478" s="199"/>
    </row>
    <row r="479" ht="15.75" customHeight="1">
      <c r="E479" s="61"/>
      <c r="H479" s="61"/>
      <c r="I479" s="61"/>
      <c r="S479" s="199"/>
      <c r="T479" s="199"/>
    </row>
    <row r="480" ht="15.75" customHeight="1">
      <c r="E480" s="61"/>
      <c r="H480" s="61"/>
      <c r="I480" s="61"/>
      <c r="S480" s="199"/>
      <c r="T480" s="199"/>
    </row>
    <row r="481" ht="15.75" customHeight="1">
      <c r="E481" s="61"/>
      <c r="H481" s="61"/>
      <c r="I481" s="61"/>
      <c r="S481" s="199"/>
      <c r="T481" s="199"/>
    </row>
    <row r="482" ht="15.75" customHeight="1">
      <c r="E482" s="61"/>
      <c r="H482" s="61"/>
      <c r="I482" s="61"/>
      <c r="S482" s="199"/>
      <c r="T482" s="199"/>
    </row>
    <row r="483" ht="15.75" customHeight="1">
      <c r="E483" s="61"/>
      <c r="H483" s="61"/>
      <c r="I483" s="61"/>
      <c r="S483" s="199"/>
      <c r="T483" s="199"/>
    </row>
    <row r="484" ht="15.75" customHeight="1">
      <c r="E484" s="61"/>
      <c r="H484" s="61"/>
      <c r="I484" s="61"/>
      <c r="S484" s="199"/>
      <c r="T484" s="199"/>
    </row>
    <row r="485" ht="15.75" customHeight="1">
      <c r="E485" s="61"/>
      <c r="H485" s="61"/>
      <c r="I485" s="61"/>
      <c r="S485" s="199"/>
      <c r="T485" s="199"/>
    </row>
    <row r="486" ht="15.75" customHeight="1">
      <c r="E486" s="61"/>
      <c r="H486" s="61"/>
      <c r="I486" s="61"/>
      <c r="S486" s="199"/>
      <c r="T486" s="199"/>
    </row>
    <row r="487" ht="15.75" customHeight="1">
      <c r="E487" s="61"/>
      <c r="H487" s="61"/>
      <c r="I487" s="61"/>
      <c r="S487" s="199"/>
      <c r="T487" s="199"/>
    </row>
    <row r="488" ht="15.75" customHeight="1">
      <c r="E488" s="61"/>
      <c r="H488" s="61"/>
      <c r="I488" s="61"/>
      <c r="S488" s="199"/>
      <c r="T488" s="199"/>
    </row>
    <row r="489" ht="15.75" customHeight="1">
      <c r="E489" s="61"/>
      <c r="H489" s="61"/>
      <c r="I489" s="61"/>
      <c r="S489" s="199"/>
      <c r="T489" s="199"/>
    </row>
    <row r="490" ht="15.75" customHeight="1">
      <c r="E490" s="61"/>
      <c r="H490" s="61"/>
      <c r="I490" s="61"/>
      <c r="S490" s="199"/>
      <c r="T490" s="199"/>
    </row>
    <row r="491" ht="15.75" customHeight="1">
      <c r="E491" s="61"/>
      <c r="H491" s="61"/>
      <c r="I491" s="61"/>
      <c r="S491" s="199"/>
      <c r="T491" s="199"/>
    </row>
    <row r="492" ht="15.75" customHeight="1">
      <c r="E492" s="61"/>
      <c r="H492" s="61"/>
      <c r="I492" s="61"/>
      <c r="S492" s="199"/>
      <c r="T492" s="199"/>
    </row>
    <row r="493" ht="15.75" customHeight="1">
      <c r="E493" s="61"/>
      <c r="H493" s="61"/>
      <c r="I493" s="61"/>
      <c r="S493" s="199"/>
      <c r="T493" s="199"/>
    </row>
    <row r="494" ht="15.75" customHeight="1">
      <c r="E494" s="61"/>
      <c r="H494" s="61"/>
      <c r="I494" s="61"/>
      <c r="S494" s="199"/>
      <c r="T494" s="199"/>
    </row>
    <row r="495" ht="15.75" customHeight="1">
      <c r="E495" s="61"/>
      <c r="H495" s="61"/>
      <c r="I495" s="61"/>
      <c r="S495" s="199"/>
      <c r="T495" s="199"/>
    </row>
    <row r="496" ht="15.75" customHeight="1">
      <c r="E496" s="61"/>
      <c r="H496" s="61"/>
      <c r="I496" s="61"/>
      <c r="S496" s="199"/>
      <c r="T496" s="199"/>
    </row>
    <row r="497" ht="15.75" customHeight="1">
      <c r="E497" s="61"/>
      <c r="H497" s="61"/>
      <c r="I497" s="61"/>
      <c r="S497" s="199"/>
      <c r="T497" s="199"/>
    </row>
    <row r="498" ht="15.75" customHeight="1">
      <c r="E498" s="61"/>
      <c r="H498" s="61"/>
      <c r="I498" s="61"/>
      <c r="S498" s="199"/>
      <c r="T498" s="199"/>
    </row>
    <row r="499" ht="15.75" customHeight="1">
      <c r="E499" s="61"/>
      <c r="H499" s="61"/>
      <c r="I499" s="61"/>
      <c r="S499" s="199"/>
      <c r="T499" s="199"/>
    </row>
    <row r="500" ht="15.75" customHeight="1">
      <c r="E500" s="61"/>
      <c r="H500" s="61"/>
      <c r="I500" s="61"/>
      <c r="S500" s="199"/>
      <c r="T500" s="199"/>
    </row>
    <row r="501" ht="15.75" customHeight="1">
      <c r="E501" s="61"/>
      <c r="H501" s="61"/>
      <c r="I501" s="61"/>
      <c r="S501" s="199"/>
      <c r="T501" s="199"/>
    </row>
    <row r="502" ht="15.75" customHeight="1">
      <c r="E502" s="61"/>
      <c r="H502" s="61"/>
      <c r="I502" s="61"/>
      <c r="S502" s="199"/>
      <c r="T502" s="199"/>
    </row>
    <row r="503" ht="15.75" customHeight="1">
      <c r="E503" s="61"/>
      <c r="H503" s="61"/>
      <c r="I503" s="61"/>
      <c r="S503" s="199"/>
      <c r="T503" s="199"/>
    </row>
    <row r="504" ht="15.75" customHeight="1">
      <c r="E504" s="61"/>
      <c r="H504" s="61"/>
      <c r="I504" s="61"/>
      <c r="S504" s="199"/>
      <c r="T504" s="199"/>
    </row>
    <row r="505" ht="15.75" customHeight="1">
      <c r="E505" s="61"/>
      <c r="H505" s="61"/>
      <c r="I505" s="61"/>
      <c r="S505" s="199"/>
      <c r="T505" s="199"/>
    </row>
    <row r="506" ht="15.75" customHeight="1">
      <c r="E506" s="61"/>
      <c r="H506" s="61"/>
      <c r="I506" s="61"/>
      <c r="S506" s="199"/>
      <c r="T506" s="199"/>
    </row>
    <row r="507" ht="15.75" customHeight="1">
      <c r="E507" s="61"/>
      <c r="H507" s="61"/>
      <c r="I507" s="61"/>
      <c r="S507" s="199"/>
      <c r="T507" s="199"/>
    </row>
    <row r="508" ht="15.75" customHeight="1">
      <c r="E508" s="61"/>
      <c r="H508" s="61"/>
      <c r="I508" s="61"/>
      <c r="S508" s="199"/>
      <c r="T508" s="199"/>
    </row>
    <row r="509" ht="15.75" customHeight="1">
      <c r="E509" s="61"/>
      <c r="H509" s="61"/>
      <c r="I509" s="61"/>
      <c r="S509" s="199"/>
      <c r="T509" s="199"/>
    </row>
    <row r="510" ht="15.75" customHeight="1">
      <c r="E510" s="61"/>
      <c r="H510" s="61"/>
      <c r="I510" s="61"/>
      <c r="S510" s="199"/>
      <c r="T510" s="199"/>
    </row>
    <row r="511" ht="15.75" customHeight="1">
      <c r="E511" s="61"/>
      <c r="H511" s="61"/>
      <c r="I511" s="61"/>
      <c r="S511" s="199"/>
      <c r="T511" s="199"/>
    </row>
    <row r="512" ht="15.75" customHeight="1">
      <c r="E512" s="61"/>
      <c r="H512" s="61"/>
      <c r="I512" s="61"/>
      <c r="S512" s="199"/>
      <c r="T512" s="199"/>
    </row>
    <row r="513" ht="15.75" customHeight="1">
      <c r="E513" s="61"/>
      <c r="H513" s="61"/>
      <c r="I513" s="61"/>
      <c r="S513" s="199"/>
      <c r="T513" s="199"/>
    </row>
    <row r="514" ht="15.75" customHeight="1">
      <c r="E514" s="61"/>
      <c r="H514" s="61"/>
      <c r="I514" s="61"/>
      <c r="S514" s="199"/>
      <c r="T514" s="199"/>
    </row>
    <row r="515" ht="15.75" customHeight="1">
      <c r="E515" s="61"/>
      <c r="H515" s="61"/>
      <c r="I515" s="61"/>
      <c r="S515" s="199"/>
      <c r="T515" s="199"/>
    </row>
    <row r="516" ht="15.75" customHeight="1">
      <c r="E516" s="61"/>
      <c r="H516" s="61"/>
      <c r="I516" s="61"/>
      <c r="S516" s="199"/>
      <c r="T516" s="199"/>
    </row>
    <row r="517" ht="15.75" customHeight="1">
      <c r="E517" s="61"/>
      <c r="H517" s="61"/>
      <c r="I517" s="61"/>
      <c r="S517" s="199"/>
      <c r="T517" s="199"/>
    </row>
    <row r="518" ht="15.75" customHeight="1">
      <c r="E518" s="61"/>
      <c r="H518" s="61"/>
      <c r="I518" s="61"/>
      <c r="S518" s="199"/>
      <c r="T518" s="199"/>
    </row>
    <row r="519" ht="15.75" customHeight="1">
      <c r="E519" s="61"/>
      <c r="H519" s="61"/>
      <c r="I519" s="61"/>
      <c r="S519" s="199"/>
      <c r="T519" s="199"/>
    </row>
    <row r="520" ht="15.75" customHeight="1">
      <c r="E520" s="61"/>
      <c r="H520" s="61"/>
      <c r="I520" s="61"/>
      <c r="S520" s="199"/>
      <c r="T520" s="199"/>
    </row>
    <row r="521" ht="15.75" customHeight="1">
      <c r="E521" s="61"/>
      <c r="H521" s="61"/>
      <c r="I521" s="61"/>
      <c r="S521" s="199"/>
      <c r="T521" s="199"/>
    </row>
    <row r="522" ht="15.75" customHeight="1">
      <c r="E522" s="61"/>
      <c r="H522" s="61"/>
      <c r="I522" s="61"/>
      <c r="S522" s="199"/>
      <c r="T522" s="199"/>
    </row>
    <row r="523" ht="15.75" customHeight="1">
      <c r="E523" s="61"/>
      <c r="H523" s="61"/>
      <c r="I523" s="61"/>
      <c r="S523" s="199"/>
      <c r="T523" s="199"/>
    </row>
    <row r="524" ht="15.75" customHeight="1">
      <c r="E524" s="61"/>
      <c r="H524" s="61"/>
      <c r="I524" s="61"/>
      <c r="S524" s="199"/>
      <c r="T524" s="199"/>
    </row>
    <row r="525" ht="15.75" customHeight="1">
      <c r="E525" s="61"/>
      <c r="H525" s="61"/>
      <c r="I525" s="61"/>
      <c r="S525" s="199"/>
      <c r="T525" s="199"/>
    </row>
    <row r="526" ht="15.75" customHeight="1">
      <c r="E526" s="61"/>
      <c r="H526" s="61"/>
      <c r="I526" s="61"/>
      <c r="S526" s="199"/>
      <c r="T526" s="199"/>
    </row>
    <row r="527" ht="15.75" customHeight="1">
      <c r="E527" s="61"/>
      <c r="H527" s="61"/>
      <c r="I527" s="61"/>
      <c r="S527" s="199"/>
      <c r="T527" s="199"/>
    </row>
    <row r="528" ht="15.75" customHeight="1">
      <c r="E528" s="61"/>
      <c r="H528" s="61"/>
      <c r="I528" s="61"/>
      <c r="S528" s="199"/>
      <c r="T528" s="199"/>
    </row>
    <row r="529" ht="15.75" customHeight="1">
      <c r="E529" s="61"/>
      <c r="H529" s="61"/>
      <c r="I529" s="61"/>
      <c r="S529" s="199"/>
      <c r="T529" s="199"/>
    </row>
    <row r="530" ht="15.75" customHeight="1">
      <c r="E530" s="61"/>
      <c r="H530" s="61"/>
      <c r="I530" s="61"/>
      <c r="S530" s="199"/>
      <c r="T530" s="199"/>
    </row>
    <row r="531" ht="15.75" customHeight="1">
      <c r="E531" s="61"/>
      <c r="H531" s="61"/>
      <c r="I531" s="61"/>
      <c r="S531" s="199"/>
      <c r="T531" s="199"/>
    </row>
    <row r="532" ht="15.75" customHeight="1">
      <c r="E532" s="61"/>
      <c r="H532" s="61"/>
      <c r="I532" s="61"/>
      <c r="S532" s="199"/>
      <c r="T532" s="199"/>
    </row>
    <row r="533" ht="15.75" customHeight="1">
      <c r="E533" s="61"/>
      <c r="H533" s="61"/>
      <c r="I533" s="61"/>
      <c r="S533" s="199"/>
      <c r="T533" s="199"/>
    </row>
    <row r="534" ht="15.75" customHeight="1">
      <c r="E534" s="61"/>
      <c r="H534" s="61"/>
      <c r="I534" s="61"/>
      <c r="S534" s="199"/>
      <c r="T534" s="199"/>
    </row>
    <row r="535" ht="15.75" customHeight="1">
      <c r="E535" s="61"/>
      <c r="H535" s="61"/>
      <c r="I535" s="61"/>
      <c r="S535" s="199"/>
      <c r="T535" s="199"/>
    </row>
    <row r="536" ht="15.75" customHeight="1">
      <c r="E536" s="61"/>
      <c r="H536" s="61"/>
      <c r="I536" s="61"/>
      <c r="S536" s="199"/>
      <c r="T536" s="199"/>
    </row>
    <row r="537" ht="15.75" customHeight="1">
      <c r="E537" s="61"/>
      <c r="H537" s="61"/>
      <c r="I537" s="61"/>
      <c r="S537" s="199"/>
      <c r="T537" s="199"/>
    </row>
    <row r="538" ht="15.75" customHeight="1">
      <c r="E538" s="61"/>
      <c r="H538" s="61"/>
      <c r="I538" s="61"/>
      <c r="S538" s="199"/>
      <c r="T538" s="199"/>
    </row>
    <row r="539" ht="15.75" customHeight="1">
      <c r="E539" s="61"/>
      <c r="H539" s="61"/>
      <c r="I539" s="61"/>
      <c r="S539" s="199"/>
      <c r="T539" s="199"/>
    </row>
    <row r="540" ht="15.75" customHeight="1">
      <c r="E540" s="61"/>
      <c r="H540" s="61"/>
      <c r="I540" s="61"/>
      <c r="S540" s="199"/>
      <c r="T540" s="199"/>
    </row>
    <row r="541" ht="15.75" customHeight="1">
      <c r="E541" s="61"/>
      <c r="H541" s="61"/>
      <c r="I541" s="61"/>
      <c r="S541" s="199"/>
      <c r="T541" s="199"/>
    </row>
    <row r="542" ht="15.75" customHeight="1">
      <c r="E542" s="61"/>
      <c r="H542" s="61"/>
      <c r="I542" s="61"/>
      <c r="S542" s="199"/>
      <c r="T542" s="199"/>
    </row>
    <row r="543" ht="15.75" customHeight="1">
      <c r="E543" s="61"/>
      <c r="H543" s="61"/>
      <c r="I543" s="61"/>
      <c r="S543" s="199"/>
      <c r="T543" s="199"/>
    </row>
    <row r="544" ht="15.75" customHeight="1">
      <c r="E544" s="61"/>
      <c r="H544" s="61"/>
      <c r="I544" s="61"/>
      <c r="S544" s="199"/>
      <c r="T544" s="199"/>
    </row>
    <row r="545" ht="15.75" customHeight="1">
      <c r="E545" s="61"/>
      <c r="H545" s="61"/>
      <c r="I545" s="61"/>
      <c r="S545" s="199"/>
      <c r="T545" s="199"/>
    </row>
    <row r="546" ht="15.75" customHeight="1">
      <c r="E546" s="61"/>
      <c r="H546" s="61"/>
      <c r="I546" s="61"/>
      <c r="S546" s="199"/>
      <c r="T546" s="199"/>
    </row>
    <row r="547" ht="15.75" customHeight="1">
      <c r="E547" s="61"/>
      <c r="H547" s="61"/>
      <c r="I547" s="61"/>
      <c r="S547" s="199"/>
      <c r="T547" s="199"/>
    </row>
    <row r="548" ht="15.75" customHeight="1">
      <c r="E548" s="61"/>
      <c r="H548" s="61"/>
      <c r="I548" s="61"/>
      <c r="S548" s="199"/>
      <c r="T548" s="199"/>
    </row>
    <row r="549" ht="15.75" customHeight="1">
      <c r="E549" s="61"/>
      <c r="H549" s="61"/>
      <c r="I549" s="61"/>
      <c r="S549" s="199"/>
      <c r="T549" s="199"/>
    </row>
    <row r="550" ht="15.75" customHeight="1">
      <c r="E550" s="61"/>
      <c r="H550" s="61"/>
      <c r="I550" s="61"/>
      <c r="S550" s="199"/>
      <c r="T550" s="199"/>
    </row>
    <row r="551" ht="15.75" customHeight="1">
      <c r="E551" s="61"/>
      <c r="H551" s="61"/>
      <c r="I551" s="61"/>
      <c r="S551" s="199"/>
      <c r="T551" s="199"/>
    </row>
    <row r="552" ht="15.75" customHeight="1">
      <c r="E552" s="61"/>
      <c r="H552" s="61"/>
      <c r="I552" s="61"/>
      <c r="S552" s="199"/>
      <c r="T552" s="199"/>
    </row>
    <row r="553" ht="15.75" customHeight="1">
      <c r="E553" s="61"/>
      <c r="H553" s="61"/>
      <c r="I553" s="61"/>
      <c r="S553" s="199"/>
      <c r="T553" s="199"/>
    </row>
    <row r="554" ht="15.75" customHeight="1">
      <c r="E554" s="61"/>
      <c r="H554" s="61"/>
      <c r="I554" s="61"/>
      <c r="S554" s="199"/>
      <c r="T554" s="199"/>
    </row>
    <row r="555" ht="15.75" customHeight="1">
      <c r="E555" s="61"/>
      <c r="H555" s="61"/>
      <c r="I555" s="61"/>
      <c r="S555" s="199"/>
      <c r="T555" s="199"/>
    </row>
    <row r="556" ht="15.75" customHeight="1">
      <c r="E556" s="61"/>
      <c r="H556" s="61"/>
      <c r="I556" s="61"/>
      <c r="S556" s="199"/>
      <c r="T556" s="199"/>
    </row>
    <row r="557" ht="15.75" customHeight="1">
      <c r="E557" s="61"/>
      <c r="H557" s="61"/>
      <c r="I557" s="61"/>
      <c r="S557" s="199"/>
      <c r="T557" s="199"/>
    </row>
    <row r="558" ht="15.75" customHeight="1">
      <c r="E558" s="61"/>
      <c r="H558" s="61"/>
      <c r="I558" s="61"/>
      <c r="S558" s="199"/>
      <c r="T558" s="199"/>
    </row>
    <row r="559" ht="15.75" customHeight="1">
      <c r="E559" s="61"/>
      <c r="H559" s="61"/>
      <c r="I559" s="61"/>
      <c r="S559" s="199"/>
      <c r="T559" s="199"/>
    </row>
    <row r="560" ht="15.75" customHeight="1">
      <c r="E560" s="61"/>
      <c r="H560" s="61"/>
      <c r="I560" s="61"/>
      <c r="S560" s="199"/>
      <c r="T560" s="199"/>
    </row>
    <row r="561" ht="15.75" customHeight="1">
      <c r="E561" s="61"/>
      <c r="H561" s="61"/>
      <c r="I561" s="61"/>
      <c r="S561" s="199"/>
      <c r="T561" s="199"/>
    </row>
    <row r="562" ht="15.75" customHeight="1">
      <c r="E562" s="61"/>
      <c r="H562" s="61"/>
      <c r="I562" s="61"/>
      <c r="S562" s="199"/>
      <c r="T562" s="199"/>
    </row>
    <row r="563" ht="15.75" customHeight="1">
      <c r="E563" s="61"/>
      <c r="H563" s="61"/>
      <c r="I563" s="61"/>
      <c r="S563" s="199"/>
      <c r="T563" s="199"/>
    </row>
    <row r="564" ht="15.75" customHeight="1">
      <c r="E564" s="61"/>
      <c r="H564" s="61"/>
      <c r="I564" s="61"/>
      <c r="S564" s="199"/>
      <c r="T564" s="199"/>
    </row>
    <row r="565" ht="15.75" customHeight="1">
      <c r="E565" s="61"/>
      <c r="H565" s="61"/>
      <c r="I565" s="61"/>
      <c r="S565" s="199"/>
      <c r="T565" s="199"/>
    </row>
    <row r="566" ht="15.75" customHeight="1">
      <c r="E566" s="61"/>
      <c r="H566" s="61"/>
      <c r="I566" s="61"/>
      <c r="S566" s="199"/>
      <c r="T566" s="199"/>
    </row>
    <row r="567" ht="15.75" customHeight="1">
      <c r="E567" s="61"/>
      <c r="H567" s="61"/>
      <c r="I567" s="61"/>
      <c r="S567" s="199"/>
      <c r="T567" s="199"/>
    </row>
    <row r="568" ht="15.75" customHeight="1">
      <c r="E568" s="61"/>
      <c r="H568" s="61"/>
      <c r="I568" s="61"/>
      <c r="S568" s="199"/>
      <c r="T568" s="199"/>
    </row>
    <row r="569" ht="15.75" customHeight="1">
      <c r="E569" s="61"/>
      <c r="H569" s="61"/>
      <c r="I569" s="61"/>
      <c r="S569" s="199"/>
      <c r="T569" s="199"/>
    </row>
    <row r="570" ht="15.75" customHeight="1">
      <c r="E570" s="61"/>
      <c r="H570" s="61"/>
      <c r="I570" s="61"/>
      <c r="S570" s="199"/>
      <c r="T570" s="199"/>
    </row>
    <row r="571" ht="15.75" customHeight="1">
      <c r="E571" s="61"/>
      <c r="H571" s="61"/>
      <c r="I571" s="61"/>
      <c r="S571" s="199"/>
      <c r="T571" s="199"/>
    </row>
    <row r="572" ht="15.75" customHeight="1">
      <c r="E572" s="61"/>
      <c r="H572" s="61"/>
      <c r="I572" s="61"/>
      <c r="S572" s="199"/>
      <c r="T572" s="199"/>
    </row>
    <row r="573" ht="15.75" customHeight="1">
      <c r="E573" s="61"/>
      <c r="H573" s="61"/>
      <c r="I573" s="61"/>
      <c r="S573" s="199"/>
      <c r="T573" s="199"/>
    </row>
    <row r="574" ht="15.75" customHeight="1">
      <c r="E574" s="61"/>
      <c r="H574" s="61"/>
      <c r="I574" s="61"/>
      <c r="S574" s="199"/>
      <c r="T574" s="199"/>
    </row>
    <row r="575" ht="15.75" customHeight="1">
      <c r="E575" s="61"/>
      <c r="H575" s="61"/>
      <c r="I575" s="61"/>
      <c r="S575" s="199"/>
      <c r="T575" s="199"/>
    </row>
    <row r="576" ht="15.75" customHeight="1">
      <c r="E576" s="61"/>
      <c r="H576" s="61"/>
      <c r="I576" s="61"/>
      <c r="S576" s="199"/>
      <c r="T576" s="199"/>
    </row>
    <row r="577" ht="15.75" customHeight="1">
      <c r="E577" s="61"/>
      <c r="H577" s="61"/>
      <c r="I577" s="61"/>
      <c r="S577" s="199"/>
      <c r="T577" s="199"/>
    </row>
    <row r="578" ht="15.75" customHeight="1">
      <c r="E578" s="61"/>
      <c r="H578" s="61"/>
      <c r="I578" s="61"/>
      <c r="S578" s="199"/>
      <c r="T578" s="199"/>
    </row>
    <row r="579" ht="15.75" customHeight="1">
      <c r="E579" s="61"/>
      <c r="H579" s="61"/>
      <c r="I579" s="61"/>
      <c r="S579" s="199"/>
      <c r="T579" s="199"/>
    </row>
    <row r="580" ht="15.75" customHeight="1">
      <c r="E580" s="61"/>
      <c r="H580" s="61"/>
      <c r="I580" s="61"/>
      <c r="S580" s="199"/>
      <c r="T580" s="199"/>
    </row>
    <row r="581" ht="15.75" customHeight="1">
      <c r="E581" s="61"/>
      <c r="H581" s="61"/>
      <c r="I581" s="61"/>
      <c r="S581" s="199"/>
      <c r="T581" s="199"/>
    </row>
    <row r="582" ht="15.75" customHeight="1">
      <c r="E582" s="61"/>
      <c r="H582" s="61"/>
      <c r="I582" s="61"/>
      <c r="S582" s="199"/>
      <c r="T582" s="199"/>
    </row>
    <row r="583" ht="15.75" customHeight="1">
      <c r="E583" s="61"/>
      <c r="H583" s="61"/>
      <c r="I583" s="61"/>
      <c r="S583" s="199"/>
      <c r="T583" s="199"/>
    </row>
    <row r="584" ht="15.75" customHeight="1">
      <c r="E584" s="61"/>
      <c r="H584" s="61"/>
      <c r="I584" s="61"/>
      <c r="S584" s="199"/>
      <c r="T584" s="199"/>
    </row>
    <row r="585" ht="15.75" customHeight="1">
      <c r="E585" s="61"/>
      <c r="H585" s="61"/>
      <c r="I585" s="61"/>
      <c r="S585" s="199"/>
      <c r="T585" s="199"/>
    </row>
    <row r="586" ht="15.75" customHeight="1">
      <c r="E586" s="61"/>
      <c r="H586" s="61"/>
      <c r="I586" s="61"/>
      <c r="S586" s="199"/>
      <c r="T586" s="199"/>
    </row>
    <row r="587" ht="15.75" customHeight="1">
      <c r="E587" s="61"/>
      <c r="H587" s="61"/>
      <c r="I587" s="61"/>
      <c r="S587" s="199"/>
      <c r="T587" s="199"/>
    </row>
    <row r="588" ht="15.75" customHeight="1">
      <c r="E588" s="61"/>
      <c r="H588" s="61"/>
      <c r="I588" s="61"/>
      <c r="S588" s="199"/>
      <c r="T588" s="199"/>
    </row>
    <row r="589" ht="15.75" customHeight="1">
      <c r="E589" s="61"/>
      <c r="H589" s="61"/>
      <c r="I589" s="61"/>
      <c r="S589" s="199"/>
      <c r="T589" s="199"/>
    </row>
    <row r="590" ht="15.75" customHeight="1">
      <c r="E590" s="61"/>
      <c r="H590" s="61"/>
      <c r="I590" s="61"/>
      <c r="S590" s="199"/>
      <c r="T590" s="199"/>
    </row>
    <row r="591" ht="15.75" customHeight="1">
      <c r="E591" s="61"/>
      <c r="H591" s="61"/>
      <c r="I591" s="61"/>
      <c r="S591" s="199"/>
      <c r="T591" s="199"/>
    </row>
    <row r="592" ht="15.75" customHeight="1">
      <c r="E592" s="61"/>
      <c r="H592" s="61"/>
      <c r="I592" s="61"/>
      <c r="S592" s="199"/>
      <c r="T592" s="199"/>
    </row>
    <row r="593" ht="15.75" customHeight="1">
      <c r="E593" s="61"/>
      <c r="H593" s="61"/>
      <c r="I593" s="61"/>
      <c r="S593" s="199"/>
      <c r="T593" s="199"/>
    </row>
    <row r="594" ht="15.75" customHeight="1">
      <c r="E594" s="61"/>
      <c r="H594" s="61"/>
      <c r="I594" s="61"/>
      <c r="S594" s="199"/>
      <c r="T594" s="199"/>
    </row>
    <row r="595" ht="15.75" customHeight="1">
      <c r="E595" s="61"/>
      <c r="H595" s="61"/>
      <c r="I595" s="61"/>
      <c r="S595" s="199"/>
      <c r="T595" s="199"/>
    </row>
    <row r="596" ht="15.75" customHeight="1">
      <c r="E596" s="61"/>
      <c r="H596" s="61"/>
      <c r="I596" s="61"/>
      <c r="S596" s="199"/>
      <c r="T596" s="199"/>
    </row>
    <row r="597" ht="15.75" customHeight="1">
      <c r="E597" s="61"/>
      <c r="H597" s="61"/>
      <c r="I597" s="61"/>
      <c r="S597" s="199"/>
      <c r="T597" s="199"/>
    </row>
    <row r="598" ht="15.75" customHeight="1">
      <c r="E598" s="61"/>
      <c r="H598" s="61"/>
      <c r="I598" s="61"/>
      <c r="S598" s="199"/>
      <c r="T598" s="199"/>
    </row>
    <row r="599" ht="15.75" customHeight="1">
      <c r="E599" s="61"/>
      <c r="H599" s="61"/>
      <c r="I599" s="61"/>
      <c r="S599" s="199"/>
      <c r="T599" s="199"/>
    </row>
    <row r="600" ht="15.75" customHeight="1">
      <c r="E600" s="61"/>
      <c r="H600" s="61"/>
      <c r="I600" s="61"/>
      <c r="S600" s="199"/>
      <c r="T600" s="199"/>
    </row>
    <row r="601" ht="15.75" customHeight="1">
      <c r="E601" s="61"/>
      <c r="H601" s="61"/>
      <c r="I601" s="61"/>
      <c r="S601" s="199"/>
      <c r="T601" s="199"/>
    </row>
    <row r="602" ht="15.75" customHeight="1">
      <c r="E602" s="61"/>
      <c r="H602" s="61"/>
      <c r="I602" s="61"/>
      <c r="S602" s="199"/>
      <c r="T602" s="199"/>
    </row>
    <row r="603" ht="15.75" customHeight="1">
      <c r="E603" s="61"/>
      <c r="H603" s="61"/>
      <c r="I603" s="61"/>
      <c r="S603" s="199"/>
      <c r="T603" s="199"/>
    </row>
    <row r="604" ht="15.75" customHeight="1">
      <c r="E604" s="61"/>
      <c r="H604" s="61"/>
      <c r="I604" s="61"/>
      <c r="S604" s="199"/>
      <c r="T604" s="199"/>
    </row>
    <row r="605" ht="15.75" customHeight="1">
      <c r="E605" s="61"/>
      <c r="H605" s="61"/>
      <c r="I605" s="61"/>
      <c r="S605" s="199"/>
      <c r="T605" s="199"/>
    </row>
    <row r="606" ht="15.75" customHeight="1">
      <c r="E606" s="61"/>
      <c r="H606" s="61"/>
      <c r="I606" s="61"/>
      <c r="S606" s="199"/>
      <c r="T606" s="199"/>
    </row>
    <row r="607" ht="15.75" customHeight="1">
      <c r="E607" s="61"/>
      <c r="H607" s="61"/>
      <c r="I607" s="61"/>
      <c r="S607" s="199"/>
      <c r="T607" s="199"/>
    </row>
    <row r="608" ht="15.75" customHeight="1">
      <c r="E608" s="61"/>
      <c r="H608" s="61"/>
      <c r="I608" s="61"/>
      <c r="S608" s="199"/>
      <c r="T608" s="199"/>
    </row>
    <row r="609" ht="15.75" customHeight="1">
      <c r="E609" s="61"/>
      <c r="H609" s="61"/>
      <c r="I609" s="61"/>
      <c r="S609" s="199"/>
      <c r="T609" s="199"/>
    </row>
    <row r="610" ht="15.75" customHeight="1">
      <c r="E610" s="61"/>
      <c r="H610" s="61"/>
      <c r="I610" s="61"/>
      <c r="S610" s="199"/>
      <c r="T610" s="199"/>
    </row>
    <row r="611" ht="15.75" customHeight="1">
      <c r="E611" s="61"/>
      <c r="H611" s="61"/>
      <c r="I611" s="61"/>
      <c r="S611" s="199"/>
      <c r="T611" s="199"/>
    </row>
    <row r="612" ht="15.75" customHeight="1">
      <c r="E612" s="61"/>
      <c r="H612" s="61"/>
      <c r="I612" s="61"/>
      <c r="S612" s="199"/>
      <c r="T612" s="199"/>
    </row>
    <row r="613" ht="15.75" customHeight="1">
      <c r="E613" s="61"/>
      <c r="H613" s="61"/>
      <c r="I613" s="61"/>
      <c r="S613" s="199"/>
      <c r="T613" s="199"/>
    </row>
    <row r="614" ht="15.75" customHeight="1">
      <c r="E614" s="61"/>
      <c r="H614" s="61"/>
      <c r="I614" s="61"/>
      <c r="S614" s="199"/>
      <c r="T614" s="199"/>
    </row>
    <row r="615" ht="15.75" customHeight="1">
      <c r="E615" s="61"/>
      <c r="H615" s="61"/>
      <c r="I615" s="61"/>
      <c r="S615" s="199"/>
      <c r="T615" s="199"/>
    </row>
    <row r="616" ht="15.75" customHeight="1">
      <c r="E616" s="61"/>
      <c r="H616" s="61"/>
      <c r="I616" s="61"/>
      <c r="S616" s="199"/>
      <c r="T616" s="199"/>
    </row>
    <row r="617" ht="15.75" customHeight="1">
      <c r="E617" s="61"/>
      <c r="H617" s="61"/>
      <c r="I617" s="61"/>
      <c r="S617" s="199"/>
      <c r="T617" s="199"/>
    </row>
    <row r="618" ht="15.75" customHeight="1">
      <c r="E618" s="61"/>
      <c r="H618" s="61"/>
      <c r="I618" s="61"/>
      <c r="S618" s="199"/>
      <c r="T618" s="199"/>
    </row>
    <row r="619" ht="15.75" customHeight="1">
      <c r="E619" s="61"/>
      <c r="H619" s="61"/>
      <c r="I619" s="61"/>
      <c r="S619" s="199"/>
      <c r="T619" s="199"/>
    </row>
    <row r="620" ht="15.75" customHeight="1">
      <c r="E620" s="61"/>
      <c r="H620" s="61"/>
      <c r="I620" s="61"/>
      <c r="S620" s="199"/>
      <c r="T620" s="199"/>
    </row>
    <row r="621" ht="15.75" customHeight="1">
      <c r="E621" s="61"/>
      <c r="H621" s="61"/>
      <c r="I621" s="61"/>
      <c r="S621" s="199"/>
      <c r="T621" s="199"/>
    </row>
    <row r="622" ht="15.75" customHeight="1">
      <c r="E622" s="61"/>
      <c r="H622" s="61"/>
      <c r="I622" s="61"/>
      <c r="S622" s="199"/>
      <c r="T622" s="199"/>
    </row>
    <row r="623" ht="15.75" customHeight="1">
      <c r="E623" s="61"/>
      <c r="H623" s="61"/>
      <c r="I623" s="61"/>
      <c r="S623" s="199"/>
      <c r="T623" s="199"/>
    </row>
    <row r="624" ht="15.75" customHeight="1">
      <c r="E624" s="61"/>
      <c r="H624" s="61"/>
      <c r="I624" s="61"/>
      <c r="S624" s="199"/>
      <c r="T624" s="199"/>
    </row>
    <row r="625" ht="15.75" customHeight="1">
      <c r="E625" s="61"/>
      <c r="H625" s="61"/>
      <c r="I625" s="61"/>
      <c r="S625" s="199"/>
      <c r="T625" s="199"/>
    </row>
    <row r="626" ht="15.75" customHeight="1">
      <c r="E626" s="61"/>
      <c r="H626" s="61"/>
      <c r="I626" s="61"/>
      <c r="S626" s="199"/>
      <c r="T626" s="199"/>
    </row>
    <row r="627" ht="15.75" customHeight="1">
      <c r="E627" s="61"/>
      <c r="H627" s="61"/>
      <c r="I627" s="61"/>
      <c r="S627" s="199"/>
      <c r="T627" s="199"/>
    </row>
    <row r="628" ht="15.75" customHeight="1">
      <c r="E628" s="61"/>
      <c r="H628" s="61"/>
      <c r="I628" s="61"/>
      <c r="S628" s="199"/>
      <c r="T628" s="199"/>
    </row>
    <row r="629" ht="15.75" customHeight="1">
      <c r="E629" s="61"/>
      <c r="H629" s="61"/>
      <c r="I629" s="61"/>
      <c r="S629" s="199"/>
      <c r="T629" s="199"/>
    </row>
    <row r="630" ht="15.75" customHeight="1">
      <c r="E630" s="61"/>
      <c r="H630" s="61"/>
      <c r="I630" s="61"/>
      <c r="S630" s="199"/>
      <c r="T630" s="199"/>
    </row>
    <row r="631" ht="15.75" customHeight="1">
      <c r="E631" s="61"/>
      <c r="H631" s="61"/>
      <c r="I631" s="61"/>
      <c r="S631" s="199"/>
      <c r="T631" s="199"/>
    </row>
    <row r="632" ht="15.75" customHeight="1">
      <c r="E632" s="61"/>
      <c r="H632" s="61"/>
      <c r="I632" s="61"/>
      <c r="S632" s="199"/>
      <c r="T632" s="199"/>
    </row>
    <row r="633" ht="15.75" customHeight="1">
      <c r="E633" s="61"/>
      <c r="H633" s="61"/>
      <c r="I633" s="61"/>
      <c r="S633" s="199"/>
      <c r="T633" s="199"/>
    </row>
    <row r="634" ht="15.75" customHeight="1">
      <c r="E634" s="61"/>
      <c r="H634" s="61"/>
      <c r="I634" s="61"/>
      <c r="S634" s="199"/>
      <c r="T634" s="199"/>
    </row>
    <row r="635" ht="15.75" customHeight="1">
      <c r="E635" s="61"/>
      <c r="H635" s="61"/>
      <c r="I635" s="61"/>
      <c r="S635" s="199"/>
      <c r="T635" s="199"/>
    </row>
    <row r="636" ht="15.75" customHeight="1">
      <c r="E636" s="61"/>
      <c r="H636" s="61"/>
      <c r="I636" s="61"/>
      <c r="S636" s="199"/>
      <c r="T636" s="199"/>
    </row>
    <row r="637" ht="15.75" customHeight="1">
      <c r="E637" s="61"/>
      <c r="H637" s="61"/>
      <c r="I637" s="61"/>
      <c r="S637" s="199"/>
      <c r="T637" s="199"/>
    </row>
    <row r="638" ht="15.75" customHeight="1">
      <c r="E638" s="61"/>
      <c r="H638" s="61"/>
      <c r="I638" s="61"/>
      <c r="S638" s="199"/>
      <c r="T638" s="199"/>
    </row>
    <row r="639" ht="15.75" customHeight="1">
      <c r="E639" s="61"/>
      <c r="H639" s="61"/>
      <c r="I639" s="61"/>
      <c r="S639" s="199"/>
      <c r="T639" s="199"/>
    </row>
    <row r="640" ht="15.75" customHeight="1">
      <c r="E640" s="61"/>
      <c r="H640" s="61"/>
      <c r="I640" s="61"/>
      <c r="S640" s="199"/>
      <c r="T640" s="199"/>
    </row>
    <row r="641" ht="15.75" customHeight="1">
      <c r="E641" s="61"/>
      <c r="H641" s="61"/>
      <c r="I641" s="61"/>
      <c r="S641" s="199"/>
      <c r="T641" s="199"/>
    </row>
    <row r="642" ht="15.75" customHeight="1">
      <c r="E642" s="61"/>
      <c r="H642" s="61"/>
      <c r="I642" s="61"/>
      <c r="S642" s="199"/>
      <c r="T642" s="199"/>
    </row>
    <row r="643" ht="15.75" customHeight="1">
      <c r="E643" s="61"/>
      <c r="H643" s="61"/>
      <c r="I643" s="61"/>
      <c r="S643" s="199"/>
      <c r="T643" s="199"/>
    </row>
    <row r="644" ht="15.75" customHeight="1">
      <c r="E644" s="61"/>
      <c r="H644" s="61"/>
      <c r="I644" s="61"/>
      <c r="S644" s="199"/>
      <c r="T644" s="199"/>
    </row>
    <row r="645" ht="15.75" customHeight="1">
      <c r="E645" s="61"/>
      <c r="H645" s="61"/>
      <c r="I645" s="61"/>
      <c r="S645" s="199"/>
      <c r="T645" s="199"/>
    </row>
    <row r="646" ht="15.75" customHeight="1">
      <c r="E646" s="61"/>
      <c r="H646" s="61"/>
      <c r="I646" s="61"/>
      <c r="S646" s="199"/>
      <c r="T646" s="199"/>
    </row>
    <row r="647" ht="15.75" customHeight="1">
      <c r="E647" s="61"/>
      <c r="H647" s="61"/>
      <c r="I647" s="61"/>
      <c r="S647" s="199"/>
      <c r="T647" s="199"/>
    </row>
    <row r="648" ht="15.75" customHeight="1">
      <c r="E648" s="61"/>
      <c r="H648" s="61"/>
      <c r="I648" s="61"/>
      <c r="S648" s="199"/>
      <c r="T648" s="199"/>
    </row>
    <row r="649" ht="15.75" customHeight="1">
      <c r="E649" s="61"/>
      <c r="H649" s="61"/>
      <c r="I649" s="61"/>
      <c r="S649" s="199"/>
      <c r="T649" s="199"/>
    </row>
    <row r="650" ht="15.75" customHeight="1">
      <c r="E650" s="61"/>
      <c r="H650" s="61"/>
      <c r="I650" s="61"/>
      <c r="S650" s="199"/>
      <c r="T650" s="199"/>
    </row>
    <row r="651" ht="15.75" customHeight="1">
      <c r="E651" s="61"/>
      <c r="H651" s="61"/>
      <c r="I651" s="61"/>
      <c r="S651" s="199"/>
      <c r="T651" s="199"/>
    </row>
    <row r="652" ht="15.75" customHeight="1">
      <c r="E652" s="61"/>
      <c r="H652" s="61"/>
      <c r="I652" s="61"/>
      <c r="S652" s="199"/>
      <c r="T652" s="199"/>
    </row>
    <row r="653" ht="15.75" customHeight="1">
      <c r="E653" s="61"/>
      <c r="H653" s="61"/>
      <c r="I653" s="61"/>
      <c r="S653" s="199"/>
      <c r="T653" s="199"/>
    </row>
    <row r="654" ht="15.75" customHeight="1">
      <c r="E654" s="61"/>
      <c r="H654" s="61"/>
      <c r="I654" s="61"/>
      <c r="S654" s="199"/>
      <c r="T654" s="199"/>
    </row>
    <row r="655" ht="15.75" customHeight="1">
      <c r="E655" s="61"/>
      <c r="H655" s="61"/>
      <c r="I655" s="61"/>
      <c r="S655" s="199"/>
      <c r="T655" s="199"/>
    </row>
    <row r="656" ht="15.75" customHeight="1">
      <c r="E656" s="61"/>
      <c r="H656" s="61"/>
      <c r="I656" s="61"/>
      <c r="S656" s="199"/>
      <c r="T656" s="199"/>
    </row>
    <row r="657" ht="15.75" customHeight="1">
      <c r="E657" s="61"/>
      <c r="H657" s="61"/>
      <c r="I657" s="61"/>
      <c r="S657" s="199"/>
      <c r="T657" s="199"/>
    </row>
    <row r="658" ht="15.75" customHeight="1">
      <c r="E658" s="61"/>
      <c r="H658" s="61"/>
      <c r="I658" s="61"/>
      <c r="S658" s="199"/>
      <c r="T658" s="199"/>
    </row>
    <row r="659" ht="15.75" customHeight="1">
      <c r="E659" s="61"/>
      <c r="H659" s="61"/>
      <c r="I659" s="61"/>
      <c r="S659" s="199"/>
      <c r="T659" s="199"/>
    </row>
    <row r="660" ht="15.75" customHeight="1">
      <c r="E660" s="61"/>
      <c r="H660" s="61"/>
      <c r="I660" s="61"/>
      <c r="S660" s="199"/>
      <c r="T660" s="199"/>
    </row>
    <row r="661" ht="15.75" customHeight="1">
      <c r="E661" s="61"/>
      <c r="H661" s="61"/>
      <c r="I661" s="61"/>
      <c r="S661" s="199"/>
      <c r="T661" s="199"/>
    </row>
    <row r="662" ht="15.75" customHeight="1">
      <c r="E662" s="61"/>
      <c r="H662" s="61"/>
      <c r="I662" s="61"/>
      <c r="S662" s="199"/>
      <c r="T662" s="199"/>
    </row>
    <row r="663" ht="15.75" customHeight="1">
      <c r="E663" s="61"/>
      <c r="H663" s="61"/>
      <c r="I663" s="61"/>
      <c r="S663" s="199"/>
      <c r="T663" s="199"/>
    </row>
    <row r="664" ht="15.75" customHeight="1">
      <c r="E664" s="61"/>
      <c r="H664" s="61"/>
      <c r="I664" s="61"/>
      <c r="S664" s="199"/>
      <c r="T664" s="199"/>
    </row>
    <row r="665" ht="15.75" customHeight="1">
      <c r="E665" s="61"/>
      <c r="H665" s="61"/>
      <c r="I665" s="61"/>
      <c r="S665" s="199"/>
      <c r="T665" s="199"/>
    </row>
    <row r="666" ht="15.75" customHeight="1">
      <c r="E666" s="61"/>
      <c r="H666" s="61"/>
      <c r="I666" s="61"/>
      <c r="S666" s="199"/>
      <c r="T666" s="199"/>
    </row>
    <row r="667" ht="15.75" customHeight="1">
      <c r="E667" s="61"/>
      <c r="H667" s="61"/>
      <c r="I667" s="61"/>
      <c r="S667" s="199"/>
      <c r="T667" s="199"/>
    </row>
    <row r="668" ht="15.75" customHeight="1">
      <c r="E668" s="61"/>
      <c r="H668" s="61"/>
      <c r="I668" s="61"/>
      <c r="S668" s="199"/>
      <c r="T668" s="199"/>
    </row>
    <row r="669" ht="15.75" customHeight="1">
      <c r="E669" s="61"/>
      <c r="H669" s="61"/>
      <c r="I669" s="61"/>
      <c r="S669" s="199"/>
      <c r="T669" s="199"/>
    </row>
    <row r="670" ht="15.75" customHeight="1">
      <c r="E670" s="61"/>
      <c r="H670" s="61"/>
      <c r="I670" s="61"/>
      <c r="S670" s="199"/>
      <c r="T670" s="199"/>
    </row>
    <row r="671" ht="15.75" customHeight="1">
      <c r="E671" s="61"/>
      <c r="H671" s="61"/>
      <c r="I671" s="61"/>
      <c r="S671" s="199"/>
      <c r="T671" s="199"/>
    </row>
    <row r="672" ht="15.75" customHeight="1">
      <c r="E672" s="61"/>
      <c r="H672" s="61"/>
      <c r="I672" s="61"/>
      <c r="S672" s="199"/>
      <c r="T672" s="199"/>
    </row>
    <row r="673" ht="15.75" customHeight="1">
      <c r="E673" s="61"/>
      <c r="H673" s="61"/>
      <c r="I673" s="61"/>
      <c r="S673" s="199"/>
      <c r="T673" s="199"/>
    </row>
    <row r="674" ht="15.75" customHeight="1">
      <c r="E674" s="61"/>
      <c r="H674" s="61"/>
      <c r="I674" s="61"/>
      <c r="S674" s="199"/>
      <c r="T674" s="199"/>
    </row>
    <row r="675" ht="15.75" customHeight="1">
      <c r="E675" s="61"/>
      <c r="H675" s="61"/>
      <c r="I675" s="61"/>
      <c r="S675" s="199"/>
      <c r="T675" s="199"/>
    </row>
    <row r="676" ht="15.75" customHeight="1">
      <c r="E676" s="61"/>
      <c r="H676" s="61"/>
      <c r="I676" s="61"/>
      <c r="S676" s="199"/>
      <c r="T676" s="199"/>
    </row>
    <row r="677" ht="15.75" customHeight="1">
      <c r="E677" s="61"/>
      <c r="H677" s="61"/>
      <c r="I677" s="61"/>
      <c r="S677" s="199"/>
      <c r="T677" s="199"/>
    </row>
    <row r="678" ht="15.75" customHeight="1">
      <c r="E678" s="61"/>
      <c r="H678" s="61"/>
      <c r="I678" s="61"/>
      <c r="S678" s="199"/>
      <c r="T678" s="199"/>
    </row>
    <row r="679" ht="15.75" customHeight="1">
      <c r="E679" s="61"/>
      <c r="H679" s="61"/>
      <c r="I679" s="61"/>
      <c r="S679" s="199"/>
      <c r="T679" s="199"/>
    </row>
    <row r="680" ht="15.75" customHeight="1">
      <c r="E680" s="61"/>
      <c r="H680" s="61"/>
      <c r="I680" s="61"/>
      <c r="S680" s="199"/>
      <c r="T680" s="199"/>
    </row>
    <row r="681" ht="15.75" customHeight="1">
      <c r="E681" s="61"/>
      <c r="H681" s="61"/>
      <c r="I681" s="61"/>
      <c r="S681" s="199"/>
      <c r="T681" s="199"/>
    </row>
    <row r="682" ht="15.75" customHeight="1">
      <c r="E682" s="61"/>
      <c r="H682" s="61"/>
      <c r="I682" s="61"/>
      <c r="S682" s="199"/>
      <c r="T682" s="199"/>
    </row>
    <row r="683" ht="15.75" customHeight="1">
      <c r="E683" s="61"/>
      <c r="H683" s="61"/>
      <c r="I683" s="61"/>
      <c r="S683" s="199"/>
      <c r="T683" s="199"/>
    </row>
    <row r="684" ht="15.75" customHeight="1">
      <c r="E684" s="61"/>
      <c r="H684" s="61"/>
      <c r="I684" s="61"/>
      <c r="S684" s="199"/>
      <c r="T684" s="199"/>
    </row>
    <row r="685" ht="15.75" customHeight="1">
      <c r="E685" s="61"/>
      <c r="H685" s="61"/>
      <c r="I685" s="61"/>
      <c r="S685" s="199"/>
      <c r="T685" s="199"/>
    </row>
    <row r="686" ht="15.75" customHeight="1">
      <c r="E686" s="61"/>
      <c r="H686" s="61"/>
      <c r="I686" s="61"/>
      <c r="S686" s="199"/>
      <c r="T686" s="199"/>
    </row>
    <row r="687" ht="15.75" customHeight="1">
      <c r="E687" s="61"/>
      <c r="H687" s="61"/>
      <c r="I687" s="61"/>
      <c r="S687" s="199"/>
      <c r="T687" s="199"/>
    </row>
    <row r="688" ht="15.75" customHeight="1">
      <c r="E688" s="61"/>
      <c r="H688" s="61"/>
      <c r="I688" s="61"/>
      <c r="S688" s="199"/>
      <c r="T688" s="199"/>
    </row>
    <row r="689" ht="15.75" customHeight="1">
      <c r="E689" s="61"/>
      <c r="H689" s="61"/>
      <c r="I689" s="61"/>
      <c r="S689" s="199"/>
      <c r="T689" s="199"/>
    </row>
    <row r="690" ht="15.75" customHeight="1">
      <c r="E690" s="61"/>
      <c r="H690" s="61"/>
      <c r="I690" s="61"/>
      <c r="S690" s="199"/>
      <c r="T690" s="199"/>
    </row>
    <row r="691" ht="15.75" customHeight="1">
      <c r="E691" s="61"/>
      <c r="H691" s="61"/>
      <c r="I691" s="61"/>
      <c r="S691" s="199"/>
      <c r="T691" s="199"/>
    </row>
    <row r="692" ht="15.75" customHeight="1">
      <c r="E692" s="61"/>
      <c r="H692" s="61"/>
      <c r="I692" s="61"/>
      <c r="S692" s="199"/>
      <c r="T692" s="199"/>
    </row>
    <row r="693" ht="15.75" customHeight="1">
      <c r="E693" s="61"/>
      <c r="H693" s="61"/>
      <c r="I693" s="61"/>
      <c r="S693" s="199"/>
      <c r="T693" s="199"/>
    </row>
    <row r="694" ht="15.75" customHeight="1">
      <c r="E694" s="61"/>
      <c r="H694" s="61"/>
      <c r="I694" s="61"/>
      <c r="S694" s="199"/>
      <c r="T694" s="199"/>
    </row>
    <row r="695" ht="15.75" customHeight="1">
      <c r="E695" s="61"/>
      <c r="H695" s="61"/>
      <c r="I695" s="61"/>
      <c r="S695" s="199"/>
      <c r="T695" s="199"/>
    </row>
    <row r="696" ht="15.75" customHeight="1">
      <c r="E696" s="61"/>
      <c r="H696" s="61"/>
      <c r="I696" s="61"/>
      <c r="S696" s="199"/>
      <c r="T696" s="199"/>
    </row>
    <row r="697" ht="15.75" customHeight="1">
      <c r="E697" s="61"/>
      <c r="H697" s="61"/>
      <c r="I697" s="61"/>
      <c r="S697" s="199"/>
      <c r="T697" s="199"/>
    </row>
    <row r="698" ht="15.75" customHeight="1">
      <c r="E698" s="61"/>
      <c r="H698" s="61"/>
      <c r="I698" s="61"/>
      <c r="S698" s="199"/>
      <c r="T698" s="199"/>
    </row>
    <row r="699" ht="15.75" customHeight="1">
      <c r="E699" s="61"/>
      <c r="H699" s="61"/>
      <c r="I699" s="61"/>
      <c r="S699" s="199"/>
      <c r="T699" s="199"/>
    </row>
    <row r="700" ht="15.75" customHeight="1">
      <c r="E700" s="61"/>
      <c r="H700" s="61"/>
      <c r="I700" s="61"/>
      <c r="S700" s="199"/>
      <c r="T700" s="199"/>
    </row>
    <row r="701" ht="15.75" customHeight="1">
      <c r="E701" s="61"/>
      <c r="H701" s="61"/>
      <c r="I701" s="61"/>
      <c r="S701" s="199"/>
      <c r="T701" s="199"/>
    </row>
    <row r="702" ht="15.75" customHeight="1">
      <c r="E702" s="61"/>
      <c r="H702" s="61"/>
      <c r="I702" s="61"/>
      <c r="S702" s="199"/>
      <c r="T702" s="199"/>
    </row>
    <row r="703" ht="15.75" customHeight="1">
      <c r="E703" s="61"/>
      <c r="H703" s="61"/>
      <c r="I703" s="61"/>
      <c r="S703" s="199"/>
      <c r="T703" s="199"/>
    </row>
    <row r="704" ht="15.75" customHeight="1">
      <c r="E704" s="61"/>
      <c r="H704" s="61"/>
      <c r="I704" s="61"/>
      <c r="S704" s="199"/>
      <c r="T704" s="199"/>
    </row>
    <row r="705" ht="15.75" customHeight="1">
      <c r="E705" s="61"/>
      <c r="H705" s="61"/>
      <c r="I705" s="61"/>
      <c r="S705" s="199"/>
      <c r="T705" s="199"/>
    </row>
    <row r="706" ht="15.75" customHeight="1">
      <c r="E706" s="61"/>
      <c r="H706" s="61"/>
      <c r="I706" s="61"/>
      <c r="S706" s="199"/>
      <c r="T706" s="199"/>
    </row>
    <row r="707" ht="15.75" customHeight="1">
      <c r="E707" s="61"/>
      <c r="H707" s="61"/>
      <c r="I707" s="61"/>
      <c r="S707" s="199"/>
      <c r="T707" s="199"/>
    </row>
    <row r="708" ht="15.75" customHeight="1">
      <c r="E708" s="61"/>
      <c r="H708" s="61"/>
      <c r="I708" s="61"/>
      <c r="S708" s="199"/>
      <c r="T708" s="199"/>
    </row>
    <row r="709" ht="15.75" customHeight="1">
      <c r="E709" s="61"/>
      <c r="H709" s="61"/>
      <c r="I709" s="61"/>
      <c r="S709" s="199"/>
      <c r="T709" s="199"/>
    </row>
    <row r="710" ht="15.75" customHeight="1">
      <c r="E710" s="61"/>
      <c r="H710" s="61"/>
      <c r="I710" s="61"/>
      <c r="S710" s="199"/>
      <c r="T710" s="199"/>
    </row>
    <row r="711" ht="15.75" customHeight="1">
      <c r="E711" s="61"/>
      <c r="H711" s="61"/>
      <c r="I711" s="61"/>
      <c r="S711" s="199"/>
      <c r="T711" s="199"/>
    </row>
    <row r="712" ht="15.75" customHeight="1">
      <c r="E712" s="61"/>
      <c r="H712" s="61"/>
      <c r="I712" s="61"/>
      <c r="S712" s="199"/>
      <c r="T712" s="199"/>
    </row>
    <row r="713" ht="15.75" customHeight="1">
      <c r="E713" s="61"/>
      <c r="H713" s="61"/>
      <c r="I713" s="61"/>
      <c r="S713" s="199"/>
      <c r="T713" s="199"/>
    </row>
    <row r="714" ht="15.75" customHeight="1">
      <c r="E714" s="61"/>
      <c r="H714" s="61"/>
      <c r="I714" s="61"/>
      <c r="S714" s="199"/>
      <c r="T714" s="199"/>
    </row>
    <row r="715" ht="15.75" customHeight="1">
      <c r="E715" s="61"/>
      <c r="H715" s="61"/>
      <c r="I715" s="61"/>
      <c r="S715" s="199"/>
      <c r="T715" s="199"/>
    </row>
    <row r="716" ht="15.75" customHeight="1">
      <c r="E716" s="61"/>
      <c r="H716" s="61"/>
      <c r="I716" s="61"/>
      <c r="S716" s="199"/>
      <c r="T716" s="199"/>
    </row>
    <row r="717" ht="15.75" customHeight="1">
      <c r="E717" s="61"/>
      <c r="H717" s="61"/>
      <c r="I717" s="61"/>
      <c r="S717" s="199"/>
      <c r="T717" s="199"/>
    </row>
    <row r="718" ht="15.75" customHeight="1">
      <c r="E718" s="61"/>
      <c r="H718" s="61"/>
      <c r="I718" s="61"/>
      <c r="S718" s="199"/>
      <c r="T718" s="199"/>
    </row>
    <row r="719" ht="15.75" customHeight="1">
      <c r="E719" s="61"/>
      <c r="H719" s="61"/>
      <c r="I719" s="61"/>
      <c r="S719" s="199"/>
      <c r="T719" s="199"/>
    </row>
    <row r="720" ht="15.75" customHeight="1">
      <c r="E720" s="61"/>
      <c r="H720" s="61"/>
      <c r="I720" s="61"/>
      <c r="S720" s="199"/>
      <c r="T720" s="199"/>
    </row>
    <row r="721" ht="15.75" customHeight="1">
      <c r="E721" s="61"/>
      <c r="H721" s="61"/>
      <c r="I721" s="61"/>
      <c r="S721" s="199"/>
      <c r="T721" s="199"/>
    </row>
    <row r="722" ht="15.75" customHeight="1">
      <c r="E722" s="61"/>
      <c r="H722" s="61"/>
      <c r="I722" s="61"/>
      <c r="S722" s="199"/>
      <c r="T722" s="199"/>
    </row>
    <row r="723" ht="15.75" customHeight="1">
      <c r="E723" s="61"/>
      <c r="H723" s="61"/>
      <c r="I723" s="61"/>
      <c r="S723" s="199"/>
      <c r="T723" s="199"/>
    </row>
    <row r="724" ht="15.75" customHeight="1">
      <c r="E724" s="61"/>
      <c r="H724" s="61"/>
      <c r="I724" s="61"/>
      <c r="S724" s="199"/>
      <c r="T724" s="199"/>
    </row>
    <row r="725" ht="15.75" customHeight="1">
      <c r="E725" s="61"/>
      <c r="H725" s="61"/>
      <c r="I725" s="61"/>
      <c r="S725" s="199"/>
      <c r="T725" s="199"/>
    </row>
    <row r="726" ht="15.75" customHeight="1">
      <c r="E726" s="61"/>
      <c r="H726" s="61"/>
      <c r="I726" s="61"/>
      <c r="S726" s="199"/>
      <c r="T726" s="199"/>
    </row>
    <row r="727" ht="15.75" customHeight="1">
      <c r="E727" s="61"/>
      <c r="H727" s="61"/>
      <c r="I727" s="61"/>
      <c r="S727" s="199"/>
      <c r="T727" s="199"/>
    </row>
    <row r="728" ht="15.75" customHeight="1">
      <c r="E728" s="61"/>
      <c r="H728" s="61"/>
      <c r="I728" s="61"/>
      <c r="S728" s="199"/>
      <c r="T728" s="199"/>
    </row>
    <row r="729" ht="15.75" customHeight="1">
      <c r="E729" s="61"/>
      <c r="H729" s="61"/>
      <c r="I729" s="61"/>
      <c r="S729" s="199"/>
      <c r="T729" s="199"/>
    </row>
    <row r="730" ht="15.75" customHeight="1">
      <c r="E730" s="61"/>
      <c r="H730" s="61"/>
      <c r="I730" s="61"/>
      <c r="S730" s="199"/>
      <c r="T730" s="199"/>
    </row>
    <row r="731" ht="15.75" customHeight="1">
      <c r="E731" s="61"/>
      <c r="H731" s="61"/>
      <c r="I731" s="61"/>
      <c r="S731" s="199"/>
      <c r="T731" s="199"/>
    </row>
    <row r="732" ht="15.75" customHeight="1">
      <c r="E732" s="61"/>
      <c r="H732" s="61"/>
      <c r="I732" s="61"/>
      <c r="S732" s="199"/>
      <c r="T732" s="199"/>
    </row>
    <row r="733" ht="15.75" customHeight="1">
      <c r="E733" s="61"/>
      <c r="H733" s="61"/>
      <c r="I733" s="61"/>
      <c r="S733" s="199"/>
      <c r="T733" s="199"/>
    </row>
    <row r="734" ht="15.75" customHeight="1">
      <c r="E734" s="61"/>
      <c r="H734" s="61"/>
      <c r="I734" s="61"/>
      <c r="S734" s="199"/>
      <c r="T734" s="199"/>
    </row>
    <row r="735" ht="15.75" customHeight="1">
      <c r="E735" s="61"/>
      <c r="H735" s="61"/>
      <c r="I735" s="61"/>
      <c r="S735" s="199"/>
      <c r="T735" s="199"/>
    </row>
    <row r="736" ht="15.75" customHeight="1">
      <c r="E736" s="61"/>
      <c r="H736" s="61"/>
      <c r="I736" s="61"/>
      <c r="S736" s="199"/>
      <c r="T736" s="199"/>
    </row>
    <row r="737" ht="15.75" customHeight="1">
      <c r="E737" s="61"/>
      <c r="H737" s="61"/>
      <c r="I737" s="61"/>
      <c r="S737" s="199"/>
      <c r="T737" s="199"/>
    </row>
    <row r="738" ht="15.75" customHeight="1">
      <c r="E738" s="61"/>
      <c r="H738" s="61"/>
      <c r="I738" s="61"/>
      <c r="S738" s="199"/>
      <c r="T738" s="199"/>
    </row>
    <row r="739" ht="15.75" customHeight="1">
      <c r="E739" s="61"/>
      <c r="H739" s="61"/>
      <c r="I739" s="61"/>
      <c r="S739" s="199"/>
      <c r="T739" s="199"/>
    </row>
    <row r="740" ht="15.75" customHeight="1">
      <c r="E740" s="61"/>
      <c r="H740" s="61"/>
      <c r="I740" s="61"/>
      <c r="S740" s="199"/>
      <c r="T740" s="199"/>
    </row>
    <row r="741" ht="15.75" customHeight="1">
      <c r="E741" s="61"/>
      <c r="H741" s="61"/>
      <c r="I741" s="61"/>
      <c r="S741" s="199"/>
      <c r="T741" s="199"/>
    </row>
    <row r="742" ht="15.75" customHeight="1">
      <c r="E742" s="61"/>
      <c r="H742" s="61"/>
      <c r="I742" s="61"/>
      <c r="S742" s="199"/>
      <c r="T742" s="199"/>
    </row>
    <row r="743" ht="15.75" customHeight="1">
      <c r="E743" s="61"/>
      <c r="H743" s="61"/>
      <c r="I743" s="61"/>
      <c r="S743" s="199"/>
      <c r="T743" s="199"/>
    </row>
    <row r="744" ht="15.75" customHeight="1">
      <c r="E744" s="61"/>
      <c r="H744" s="61"/>
      <c r="I744" s="61"/>
      <c r="S744" s="199"/>
      <c r="T744" s="199"/>
    </row>
    <row r="745" ht="15.75" customHeight="1">
      <c r="E745" s="61"/>
      <c r="H745" s="61"/>
      <c r="I745" s="61"/>
      <c r="S745" s="199"/>
      <c r="T745" s="199"/>
    </row>
    <row r="746" ht="15.75" customHeight="1">
      <c r="E746" s="61"/>
      <c r="H746" s="61"/>
      <c r="I746" s="61"/>
      <c r="S746" s="199"/>
      <c r="T746" s="199"/>
    </row>
    <row r="747" ht="15.75" customHeight="1">
      <c r="E747" s="61"/>
      <c r="H747" s="61"/>
      <c r="I747" s="61"/>
      <c r="S747" s="199"/>
      <c r="T747" s="199"/>
    </row>
    <row r="748" ht="15.75" customHeight="1">
      <c r="E748" s="61"/>
      <c r="H748" s="61"/>
      <c r="I748" s="61"/>
      <c r="S748" s="199"/>
      <c r="T748" s="199"/>
    </row>
    <row r="749" ht="15.75" customHeight="1">
      <c r="E749" s="61"/>
      <c r="H749" s="61"/>
      <c r="I749" s="61"/>
      <c r="S749" s="199"/>
      <c r="T749" s="199"/>
    </row>
    <row r="750" ht="15.75" customHeight="1">
      <c r="E750" s="61"/>
      <c r="H750" s="61"/>
      <c r="I750" s="61"/>
      <c r="S750" s="199"/>
      <c r="T750" s="199"/>
    </row>
    <row r="751" ht="15.75" customHeight="1">
      <c r="E751" s="61"/>
      <c r="H751" s="61"/>
      <c r="I751" s="61"/>
      <c r="S751" s="199"/>
      <c r="T751" s="199"/>
    </row>
    <row r="752" ht="15.75" customHeight="1">
      <c r="E752" s="61"/>
      <c r="H752" s="61"/>
      <c r="I752" s="61"/>
      <c r="S752" s="199"/>
      <c r="T752" s="199"/>
    </row>
    <row r="753" ht="15.75" customHeight="1">
      <c r="E753" s="61"/>
      <c r="H753" s="61"/>
      <c r="I753" s="61"/>
      <c r="S753" s="199"/>
      <c r="T753" s="199"/>
    </row>
    <row r="754" ht="15.75" customHeight="1">
      <c r="E754" s="61"/>
      <c r="H754" s="61"/>
      <c r="I754" s="61"/>
      <c r="S754" s="199"/>
      <c r="T754" s="199"/>
    </row>
    <row r="755" ht="15.75" customHeight="1">
      <c r="E755" s="61"/>
      <c r="H755" s="61"/>
      <c r="I755" s="61"/>
      <c r="S755" s="199"/>
      <c r="T755" s="199"/>
    </row>
    <row r="756" ht="15.75" customHeight="1">
      <c r="E756" s="61"/>
      <c r="H756" s="61"/>
      <c r="I756" s="61"/>
      <c r="S756" s="199"/>
      <c r="T756" s="199"/>
    </row>
    <row r="757" ht="15.75" customHeight="1">
      <c r="E757" s="61"/>
      <c r="H757" s="61"/>
      <c r="I757" s="61"/>
      <c r="S757" s="199"/>
      <c r="T757" s="199"/>
    </row>
    <row r="758" ht="15.75" customHeight="1">
      <c r="E758" s="61"/>
      <c r="H758" s="61"/>
      <c r="I758" s="61"/>
      <c r="S758" s="199"/>
      <c r="T758" s="199"/>
    </row>
    <row r="759" ht="15.75" customHeight="1">
      <c r="E759" s="61"/>
      <c r="H759" s="61"/>
      <c r="I759" s="61"/>
      <c r="S759" s="199"/>
      <c r="T759" s="199"/>
    </row>
    <row r="760" ht="15.75" customHeight="1">
      <c r="E760" s="61"/>
      <c r="H760" s="61"/>
      <c r="I760" s="61"/>
      <c r="S760" s="199"/>
      <c r="T760" s="199"/>
    </row>
    <row r="761" ht="15.75" customHeight="1">
      <c r="E761" s="61"/>
      <c r="H761" s="61"/>
      <c r="I761" s="61"/>
      <c r="S761" s="199"/>
      <c r="T761" s="199"/>
    </row>
    <row r="762" ht="15.75" customHeight="1">
      <c r="E762" s="61"/>
      <c r="H762" s="61"/>
      <c r="I762" s="61"/>
      <c r="S762" s="199"/>
      <c r="T762" s="199"/>
    </row>
    <row r="763" ht="15.75" customHeight="1">
      <c r="E763" s="61"/>
      <c r="H763" s="61"/>
      <c r="I763" s="61"/>
      <c r="S763" s="199"/>
      <c r="T763" s="199"/>
    </row>
    <row r="764" ht="15.75" customHeight="1">
      <c r="E764" s="61"/>
      <c r="H764" s="61"/>
      <c r="I764" s="61"/>
      <c r="S764" s="199"/>
      <c r="T764" s="199"/>
    </row>
    <row r="765" ht="15.75" customHeight="1">
      <c r="E765" s="61"/>
      <c r="H765" s="61"/>
      <c r="I765" s="61"/>
      <c r="S765" s="199"/>
      <c r="T765" s="199"/>
    </row>
    <row r="766" ht="15.75" customHeight="1">
      <c r="E766" s="61"/>
      <c r="H766" s="61"/>
      <c r="I766" s="61"/>
      <c r="S766" s="199"/>
      <c r="T766" s="199"/>
    </row>
    <row r="767" ht="15.75" customHeight="1">
      <c r="E767" s="61"/>
      <c r="H767" s="61"/>
      <c r="I767" s="61"/>
      <c r="S767" s="199"/>
      <c r="T767" s="199"/>
    </row>
    <row r="768" ht="15.75" customHeight="1">
      <c r="E768" s="61"/>
      <c r="H768" s="61"/>
      <c r="I768" s="61"/>
      <c r="S768" s="199"/>
      <c r="T768" s="199"/>
    </row>
    <row r="769" ht="15.75" customHeight="1">
      <c r="E769" s="61"/>
      <c r="H769" s="61"/>
      <c r="I769" s="61"/>
      <c r="S769" s="199"/>
      <c r="T769" s="199"/>
    </row>
    <row r="770" ht="15.75" customHeight="1">
      <c r="E770" s="61"/>
      <c r="H770" s="61"/>
      <c r="I770" s="61"/>
      <c r="S770" s="199"/>
      <c r="T770" s="199"/>
    </row>
    <row r="771" ht="15.75" customHeight="1">
      <c r="E771" s="61"/>
      <c r="H771" s="61"/>
      <c r="I771" s="61"/>
      <c r="S771" s="199"/>
      <c r="T771" s="199"/>
    </row>
    <row r="772" ht="15.75" customHeight="1">
      <c r="E772" s="61"/>
      <c r="H772" s="61"/>
      <c r="I772" s="61"/>
      <c r="S772" s="199"/>
      <c r="T772" s="199"/>
    </row>
    <row r="773" ht="15.75" customHeight="1">
      <c r="E773" s="61"/>
      <c r="H773" s="61"/>
      <c r="I773" s="61"/>
      <c r="S773" s="199"/>
      <c r="T773" s="199"/>
    </row>
    <row r="774" ht="15.75" customHeight="1">
      <c r="E774" s="61"/>
      <c r="H774" s="61"/>
      <c r="I774" s="61"/>
      <c r="S774" s="199"/>
      <c r="T774" s="199"/>
    </row>
    <row r="775" ht="15.75" customHeight="1">
      <c r="E775" s="61"/>
      <c r="H775" s="61"/>
      <c r="I775" s="61"/>
      <c r="S775" s="199"/>
      <c r="T775" s="199"/>
    </row>
    <row r="776" ht="15.75" customHeight="1">
      <c r="E776" s="61"/>
      <c r="H776" s="61"/>
      <c r="I776" s="61"/>
      <c r="S776" s="199"/>
      <c r="T776" s="199"/>
    </row>
    <row r="777" ht="15.75" customHeight="1">
      <c r="E777" s="61"/>
      <c r="H777" s="61"/>
      <c r="I777" s="61"/>
      <c r="S777" s="199"/>
      <c r="T777" s="199"/>
    </row>
    <row r="778" ht="15.75" customHeight="1">
      <c r="E778" s="61"/>
      <c r="H778" s="61"/>
      <c r="I778" s="61"/>
      <c r="S778" s="199"/>
      <c r="T778" s="199"/>
    </row>
    <row r="779" ht="15.75" customHeight="1">
      <c r="E779" s="61"/>
      <c r="H779" s="61"/>
      <c r="I779" s="61"/>
      <c r="S779" s="199"/>
      <c r="T779" s="199"/>
    </row>
    <row r="780" ht="15.75" customHeight="1">
      <c r="E780" s="61"/>
      <c r="H780" s="61"/>
      <c r="I780" s="61"/>
      <c r="S780" s="199"/>
      <c r="T780" s="199"/>
    </row>
    <row r="781" ht="15.75" customHeight="1">
      <c r="E781" s="61"/>
      <c r="H781" s="61"/>
      <c r="I781" s="61"/>
      <c r="S781" s="199"/>
      <c r="T781" s="199"/>
    </row>
    <row r="782" ht="15.75" customHeight="1">
      <c r="E782" s="61"/>
      <c r="H782" s="61"/>
      <c r="I782" s="61"/>
      <c r="S782" s="199"/>
      <c r="T782" s="199"/>
    </row>
    <row r="783" ht="15.75" customHeight="1">
      <c r="E783" s="61"/>
      <c r="H783" s="61"/>
      <c r="I783" s="61"/>
      <c r="S783" s="199"/>
      <c r="T783" s="199"/>
    </row>
    <row r="784" ht="15.75" customHeight="1">
      <c r="E784" s="61"/>
      <c r="H784" s="61"/>
      <c r="I784" s="61"/>
      <c r="S784" s="199"/>
      <c r="T784" s="199"/>
    </row>
    <row r="785" ht="15.75" customHeight="1">
      <c r="E785" s="61"/>
      <c r="H785" s="61"/>
      <c r="I785" s="61"/>
      <c r="S785" s="199"/>
      <c r="T785" s="199"/>
    </row>
    <row r="786" ht="15.75" customHeight="1">
      <c r="E786" s="61"/>
      <c r="H786" s="61"/>
      <c r="I786" s="61"/>
      <c r="S786" s="199"/>
      <c r="T786" s="199"/>
    </row>
    <row r="787" ht="15.75" customHeight="1">
      <c r="E787" s="61"/>
      <c r="H787" s="61"/>
      <c r="I787" s="61"/>
      <c r="S787" s="199"/>
      <c r="T787" s="199"/>
    </row>
    <row r="788" ht="15.75" customHeight="1">
      <c r="E788" s="61"/>
      <c r="H788" s="61"/>
      <c r="I788" s="61"/>
      <c r="S788" s="199"/>
      <c r="T788" s="199"/>
    </row>
    <row r="789" ht="15.75" customHeight="1">
      <c r="E789" s="61"/>
      <c r="H789" s="61"/>
      <c r="I789" s="61"/>
      <c r="S789" s="199"/>
      <c r="T789" s="199"/>
    </row>
    <row r="790" ht="15.75" customHeight="1">
      <c r="E790" s="61"/>
      <c r="H790" s="61"/>
      <c r="I790" s="61"/>
      <c r="S790" s="199"/>
      <c r="T790" s="199"/>
    </row>
    <row r="791" ht="15.75" customHeight="1">
      <c r="E791" s="61"/>
      <c r="H791" s="61"/>
      <c r="I791" s="61"/>
      <c r="S791" s="199"/>
      <c r="T791" s="199"/>
    </row>
    <row r="792" ht="15.75" customHeight="1">
      <c r="E792" s="61"/>
      <c r="H792" s="61"/>
      <c r="I792" s="61"/>
      <c r="S792" s="199"/>
      <c r="T792" s="199"/>
    </row>
    <row r="793" ht="15.75" customHeight="1">
      <c r="E793" s="61"/>
      <c r="H793" s="61"/>
      <c r="I793" s="61"/>
      <c r="S793" s="199"/>
      <c r="T793" s="199"/>
    </row>
    <row r="794" ht="15.75" customHeight="1">
      <c r="E794" s="61"/>
      <c r="H794" s="61"/>
      <c r="I794" s="61"/>
      <c r="S794" s="199"/>
      <c r="T794" s="199"/>
    </row>
    <row r="795" ht="15.75" customHeight="1">
      <c r="E795" s="61"/>
      <c r="H795" s="61"/>
      <c r="I795" s="61"/>
      <c r="S795" s="199"/>
      <c r="T795" s="199"/>
    </row>
    <row r="796" ht="15.75" customHeight="1">
      <c r="E796" s="61"/>
      <c r="H796" s="61"/>
      <c r="I796" s="61"/>
      <c r="S796" s="199"/>
      <c r="T796" s="199"/>
    </row>
    <row r="797" ht="15.75" customHeight="1">
      <c r="E797" s="61"/>
      <c r="H797" s="61"/>
      <c r="I797" s="61"/>
      <c r="S797" s="199"/>
      <c r="T797" s="199"/>
    </row>
    <row r="798" ht="15.75" customHeight="1">
      <c r="E798" s="61"/>
      <c r="H798" s="61"/>
      <c r="I798" s="61"/>
      <c r="S798" s="199"/>
      <c r="T798" s="199"/>
    </row>
    <row r="799" ht="15.75" customHeight="1">
      <c r="E799" s="61"/>
      <c r="H799" s="61"/>
      <c r="I799" s="61"/>
      <c r="S799" s="199"/>
      <c r="T799" s="199"/>
    </row>
    <row r="800" ht="15.75" customHeight="1">
      <c r="E800" s="61"/>
      <c r="H800" s="61"/>
      <c r="I800" s="61"/>
      <c r="S800" s="199"/>
      <c r="T800" s="199"/>
    </row>
    <row r="801" ht="15.75" customHeight="1">
      <c r="E801" s="61"/>
      <c r="H801" s="61"/>
      <c r="I801" s="61"/>
      <c r="S801" s="199"/>
      <c r="T801" s="199"/>
    </row>
    <row r="802" ht="15.75" customHeight="1">
      <c r="E802" s="61"/>
      <c r="H802" s="61"/>
      <c r="I802" s="61"/>
      <c r="S802" s="199"/>
      <c r="T802" s="199"/>
    </row>
    <row r="803" ht="15.75" customHeight="1">
      <c r="E803" s="61"/>
      <c r="H803" s="61"/>
      <c r="I803" s="61"/>
      <c r="S803" s="199"/>
      <c r="T803" s="199"/>
    </row>
    <row r="804" ht="15.75" customHeight="1">
      <c r="E804" s="61"/>
      <c r="H804" s="61"/>
      <c r="I804" s="61"/>
      <c r="S804" s="199"/>
      <c r="T804" s="199"/>
    </row>
    <row r="805" ht="15.75" customHeight="1">
      <c r="E805" s="61"/>
      <c r="H805" s="61"/>
      <c r="I805" s="61"/>
      <c r="S805" s="199"/>
      <c r="T805" s="199"/>
    </row>
    <row r="806" ht="15.75" customHeight="1">
      <c r="E806" s="61"/>
      <c r="H806" s="61"/>
      <c r="I806" s="61"/>
      <c r="S806" s="199"/>
      <c r="T806" s="199"/>
    </row>
    <row r="807" ht="15.75" customHeight="1">
      <c r="E807" s="61"/>
      <c r="H807" s="61"/>
      <c r="I807" s="61"/>
      <c r="S807" s="199"/>
      <c r="T807" s="199"/>
    </row>
    <row r="808" ht="15.75" customHeight="1">
      <c r="E808" s="61"/>
      <c r="H808" s="61"/>
      <c r="I808" s="61"/>
      <c r="S808" s="199"/>
      <c r="T808" s="199"/>
    </row>
    <row r="809" ht="15.75" customHeight="1">
      <c r="E809" s="61"/>
      <c r="H809" s="61"/>
      <c r="I809" s="61"/>
      <c r="S809" s="199"/>
      <c r="T809" s="199"/>
    </row>
    <row r="810" ht="15.75" customHeight="1">
      <c r="E810" s="61"/>
      <c r="H810" s="61"/>
      <c r="I810" s="61"/>
      <c r="S810" s="199"/>
      <c r="T810" s="199"/>
    </row>
    <row r="811" ht="15.75" customHeight="1">
      <c r="E811" s="61"/>
      <c r="H811" s="61"/>
      <c r="I811" s="61"/>
      <c r="S811" s="199"/>
      <c r="T811" s="199"/>
    </row>
    <row r="812" ht="15.75" customHeight="1">
      <c r="E812" s="61"/>
      <c r="H812" s="61"/>
      <c r="I812" s="61"/>
      <c r="S812" s="199"/>
      <c r="T812" s="199"/>
    </row>
    <row r="813" ht="15.75" customHeight="1">
      <c r="E813" s="61"/>
      <c r="H813" s="61"/>
      <c r="I813" s="61"/>
      <c r="S813" s="199"/>
      <c r="T813" s="199"/>
    </row>
    <row r="814" ht="15.75" customHeight="1">
      <c r="E814" s="61"/>
      <c r="H814" s="61"/>
      <c r="I814" s="61"/>
      <c r="S814" s="199"/>
      <c r="T814" s="199"/>
    </row>
    <row r="815" ht="15.75" customHeight="1">
      <c r="E815" s="61"/>
      <c r="H815" s="61"/>
      <c r="I815" s="61"/>
      <c r="S815" s="199"/>
      <c r="T815" s="199"/>
    </row>
    <row r="816" ht="15.75" customHeight="1">
      <c r="E816" s="61"/>
      <c r="H816" s="61"/>
      <c r="I816" s="61"/>
      <c r="S816" s="199"/>
      <c r="T816" s="199"/>
    </row>
    <row r="817" ht="15.75" customHeight="1">
      <c r="E817" s="61"/>
      <c r="H817" s="61"/>
      <c r="I817" s="61"/>
      <c r="S817" s="199"/>
      <c r="T817" s="199"/>
    </row>
    <row r="818" ht="15.75" customHeight="1">
      <c r="E818" s="61"/>
      <c r="H818" s="61"/>
      <c r="I818" s="61"/>
      <c r="S818" s="199"/>
      <c r="T818" s="199"/>
    </row>
    <row r="819" ht="15.75" customHeight="1">
      <c r="E819" s="61"/>
      <c r="H819" s="61"/>
      <c r="I819" s="61"/>
      <c r="S819" s="199"/>
      <c r="T819" s="199"/>
    </row>
    <row r="820" ht="15.75" customHeight="1">
      <c r="E820" s="61"/>
      <c r="H820" s="61"/>
      <c r="I820" s="61"/>
      <c r="S820" s="199"/>
      <c r="T820" s="199"/>
    </row>
    <row r="821" ht="15.75" customHeight="1">
      <c r="E821" s="61"/>
      <c r="H821" s="61"/>
      <c r="I821" s="61"/>
      <c r="S821" s="199"/>
      <c r="T821" s="199"/>
    </row>
    <row r="822" ht="15.75" customHeight="1">
      <c r="E822" s="61"/>
      <c r="H822" s="61"/>
      <c r="I822" s="61"/>
      <c r="S822" s="199"/>
      <c r="T822" s="199"/>
    </row>
    <row r="823" ht="15.75" customHeight="1">
      <c r="E823" s="61"/>
      <c r="H823" s="61"/>
      <c r="I823" s="61"/>
      <c r="S823" s="199"/>
      <c r="T823" s="199"/>
    </row>
    <row r="824" ht="15.75" customHeight="1">
      <c r="E824" s="61"/>
      <c r="H824" s="61"/>
      <c r="I824" s="61"/>
      <c r="S824" s="199"/>
      <c r="T824" s="199"/>
    </row>
    <row r="825" ht="15.75" customHeight="1">
      <c r="E825" s="61"/>
      <c r="H825" s="61"/>
      <c r="I825" s="61"/>
      <c r="S825" s="199"/>
      <c r="T825" s="199"/>
    </row>
    <row r="826" ht="15.75" customHeight="1">
      <c r="E826" s="61"/>
      <c r="H826" s="61"/>
      <c r="I826" s="61"/>
      <c r="S826" s="199"/>
      <c r="T826" s="199"/>
    </row>
    <row r="827" ht="15.75" customHeight="1">
      <c r="E827" s="61"/>
      <c r="H827" s="61"/>
      <c r="I827" s="61"/>
      <c r="S827" s="199"/>
      <c r="T827" s="199"/>
    </row>
    <row r="828" ht="15.75" customHeight="1">
      <c r="E828" s="61"/>
      <c r="H828" s="61"/>
      <c r="I828" s="61"/>
      <c r="S828" s="199"/>
      <c r="T828" s="199"/>
    </row>
    <row r="829" ht="15.75" customHeight="1">
      <c r="E829" s="61"/>
      <c r="H829" s="61"/>
      <c r="I829" s="61"/>
      <c r="S829" s="199"/>
      <c r="T829" s="199"/>
    </row>
    <row r="830" ht="15.75" customHeight="1">
      <c r="E830" s="61"/>
      <c r="H830" s="61"/>
      <c r="I830" s="61"/>
      <c r="S830" s="199"/>
      <c r="T830" s="199"/>
    </row>
    <row r="831" ht="15.75" customHeight="1">
      <c r="E831" s="61"/>
      <c r="H831" s="61"/>
      <c r="I831" s="61"/>
      <c r="S831" s="199"/>
      <c r="T831" s="199"/>
    </row>
    <row r="832" ht="15.75" customHeight="1">
      <c r="E832" s="61"/>
      <c r="H832" s="61"/>
      <c r="I832" s="61"/>
      <c r="S832" s="199"/>
      <c r="T832" s="199"/>
    </row>
    <row r="833" ht="15.75" customHeight="1">
      <c r="E833" s="61"/>
      <c r="H833" s="61"/>
      <c r="I833" s="61"/>
      <c r="S833" s="199"/>
      <c r="T833" s="199"/>
    </row>
    <row r="834" ht="15.75" customHeight="1">
      <c r="E834" s="61"/>
      <c r="H834" s="61"/>
      <c r="I834" s="61"/>
      <c r="S834" s="199"/>
      <c r="T834" s="199"/>
    </row>
    <row r="835" ht="15.75" customHeight="1">
      <c r="E835" s="61"/>
      <c r="H835" s="61"/>
      <c r="I835" s="61"/>
      <c r="S835" s="199"/>
      <c r="T835" s="199"/>
    </row>
    <row r="836" ht="15.75" customHeight="1">
      <c r="E836" s="61"/>
      <c r="H836" s="61"/>
      <c r="I836" s="61"/>
      <c r="S836" s="199"/>
      <c r="T836" s="199"/>
    </row>
    <row r="837" ht="15.75" customHeight="1">
      <c r="E837" s="61"/>
      <c r="H837" s="61"/>
      <c r="I837" s="61"/>
      <c r="S837" s="199"/>
      <c r="T837" s="199"/>
    </row>
    <row r="838" ht="15.75" customHeight="1">
      <c r="E838" s="61"/>
      <c r="H838" s="61"/>
      <c r="I838" s="61"/>
      <c r="S838" s="199"/>
      <c r="T838" s="199"/>
    </row>
    <row r="839" ht="15.75" customHeight="1">
      <c r="E839" s="61"/>
      <c r="H839" s="61"/>
      <c r="I839" s="61"/>
      <c r="S839" s="199"/>
      <c r="T839" s="199"/>
    </row>
    <row r="840" ht="15.75" customHeight="1">
      <c r="E840" s="61"/>
      <c r="H840" s="61"/>
      <c r="I840" s="61"/>
      <c r="S840" s="199"/>
      <c r="T840" s="199"/>
    </row>
    <row r="841" ht="15.75" customHeight="1">
      <c r="E841" s="61"/>
      <c r="H841" s="61"/>
      <c r="I841" s="61"/>
      <c r="S841" s="199"/>
      <c r="T841" s="199"/>
    </row>
    <row r="842" ht="15.75" customHeight="1">
      <c r="E842" s="61"/>
      <c r="H842" s="61"/>
      <c r="I842" s="61"/>
      <c r="S842" s="199"/>
      <c r="T842" s="199"/>
    </row>
    <row r="843" ht="15.75" customHeight="1">
      <c r="E843" s="61"/>
      <c r="H843" s="61"/>
      <c r="I843" s="61"/>
      <c r="S843" s="199"/>
      <c r="T843" s="199"/>
    </row>
    <row r="844" ht="15.75" customHeight="1">
      <c r="E844" s="61"/>
      <c r="H844" s="61"/>
      <c r="I844" s="61"/>
      <c r="S844" s="199"/>
      <c r="T844" s="199"/>
    </row>
    <row r="845" ht="15.75" customHeight="1">
      <c r="E845" s="61"/>
      <c r="H845" s="61"/>
      <c r="I845" s="61"/>
      <c r="S845" s="199"/>
      <c r="T845" s="199"/>
    </row>
    <row r="846" ht="15.75" customHeight="1">
      <c r="E846" s="61"/>
      <c r="H846" s="61"/>
      <c r="I846" s="61"/>
      <c r="S846" s="199"/>
      <c r="T846" s="199"/>
    </row>
    <row r="847" ht="15.75" customHeight="1">
      <c r="E847" s="61"/>
      <c r="H847" s="61"/>
      <c r="I847" s="61"/>
      <c r="S847" s="199"/>
      <c r="T847" s="199"/>
    </row>
    <row r="848" ht="15.75" customHeight="1">
      <c r="E848" s="61"/>
      <c r="H848" s="61"/>
      <c r="I848" s="61"/>
      <c r="S848" s="199"/>
      <c r="T848" s="199"/>
    </row>
    <row r="849" ht="15.75" customHeight="1">
      <c r="E849" s="61"/>
      <c r="H849" s="61"/>
      <c r="I849" s="61"/>
      <c r="S849" s="199"/>
      <c r="T849" s="199"/>
    </row>
    <row r="850" ht="15.75" customHeight="1">
      <c r="E850" s="61"/>
      <c r="H850" s="61"/>
      <c r="I850" s="61"/>
      <c r="S850" s="199"/>
      <c r="T850" s="199"/>
    </row>
    <row r="851" ht="15.75" customHeight="1">
      <c r="E851" s="61"/>
      <c r="H851" s="61"/>
      <c r="I851" s="61"/>
      <c r="S851" s="199"/>
      <c r="T851" s="199"/>
    </row>
    <row r="852" ht="15.75" customHeight="1">
      <c r="E852" s="61"/>
      <c r="H852" s="61"/>
      <c r="I852" s="61"/>
      <c r="S852" s="199"/>
      <c r="T852" s="199"/>
    </row>
    <row r="853" ht="15.75" customHeight="1">
      <c r="E853" s="61"/>
      <c r="H853" s="61"/>
      <c r="I853" s="61"/>
      <c r="S853" s="199"/>
      <c r="T853" s="199"/>
    </row>
    <row r="854" ht="15.75" customHeight="1">
      <c r="E854" s="61"/>
      <c r="H854" s="61"/>
      <c r="I854" s="61"/>
      <c r="S854" s="199"/>
      <c r="T854" s="199"/>
    </row>
    <row r="855" ht="15.75" customHeight="1">
      <c r="E855" s="61"/>
      <c r="H855" s="61"/>
      <c r="I855" s="61"/>
      <c r="S855" s="199"/>
      <c r="T855" s="199"/>
    </row>
    <row r="856" ht="15.75" customHeight="1">
      <c r="E856" s="61"/>
      <c r="H856" s="61"/>
      <c r="I856" s="61"/>
      <c r="S856" s="199"/>
      <c r="T856" s="199"/>
    </row>
    <row r="857" ht="15.75" customHeight="1">
      <c r="E857" s="61"/>
      <c r="H857" s="61"/>
      <c r="I857" s="61"/>
      <c r="S857" s="199"/>
      <c r="T857" s="199"/>
    </row>
    <row r="858" ht="15.75" customHeight="1">
      <c r="E858" s="61"/>
      <c r="H858" s="61"/>
      <c r="I858" s="61"/>
      <c r="S858" s="199"/>
      <c r="T858" s="199"/>
    </row>
    <row r="859" ht="15.75" customHeight="1">
      <c r="E859" s="61"/>
      <c r="H859" s="61"/>
      <c r="I859" s="61"/>
      <c r="S859" s="199"/>
      <c r="T859" s="199"/>
    </row>
    <row r="860" ht="15.75" customHeight="1">
      <c r="E860" s="61"/>
      <c r="H860" s="61"/>
      <c r="I860" s="61"/>
      <c r="S860" s="199"/>
      <c r="T860" s="199"/>
    </row>
    <row r="861" ht="15.75" customHeight="1">
      <c r="E861" s="61"/>
      <c r="H861" s="61"/>
      <c r="I861" s="61"/>
      <c r="S861" s="199"/>
      <c r="T861" s="199"/>
    </row>
    <row r="862" ht="15.75" customHeight="1">
      <c r="E862" s="61"/>
      <c r="H862" s="61"/>
      <c r="I862" s="61"/>
      <c r="S862" s="199"/>
      <c r="T862" s="199"/>
    </row>
    <row r="863" ht="15.75" customHeight="1">
      <c r="E863" s="61"/>
      <c r="H863" s="61"/>
      <c r="I863" s="61"/>
      <c r="S863" s="199"/>
      <c r="T863" s="199"/>
    </row>
    <row r="864" ht="15.75" customHeight="1">
      <c r="E864" s="61"/>
      <c r="H864" s="61"/>
      <c r="I864" s="61"/>
      <c r="S864" s="199"/>
      <c r="T864" s="199"/>
    </row>
    <row r="865" ht="15.75" customHeight="1">
      <c r="E865" s="61"/>
      <c r="H865" s="61"/>
      <c r="I865" s="61"/>
      <c r="S865" s="199"/>
      <c r="T865" s="199"/>
    </row>
    <row r="866" ht="15.75" customHeight="1">
      <c r="E866" s="61"/>
      <c r="H866" s="61"/>
      <c r="I866" s="61"/>
      <c r="S866" s="199"/>
      <c r="T866" s="199"/>
    </row>
    <row r="867" ht="15.75" customHeight="1">
      <c r="E867" s="61"/>
      <c r="H867" s="61"/>
      <c r="I867" s="61"/>
      <c r="S867" s="199"/>
      <c r="T867" s="199"/>
    </row>
    <row r="868" ht="15.75" customHeight="1">
      <c r="E868" s="61"/>
      <c r="H868" s="61"/>
      <c r="I868" s="61"/>
      <c r="S868" s="199"/>
      <c r="T868" s="199"/>
    </row>
    <row r="869" ht="15.75" customHeight="1">
      <c r="E869" s="61"/>
      <c r="H869" s="61"/>
      <c r="I869" s="61"/>
      <c r="S869" s="199"/>
      <c r="T869" s="199"/>
    </row>
    <row r="870" ht="15.75" customHeight="1">
      <c r="E870" s="61"/>
      <c r="H870" s="61"/>
      <c r="I870" s="61"/>
      <c r="S870" s="199"/>
      <c r="T870" s="199"/>
    </row>
    <row r="871" ht="15.75" customHeight="1">
      <c r="E871" s="61"/>
      <c r="H871" s="61"/>
      <c r="I871" s="61"/>
      <c r="S871" s="199"/>
      <c r="T871" s="199"/>
    </row>
    <row r="872" ht="15.75" customHeight="1">
      <c r="E872" s="61"/>
      <c r="H872" s="61"/>
      <c r="I872" s="61"/>
      <c r="S872" s="199"/>
      <c r="T872" s="199"/>
    </row>
    <row r="873" ht="15.75" customHeight="1">
      <c r="E873" s="61"/>
      <c r="H873" s="61"/>
      <c r="I873" s="61"/>
      <c r="S873" s="199"/>
      <c r="T873" s="199"/>
    </row>
    <row r="874" ht="15.75" customHeight="1">
      <c r="E874" s="61"/>
      <c r="H874" s="61"/>
      <c r="I874" s="61"/>
      <c r="S874" s="199"/>
      <c r="T874" s="199"/>
    </row>
    <row r="875" ht="15.75" customHeight="1">
      <c r="E875" s="61"/>
      <c r="H875" s="61"/>
      <c r="I875" s="61"/>
      <c r="S875" s="199"/>
      <c r="T875" s="199"/>
    </row>
    <row r="876" ht="15.75" customHeight="1">
      <c r="E876" s="61"/>
      <c r="H876" s="61"/>
      <c r="I876" s="61"/>
      <c r="S876" s="199"/>
      <c r="T876" s="199"/>
    </row>
    <row r="877" ht="15.75" customHeight="1">
      <c r="E877" s="61"/>
      <c r="H877" s="61"/>
      <c r="I877" s="61"/>
      <c r="S877" s="199"/>
      <c r="T877" s="199"/>
    </row>
    <row r="878" ht="15.75" customHeight="1">
      <c r="E878" s="61"/>
      <c r="H878" s="61"/>
      <c r="I878" s="61"/>
      <c r="S878" s="199"/>
      <c r="T878" s="199"/>
    </row>
    <row r="879" ht="15.75" customHeight="1">
      <c r="E879" s="61"/>
      <c r="H879" s="61"/>
      <c r="I879" s="61"/>
      <c r="S879" s="199"/>
      <c r="T879" s="199"/>
    </row>
    <row r="880" ht="15.75" customHeight="1">
      <c r="E880" s="61"/>
      <c r="H880" s="61"/>
      <c r="I880" s="61"/>
      <c r="S880" s="199"/>
      <c r="T880" s="199"/>
    </row>
    <row r="881" ht="15.75" customHeight="1">
      <c r="E881" s="61"/>
      <c r="H881" s="61"/>
      <c r="I881" s="61"/>
      <c r="S881" s="199"/>
      <c r="T881" s="199"/>
    </row>
    <row r="882" ht="15.75" customHeight="1">
      <c r="E882" s="61"/>
      <c r="H882" s="61"/>
      <c r="I882" s="61"/>
      <c r="S882" s="199"/>
      <c r="T882" s="199"/>
    </row>
    <row r="883" ht="15.75" customHeight="1">
      <c r="E883" s="61"/>
      <c r="H883" s="61"/>
      <c r="I883" s="61"/>
      <c r="S883" s="199"/>
      <c r="T883" s="199"/>
    </row>
    <row r="884" ht="15.75" customHeight="1">
      <c r="E884" s="61"/>
      <c r="H884" s="61"/>
      <c r="I884" s="61"/>
      <c r="S884" s="199"/>
      <c r="T884" s="199"/>
    </row>
    <row r="885" ht="15.75" customHeight="1">
      <c r="E885" s="61"/>
      <c r="H885" s="61"/>
      <c r="I885" s="61"/>
      <c r="S885" s="199"/>
      <c r="T885" s="199"/>
    </row>
    <row r="886" ht="15.75" customHeight="1">
      <c r="E886" s="61"/>
      <c r="H886" s="61"/>
      <c r="I886" s="61"/>
      <c r="S886" s="199"/>
      <c r="T886" s="199"/>
    </row>
    <row r="887" ht="15.75" customHeight="1">
      <c r="E887" s="61"/>
      <c r="H887" s="61"/>
      <c r="I887" s="61"/>
      <c r="S887" s="199"/>
      <c r="T887" s="199"/>
    </row>
    <row r="888" ht="15.75" customHeight="1">
      <c r="E888" s="61"/>
      <c r="H888" s="61"/>
      <c r="I888" s="61"/>
      <c r="S888" s="199"/>
      <c r="T888" s="199"/>
    </row>
    <row r="889" ht="15.75" customHeight="1">
      <c r="E889" s="61"/>
      <c r="H889" s="61"/>
      <c r="I889" s="61"/>
      <c r="S889" s="199"/>
      <c r="T889" s="199"/>
    </row>
    <row r="890" ht="15.75" customHeight="1">
      <c r="E890" s="61"/>
      <c r="H890" s="61"/>
      <c r="I890" s="61"/>
      <c r="S890" s="199"/>
      <c r="T890" s="199"/>
    </row>
    <row r="891" ht="15.75" customHeight="1">
      <c r="E891" s="61"/>
      <c r="H891" s="61"/>
      <c r="I891" s="61"/>
      <c r="S891" s="199"/>
      <c r="T891" s="199"/>
    </row>
    <row r="892" ht="15.75" customHeight="1">
      <c r="E892" s="61"/>
      <c r="H892" s="61"/>
      <c r="I892" s="61"/>
      <c r="S892" s="199"/>
      <c r="T892" s="199"/>
    </row>
    <row r="893" ht="15.75" customHeight="1">
      <c r="E893" s="61"/>
      <c r="H893" s="61"/>
      <c r="I893" s="61"/>
      <c r="S893" s="199"/>
      <c r="T893" s="199"/>
    </row>
    <row r="894" ht="15.75" customHeight="1">
      <c r="E894" s="61"/>
      <c r="H894" s="61"/>
      <c r="I894" s="61"/>
      <c r="S894" s="199"/>
      <c r="T894" s="199"/>
    </row>
    <row r="895" ht="15.75" customHeight="1">
      <c r="E895" s="61"/>
      <c r="H895" s="61"/>
      <c r="I895" s="61"/>
      <c r="S895" s="199"/>
      <c r="T895" s="199"/>
    </row>
    <row r="896" ht="15.75" customHeight="1">
      <c r="E896" s="61"/>
      <c r="H896" s="61"/>
      <c r="I896" s="61"/>
      <c r="S896" s="199"/>
      <c r="T896" s="199"/>
    </row>
    <row r="897" ht="15.75" customHeight="1">
      <c r="E897" s="61"/>
      <c r="H897" s="61"/>
      <c r="I897" s="61"/>
      <c r="S897" s="199"/>
      <c r="T897" s="199"/>
    </row>
    <row r="898" ht="15.75" customHeight="1">
      <c r="E898" s="61"/>
      <c r="H898" s="61"/>
      <c r="I898" s="61"/>
      <c r="S898" s="199"/>
      <c r="T898" s="199"/>
    </row>
    <row r="899" ht="15.75" customHeight="1">
      <c r="E899" s="61"/>
      <c r="H899" s="61"/>
      <c r="I899" s="61"/>
      <c r="S899" s="199"/>
      <c r="T899" s="199"/>
    </row>
    <row r="900" ht="15.75" customHeight="1">
      <c r="E900" s="61"/>
      <c r="H900" s="61"/>
      <c r="I900" s="61"/>
      <c r="S900" s="199"/>
      <c r="T900" s="199"/>
    </row>
    <row r="901" ht="15.75" customHeight="1">
      <c r="E901" s="61"/>
      <c r="H901" s="61"/>
      <c r="I901" s="61"/>
      <c r="S901" s="199"/>
      <c r="T901" s="199"/>
    </row>
    <row r="902" ht="15.75" customHeight="1">
      <c r="E902" s="61"/>
      <c r="H902" s="61"/>
      <c r="I902" s="61"/>
      <c r="S902" s="199"/>
      <c r="T902" s="199"/>
    </row>
    <row r="903" ht="15.75" customHeight="1">
      <c r="E903" s="61"/>
      <c r="H903" s="61"/>
      <c r="I903" s="61"/>
      <c r="S903" s="199"/>
      <c r="T903" s="199"/>
    </row>
    <row r="904" ht="15.75" customHeight="1">
      <c r="E904" s="61"/>
      <c r="H904" s="61"/>
      <c r="I904" s="61"/>
      <c r="S904" s="199"/>
      <c r="T904" s="199"/>
    </row>
    <row r="905" ht="15.75" customHeight="1">
      <c r="E905" s="61"/>
      <c r="H905" s="61"/>
      <c r="I905" s="61"/>
      <c r="S905" s="199"/>
      <c r="T905" s="199"/>
    </row>
    <row r="906" ht="15.75" customHeight="1">
      <c r="E906" s="61"/>
      <c r="H906" s="61"/>
      <c r="I906" s="61"/>
      <c r="S906" s="199"/>
      <c r="T906" s="199"/>
    </row>
    <row r="907" ht="15.75" customHeight="1">
      <c r="E907" s="61"/>
      <c r="H907" s="61"/>
      <c r="I907" s="61"/>
      <c r="S907" s="199"/>
      <c r="T907" s="199"/>
    </row>
    <row r="908" ht="15.75" customHeight="1">
      <c r="E908" s="61"/>
      <c r="H908" s="61"/>
      <c r="I908" s="61"/>
      <c r="S908" s="199"/>
      <c r="T908" s="199"/>
    </row>
    <row r="909" ht="15.75" customHeight="1">
      <c r="E909" s="61"/>
      <c r="H909" s="61"/>
      <c r="I909" s="61"/>
      <c r="S909" s="199"/>
      <c r="T909" s="199"/>
    </row>
    <row r="910" ht="15.75" customHeight="1">
      <c r="E910" s="61"/>
      <c r="H910" s="61"/>
      <c r="I910" s="61"/>
      <c r="S910" s="199"/>
      <c r="T910" s="199"/>
    </row>
    <row r="911" ht="15.75" customHeight="1">
      <c r="E911" s="61"/>
      <c r="H911" s="61"/>
      <c r="I911" s="61"/>
      <c r="S911" s="199"/>
      <c r="T911" s="199"/>
    </row>
    <row r="912" ht="15.75" customHeight="1">
      <c r="E912" s="61"/>
      <c r="H912" s="61"/>
      <c r="I912" s="61"/>
      <c r="S912" s="199"/>
      <c r="T912" s="199"/>
    </row>
    <row r="913" ht="15.75" customHeight="1">
      <c r="E913" s="61"/>
      <c r="H913" s="61"/>
      <c r="I913" s="61"/>
      <c r="S913" s="199"/>
      <c r="T913" s="199"/>
    </row>
    <row r="914" ht="15.75" customHeight="1">
      <c r="E914" s="61"/>
      <c r="H914" s="61"/>
      <c r="I914" s="61"/>
      <c r="S914" s="199"/>
      <c r="T914" s="199"/>
    </row>
    <row r="915" ht="15.75" customHeight="1">
      <c r="E915" s="61"/>
      <c r="H915" s="61"/>
      <c r="I915" s="61"/>
      <c r="S915" s="199"/>
      <c r="T915" s="199"/>
    </row>
    <row r="916" ht="15.75" customHeight="1">
      <c r="E916" s="61"/>
      <c r="H916" s="61"/>
      <c r="I916" s="61"/>
      <c r="S916" s="199"/>
      <c r="T916" s="199"/>
    </row>
    <row r="917" ht="15.75" customHeight="1">
      <c r="E917" s="61"/>
      <c r="H917" s="61"/>
      <c r="I917" s="61"/>
      <c r="S917" s="199"/>
      <c r="T917" s="199"/>
    </row>
    <row r="918" ht="15.75" customHeight="1">
      <c r="E918" s="61"/>
      <c r="H918" s="61"/>
      <c r="I918" s="61"/>
      <c r="S918" s="199"/>
      <c r="T918" s="199"/>
    </row>
    <row r="919" ht="15.75" customHeight="1">
      <c r="E919" s="61"/>
      <c r="H919" s="61"/>
      <c r="I919" s="61"/>
      <c r="S919" s="199"/>
      <c r="T919" s="199"/>
    </row>
    <row r="920" ht="15.75" customHeight="1">
      <c r="E920" s="61"/>
      <c r="H920" s="61"/>
      <c r="I920" s="61"/>
      <c r="S920" s="199"/>
      <c r="T920" s="199"/>
    </row>
    <row r="921" ht="15.75" customHeight="1">
      <c r="E921" s="61"/>
      <c r="H921" s="61"/>
      <c r="I921" s="61"/>
      <c r="S921" s="199"/>
      <c r="T921" s="199"/>
    </row>
    <row r="922" ht="15.75" customHeight="1">
      <c r="E922" s="61"/>
      <c r="H922" s="61"/>
      <c r="I922" s="61"/>
      <c r="S922" s="199"/>
      <c r="T922" s="199"/>
    </row>
    <row r="923" ht="15.75" customHeight="1">
      <c r="E923" s="61"/>
      <c r="H923" s="61"/>
      <c r="I923" s="61"/>
      <c r="S923" s="199"/>
      <c r="T923" s="199"/>
    </row>
    <row r="924" ht="15.75" customHeight="1">
      <c r="E924" s="61"/>
      <c r="H924" s="61"/>
      <c r="I924" s="61"/>
      <c r="S924" s="199"/>
      <c r="T924" s="199"/>
    </row>
    <row r="925" ht="15.75" customHeight="1">
      <c r="E925" s="61"/>
      <c r="H925" s="61"/>
      <c r="I925" s="61"/>
      <c r="S925" s="199"/>
      <c r="T925" s="199"/>
    </row>
    <row r="926" ht="15.75" customHeight="1">
      <c r="E926" s="61"/>
      <c r="H926" s="61"/>
      <c r="I926" s="61"/>
      <c r="S926" s="199"/>
      <c r="T926" s="199"/>
    </row>
    <row r="927" ht="15.75" customHeight="1">
      <c r="E927" s="61"/>
      <c r="H927" s="61"/>
      <c r="I927" s="61"/>
      <c r="S927" s="199"/>
      <c r="T927" s="199"/>
    </row>
    <row r="928" ht="15.75" customHeight="1">
      <c r="E928" s="61"/>
      <c r="H928" s="61"/>
      <c r="I928" s="61"/>
      <c r="S928" s="199"/>
      <c r="T928" s="199"/>
    </row>
    <row r="929" ht="15.75" customHeight="1">
      <c r="E929" s="61"/>
      <c r="H929" s="61"/>
      <c r="I929" s="61"/>
      <c r="S929" s="199"/>
      <c r="T929" s="199"/>
    </row>
    <row r="930" ht="15.75" customHeight="1">
      <c r="E930" s="61"/>
      <c r="H930" s="61"/>
      <c r="I930" s="61"/>
      <c r="S930" s="199"/>
      <c r="T930" s="199"/>
    </row>
    <row r="931" ht="15.75" customHeight="1">
      <c r="E931" s="61"/>
      <c r="H931" s="61"/>
      <c r="I931" s="61"/>
      <c r="S931" s="199"/>
      <c r="T931" s="199"/>
    </row>
    <row r="932" ht="15.75" customHeight="1">
      <c r="E932" s="61"/>
      <c r="H932" s="61"/>
      <c r="I932" s="61"/>
      <c r="S932" s="199"/>
      <c r="T932" s="199"/>
    </row>
    <row r="933" ht="15.75" customHeight="1">
      <c r="E933" s="61"/>
      <c r="H933" s="61"/>
      <c r="I933" s="61"/>
      <c r="S933" s="199"/>
      <c r="T933" s="199"/>
    </row>
    <row r="934" ht="15.75" customHeight="1">
      <c r="E934" s="61"/>
      <c r="H934" s="61"/>
      <c r="I934" s="61"/>
      <c r="S934" s="199"/>
      <c r="T934" s="199"/>
    </row>
    <row r="935" ht="15.75" customHeight="1">
      <c r="E935" s="61"/>
      <c r="H935" s="61"/>
      <c r="I935" s="61"/>
      <c r="S935" s="199"/>
      <c r="T935" s="199"/>
    </row>
    <row r="936" ht="15.75" customHeight="1">
      <c r="E936" s="61"/>
      <c r="H936" s="61"/>
      <c r="I936" s="61"/>
      <c r="S936" s="199"/>
      <c r="T936" s="199"/>
    </row>
    <row r="937" ht="15.75" customHeight="1">
      <c r="E937" s="61"/>
      <c r="H937" s="61"/>
      <c r="I937" s="61"/>
      <c r="S937" s="199"/>
      <c r="T937" s="199"/>
    </row>
    <row r="938" ht="15.75" customHeight="1">
      <c r="E938" s="61"/>
      <c r="H938" s="61"/>
      <c r="I938" s="61"/>
      <c r="S938" s="199"/>
      <c r="T938" s="199"/>
    </row>
    <row r="939" ht="15.75" customHeight="1">
      <c r="E939" s="61"/>
      <c r="H939" s="61"/>
      <c r="I939" s="61"/>
      <c r="S939" s="199"/>
      <c r="T939" s="199"/>
    </row>
    <row r="940" ht="15.75" customHeight="1">
      <c r="E940" s="61"/>
      <c r="H940" s="61"/>
      <c r="I940" s="61"/>
      <c r="S940" s="199"/>
      <c r="T940" s="199"/>
    </row>
    <row r="941" ht="15.75" customHeight="1">
      <c r="E941" s="61"/>
      <c r="H941" s="61"/>
      <c r="I941" s="61"/>
      <c r="S941" s="199"/>
      <c r="T941" s="199"/>
    </row>
    <row r="942" ht="15.75" customHeight="1">
      <c r="E942" s="61"/>
      <c r="H942" s="61"/>
      <c r="I942" s="61"/>
      <c r="S942" s="199"/>
      <c r="T942" s="199"/>
    </row>
    <row r="943" ht="15.75" customHeight="1">
      <c r="E943" s="61"/>
      <c r="H943" s="61"/>
      <c r="I943" s="61"/>
      <c r="S943" s="199"/>
      <c r="T943" s="199"/>
    </row>
    <row r="944" ht="15.75" customHeight="1">
      <c r="E944" s="61"/>
      <c r="H944" s="61"/>
      <c r="I944" s="61"/>
      <c r="S944" s="199"/>
      <c r="T944" s="199"/>
    </row>
    <row r="945" ht="15.75" customHeight="1">
      <c r="E945" s="61"/>
      <c r="H945" s="61"/>
      <c r="I945" s="61"/>
      <c r="S945" s="199"/>
      <c r="T945" s="199"/>
    </row>
    <row r="946" ht="15.75" customHeight="1">
      <c r="E946" s="61"/>
      <c r="H946" s="61"/>
      <c r="I946" s="61"/>
      <c r="S946" s="199"/>
      <c r="T946" s="199"/>
    </row>
    <row r="947" ht="15.75" customHeight="1">
      <c r="E947" s="61"/>
      <c r="H947" s="61"/>
      <c r="I947" s="61"/>
      <c r="S947" s="199"/>
      <c r="T947" s="199"/>
    </row>
    <row r="948" ht="15.75" customHeight="1">
      <c r="E948" s="61"/>
      <c r="H948" s="61"/>
      <c r="I948" s="61"/>
      <c r="S948" s="199"/>
      <c r="T948" s="199"/>
    </row>
    <row r="949" ht="15.75" customHeight="1">
      <c r="E949" s="61"/>
      <c r="H949" s="61"/>
      <c r="I949" s="61"/>
      <c r="S949" s="199"/>
      <c r="T949" s="199"/>
    </row>
    <row r="950" ht="15.75" customHeight="1">
      <c r="E950" s="61"/>
      <c r="H950" s="61"/>
      <c r="I950" s="61"/>
      <c r="S950" s="199"/>
      <c r="T950" s="199"/>
    </row>
    <row r="951" ht="15.75" customHeight="1">
      <c r="E951" s="61"/>
      <c r="H951" s="61"/>
      <c r="I951" s="61"/>
      <c r="S951" s="199"/>
      <c r="T951" s="199"/>
    </row>
    <row r="952" ht="15.75" customHeight="1">
      <c r="E952" s="61"/>
      <c r="H952" s="61"/>
      <c r="I952" s="61"/>
      <c r="S952" s="199"/>
      <c r="T952" s="199"/>
    </row>
    <row r="953" ht="15.75" customHeight="1">
      <c r="E953" s="61"/>
      <c r="H953" s="61"/>
      <c r="I953" s="61"/>
      <c r="S953" s="199"/>
      <c r="T953" s="199"/>
    </row>
    <row r="954" ht="15.75" customHeight="1">
      <c r="E954" s="61"/>
      <c r="H954" s="61"/>
      <c r="I954" s="61"/>
      <c r="S954" s="199"/>
      <c r="T954" s="199"/>
    </row>
    <row r="955" ht="15.75" customHeight="1">
      <c r="E955" s="61"/>
      <c r="H955" s="61"/>
      <c r="I955" s="61"/>
      <c r="S955" s="199"/>
      <c r="T955" s="199"/>
    </row>
    <row r="956" ht="15.75" customHeight="1">
      <c r="E956" s="61"/>
      <c r="H956" s="61"/>
      <c r="I956" s="61"/>
      <c r="S956" s="199"/>
      <c r="T956" s="199"/>
    </row>
    <row r="957" ht="15.75" customHeight="1">
      <c r="E957" s="61"/>
      <c r="H957" s="61"/>
      <c r="I957" s="61"/>
      <c r="S957" s="199"/>
      <c r="T957" s="199"/>
    </row>
    <row r="958" ht="15.75" customHeight="1">
      <c r="E958" s="61"/>
      <c r="H958" s="61"/>
      <c r="I958" s="61"/>
      <c r="S958" s="199"/>
      <c r="T958" s="199"/>
    </row>
    <row r="959" ht="15.75" customHeight="1">
      <c r="E959" s="61"/>
      <c r="H959" s="61"/>
      <c r="I959" s="61"/>
      <c r="S959" s="199"/>
      <c r="T959" s="199"/>
    </row>
    <row r="960" ht="15.75" customHeight="1">
      <c r="E960" s="61"/>
      <c r="H960" s="61"/>
      <c r="I960" s="61"/>
      <c r="S960" s="199"/>
      <c r="T960" s="199"/>
    </row>
    <row r="961" ht="15.75" customHeight="1">
      <c r="E961" s="61"/>
      <c r="H961" s="61"/>
      <c r="I961" s="61"/>
      <c r="S961" s="199"/>
      <c r="T961" s="199"/>
    </row>
    <row r="962" ht="15.75" customHeight="1">
      <c r="E962" s="61"/>
      <c r="H962" s="61"/>
      <c r="I962" s="61"/>
      <c r="S962" s="199"/>
      <c r="T962" s="199"/>
    </row>
    <row r="963" ht="15.75" customHeight="1">
      <c r="E963" s="61"/>
      <c r="H963" s="61"/>
      <c r="I963" s="61"/>
      <c r="S963" s="199"/>
      <c r="T963" s="199"/>
    </row>
    <row r="964" ht="15.75" customHeight="1">
      <c r="E964" s="61"/>
      <c r="H964" s="61"/>
      <c r="I964" s="61"/>
      <c r="S964" s="199"/>
      <c r="T964" s="199"/>
    </row>
    <row r="965" ht="15.75" customHeight="1">
      <c r="E965" s="61"/>
      <c r="H965" s="61"/>
      <c r="I965" s="61"/>
      <c r="S965" s="199"/>
      <c r="T965" s="199"/>
    </row>
    <row r="966" ht="15.75" customHeight="1">
      <c r="E966" s="61"/>
      <c r="H966" s="61"/>
      <c r="I966" s="61"/>
      <c r="S966" s="199"/>
      <c r="T966" s="199"/>
    </row>
    <row r="967" ht="15.75" customHeight="1">
      <c r="E967" s="61"/>
      <c r="H967" s="61"/>
      <c r="I967" s="61"/>
      <c r="S967" s="199"/>
      <c r="T967" s="199"/>
    </row>
    <row r="968" ht="15.75" customHeight="1">
      <c r="E968" s="61"/>
      <c r="H968" s="61"/>
      <c r="I968" s="61"/>
      <c r="S968" s="199"/>
      <c r="T968" s="199"/>
    </row>
    <row r="969" ht="15.75" customHeight="1">
      <c r="E969" s="61"/>
      <c r="H969" s="61"/>
      <c r="I969" s="61"/>
      <c r="S969" s="199"/>
      <c r="T969" s="199"/>
    </row>
    <row r="970" ht="15.75" customHeight="1">
      <c r="E970" s="61"/>
      <c r="H970" s="61"/>
      <c r="I970" s="61"/>
      <c r="S970" s="199"/>
      <c r="T970" s="199"/>
    </row>
    <row r="971" ht="15.75" customHeight="1">
      <c r="E971" s="61"/>
      <c r="H971" s="61"/>
      <c r="I971" s="61"/>
      <c r="S971" s="199"/>
      <c r="T971" s="199"/>
    </row>
    <row r="972" ht="15.75" customHeight="1">
      <c r="E972" s="61"/>
      <c r="H972" s="61"/>
      <c r="I972" s="61"/>
      <c r="S972" s="199"/>
      <c r="T972" s="199"/>
    </row>
    <row r="973" ht="15.75" customHeight="1">
      <c r="E973" s="61"/>
      <c r="H973" s="61"/>
      <c r="I973" s="61"/>
      <c r="S973" s="199"/>
      <c r="T973" s="199"/>
    </row>
    <row r="974" ht="15.75" customHeight="1">
      <c r="E974" s="61"/>
      <c r="H974" s="61"/>
      <c r="I974" s="61"/>
      <c r="S974" s="199"/>
      <c r="T974" s="199"/>
    </row>
    <row r="975" ht="15.75" customHeight="1">
      <c r="E975" s="61"/>
      <c r="H975" s="61"/>
      <c r="I975" s="61"/>
      <c r="S975" s="199"/>
      <c r="T975" s="199"/>
    </row>
    <row r="976" ht="15.75" customHeight="1">
      <c r="E976" s="61"/>
      <c r="H976" s="61"/>
      <c r="I976" s="61"/>
      <c r="S976" s="199"/>
      <c r="T976" s="199"/>
    </row>
    <row r="977" ht="15.75" customHeight="1">
      <c r="E977" s="61"/>
      <c r="H977" s="61"/>
      <c r="I977" s="61"/>
      <c r="S977" s="199"/>
      <c r="T977" s="199"/>
    </row>
    <row r="978" ht="15.75" customHeight="1">
      <c r="E978" s="61"/>
      <c r="H978" s="61"/>
      <c r="I978" s="61"/>
      <c r="S978" s="199"/>
      <c r="T978" s="199"/>
    </row>
    <row r="979" ht="15.75" customHeight="1">
      <c r="E979" s="61"/>
      <c r="H979" s="61"/>
      <c r="I979" s="61"/>
      <c r="S979" s="199"/>
      <c r="T979" s="199"/>
    </row>
    <row r="980" ht="15.75" customHeight="1">
      <c r="E980" s="61"/>
      <c r="H980" s="61"/>
      <c r="I980" s="61"/>
      <c r="S980" s="199"/>
      <c r="T980" s="199"/>
    </row>
    <row r="981" ht="15.75" customHeight="1">
      <c r="E981" s="61"/>
      <c r="H981" s="61"/>
      <c r="I981" s="61"/>
      <c r="S981" s="199"/>
      <c r="T981" s="199"/>
    </row>
    <row r="982" ht="15.75" customHeight="1">
      <c r="E982" s="61"/>
      <c r="H982" s="61"/>
      <c r="I982" s="61"/>
      <c r="S982" s="199"/>
      <c r="T982" s="199"/>
    </row>
    <row r="983" ht="15.75" customHeight="1">
      <c r="E983" s="61"/>
      <c r="H983" s="61"/>
      <c r="I983" s="61"/>
      <c r="S983" s="199"/>
      <c r="T983" s="199"/>
    </row>
    <row r="984" ht="15.75" customHeight="1">
      <c r="E984" s="61"/>
      <c r="H984" s="61"/>
      <c r="I984" s="61"/>
      <c r="S984" s="199"/>
      <c r="T984" s="199"/>
    </row>
    <row r="985" ht="15.75" customHeight="1">
      <c r="E985" s="61"/>
      <c r="H985" s="61"/>
      <c r="I985" s="61"/>
      <c r="S985" s="199"/>
      <c r="T985" s="199"/>
    </row>
    <row r="986" ht="15.75" customHeight="1">
      <c r="E986" s="61"/>
      <c r="H986" s="61"/>
      <c r="I986" s="61"/>
      <c r="S986" s="199"/>
      <c r="T986" s="199"/>
    </row>
    <row r="987" ht="15.75" customHeight="1">
      <c r="E987" s="61"/>
      <c r="H987" s="61"/>
      <c r="I987" s="61"/>
      <c r="S987" s="199"/>
      <c r="T987" s="199"/>
    </row>
    <row r="988" ht="15.75" customHeight="1">
      <c r="E988" s="61"/>
      <c r="H988" s="61"/>
      <c r="I988" s="61"/>
      <c r="S988" s="199"/>
      <c r="T988" s="199"/>
    </row>
    <row r="989" ht="15.75" customHeight="1">
      <c r="E989" s="61"/>
      <c r="H989" s="61"/>
      <c r="I989" s="61"/>
      <c r="S989" s="199"/>
      <c r="T989" s="199"/>
    </row>
    <row r="990" ht="15.75" customHeight="1">
      <c r="E990" s="61"/>
      <c r="H990" s="61"/>
      <c r="I990" s="61"/>
      <c r="S990" s="199"/>
      <c r="T990" s="199"/>
    </row>
    <row r="991" ht="15.75" customHeight="1">
      <c r="E991" s="61"/>
      <c r="H991" s="61"/>
      <c r="I991" s="61"/>
      <c r="S991" s="199"/>
      <c r="T991" s="199"/>
    </row>
    <row r="992" ht="15.75" customHeight="1">
      <c r="E992" s="61"/>
      <c r="H992" s="61"/>
      <c r="I992" s="61"/>
      <c r="S992" s="199"/>
      <c r="T992" s="199"/>
    </row>
    <row r="993" ht="15.75" customHeight="1">
      <c r="E993" s="61"/>
      <c r="H993" s="61"/>
      <c r="I993" s="61"/>
      <c r="S993" s="199"/>
      <c r="T993" s="199"/>
    </row>
    <row r="994" ht="15.75" customHeight="1">
      <c r="E994" s="61"/>
      <c r="H994" s="61"/>
      <c r="I994" s="61"/>
      <c r="S994" s="199"/>
      <c r="T994" s="199"/>
    </row>
    <row r="995" ht="15.75" customHeight="1">
      <c r="E995" s="61"/>
      <c r="H995" s="61"/>
      <c r="I995" s="61"/>
      <c r="S995" s="199"/>
      <c r="T995" s="199"/>
    </row>
    <row r="996" ht="15.75" customHeight="1">
      <c r="E996" s="61"/>
      <c r="H996" s="61"/>
      <c r="I996" s="61"/>
      <c r="S996" s="199"/>
      <c r="T996" s="199"/>
    </row>
    <row r="997" ht="15.75" customHeight="1">
      <c r="E997" s="61"/>
      <c r="H997" s="61"/>
      <c r="I997" s="61"/>
      <c r="S997" s="199"/>
      <c r="T997" s="199"/>
    </row>
    <row r="998" ht="15.75" customHeight="1">
      <c r="E998" s="61"/>
      <c r="H998" s="61"/>
      <c r="I998" s="61"/>
      <c r="S998" s="199"/>
      <c r="T998" s="199"/>
    </row>
    <row r="999" ht="15.75" customHeight="1">
      <c r="E999" s="61"/>
      <c r="H999" s="61"/>
      <c r="I999" s="61"/>
      <c r="S999" s="199"/>
      <c r="T999" s="199"/>
    </row>
    <row r="1000" ht="15.75" customHeight="1">
      <c r="E1000" s="61"/>
      <c r="H1000" s="61"/>
      <c r="I1000" s="61"/>
      <c r="S1000" s="199"/>
      <c r="T1000" s="199"/>
    </row>
  </sheetData>
  <mergeCells count="8">
    <mergeCell ref="C4:M6"/>
    <mergeCell ref="N4:X6"/>
    <mergeCell ref="Z5:AA5"/>
    <mergeCell ref="AC5:AD5"/>
    <mergeCell ref="AG5:AH5"/>
    <mergeCell ref="AJ5:AK5"/>
    <mergeCell ref="C7:M7"/>
    <mergeCell ref="N7:X7"/>
  </mergeCells>
  <conditionalFormatting sqref="G9:G37 H37:M37 R9:R37">
    <cfRule type="cellIs" dxfId="0" priority="1" operator="greaterThanOrEqual">
      <formula>0</formula>
    </cfRule>
  </conditionalFormatting>
  <conditionalFormatting sqref="G9:G37 H37:M37 R9:R37">
    <cfRule type="cellIs" dxfId="1" priority="2" operator="lessThan">
      <formula>0</formula>
    </cfRule>
  </conditionalFormatting>
  <conditionalFormatting sqref="G9:G37 H37:M37 R9:R37">
    <cfRule type="cellIs" dxfId="2" priority="3" operator="lessThan">
      <formula>0</formula>
    </cfRule>
  </conditionalFormatting>
  <conditionalFormatting sqref="S37:X37">
    <cfRule type="cellIs" dxfId="0" priority="4" operator="greaterThanOrEqual">
      <formula>0</formula>
    </cfRule>
  </conditionalFormatting>
  <conditionalFormatting sqref="S37:X37">
    <cfRule type="cellIs" dxfId="1" priority="5" operator="lessThan">
      <formula>0</formula>
    </cfRule>
  </conditionalFormatting>
  <conditionalFormatting sqref="S37:X37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39.11"/>
    <col customWidth="1" min="3" max="3" width="33.78"/>
    <col customWidth="1" min="4" max="4" width="25.33"/>
    <col customWidth="1" min="5" max="26" width="10.56"/>
  </cols>
  <sheetData>
    <row r="1" ht="15.75" customHeight="1"/>
    <row r="2" ht="15.75" customHeight="1">
      <c r="A2" s="317"/>
      <c r="B2" s="271"/>
      <c r="C2" s="317"/>
      <c r="D2" s="318" t="s">
        <v>236</v>
      </c>
    </row>
    <row r="3" ht="15.75" customHeight="1">
      <c r="A3" s="317"/>
      <c r="B3" s="271"/>
      <c r="C3" s="271"/>
      <c r="D3" s="319">
        <v>0.15</v>
      </c>
    </row>
    <row r="4" ht="15.75" customHeight="1">
      <c r="A4" s="320" t="s">
        <v>242</v>
      </c>
      <c r="B4" s="321" t="s">
        <v>222</v>
      </c>
      <c r="C4" s="322" t="s">
        <v>256</v>
      </c>
      <c r="D4" s="323"/>
    </row>
    <row r="5" ht="15.75" customHeight="1">
      <c r="A5" s="324" t="s">
        <v>247</v>
      </c>
      <c r="B5" s="325" t="s">
        <v>226</v>
      </c>
      <c r="C5" s="326">
        <f>52659-130-182-374.99-821.7</f>
        <v>51150.31</v>
      </c>
      <c r="D5" s="327">
        <f t="shared" ref="D5:D10" si="1">C5/330000</f>
        <v>0.1550009394</v>
      </c>
    </row>
    <row r="6" ht="15.75" customHeight="1">
      <c r="A6" s="325" t="s">
        <v>245</v>
      </c>
      <c r="B6" s="325" t="s">
        <v>227</v>
      </c>
      <c r="C6" s="326">
        <f>52303-238-374.99</f>
        <v>51690.01</v>
      </c>
      <c r="D6" s="327">
        <f t="shared" si="1"/>
        <v>0.1566363939</v>
      </c>
    </row>
    <row r="7" ht="15.75" customHeight="1">
      <c r="A7" s="324" t="s">
        <v>246</v>
      </c>
      <c r="B7" s="325" t="s">
        <v>228</v>
      </c>
      <c r="C7" s="326">
        <f>52922-259-374.99</f>
        <v>52288.01</v>
      </c>
      <c r="D7" s="327">
        <f t="shared" si="1"/>
        <v>0.1584485152</v>
      </c>
    </row>
    <row r="8" ht="15.75" customHeight="1">
      <c r="A8" s="325" t="s">
        <v>249</v>
      </c>
      <c r="B8" s="325" t="s">
        <v>229</v>
      </c>
      <c r="C8" s="326">
        <f>51642.5-133-374.99</f>
        <v>51134.51</v>
      </c>
      <c r="D8" s="327">
        <f t="shared" si="1"/>
        <v>0.1549530606</v>
      </c>
    </row>
    <row r="9" ht="15.75" customHeight="1">
      <c r="A9" s="324" t="s">
        <v>248</v>
      </c>
      <c r="B9" s="325" t="s">
        <v>230</v>
      </c>
      <c r="C9" s="326">
        <f>42914-270-126-374.99</f>
        <v>42143.01</v>
      </c>
      <c r="D9" s="327">
        <f t="shared" si="1"/>
        <v>0.1277060909</v>
      </c>
    </row>
    <row r="10" ht="15.75" customHeight="1">
      <c r="A10" s="325" t="s">
        <v>244</v>
      </c>
      <c r="B10" s="328" t="s">
        <v>231</v>
      </c>
      <c r="C10" s="329">
        <f>49567-126-374.99</f>
        <v>49066.01</v>
      </c>
      <c r="D10" s="327">
        <f t="shared" si="1"/>
        <v>0.1486848788</v>
      </c>
    </row>
    <row r="11" ht="15.75" customHeight="1">
      <c r="A11" s="325"/>
      <c r="B11" s="317"/>
      <c r="C11" s="219">
        <f>SUM(C5:C10)+249</f>
        <v>297720.86</v>
      </c>
      <c r="D11" s="317"/>
    </row>
    <row r="12" ht="15.75" customHeight="1">
      <c r="A12" s="325"/>
      <c r="B12" s="317"/>
      <c r="C12" s="317"/>
      <c r="D12" s="317"/>
    </row>
    <row r="13" ht="15.75" customHeight="1">
      <c r="A13" s="330"/>
      <c r="B13" s="317" t="s">
        <v>257</v>
      </c>
      <c r="C13" s="317">
        <f>2000.94</f>
        <v>2000.94</v>
      </c>
      <c r="D13" s="317"/>
    </row>
    <row r="14" ht="15.75" customHeight="1">
      <c r="A14" s="317"/>
      <c r="B14" s="317" t="s">
        <v>258</v>
      </c>
      <c r="C14" s="271">
        <f>249</f>
        <v>249</v>
      </c>
      <c r="D14" s="317"/>
    </row>
    <row r="15" ht="15.75" customHeight="1">
      <c r="A15" s="317"/>
      <c r="B15" s="317" t="s">
        <v>259</v>
      </c>
      <c r="C15" s="317">
        <f>SUM(C13:C14)</f>
        <v>2249.94</v>
      </c>
      <c r="D15" s="317"/>
    </row>
    <row r="16" ht="15.75" customHeight="1">
      <c r="A16" s="317"/>
      <c r="B16" s="317" t="s">
        <v>260</v>
      </c>
      <c r="C16" s="317">
        <f>C15/6</f>
        <v>374.99</v>
      </c>
      <c r="D16" s="317"/>
    </row>
    <row r="17" ht="15.75" customHeight="1"/>
    <row r="18" ht="15.75" customHeight="1">
      <c r="C18" s="219">
        <f>302256.5-2000.94-249-1464-821.7</f>
        <v>297720.86</v>
      </c>
    </row>
    <row r="19" ht="15.75" customHeight="1">
      <c r="B19" s="317" t="s">
        <v>261</v>
      </c>
      <c r="C19" s="271">
        <f>C18+2000.94+249+1464+821.7</f>
        <v>302256.5</v>
      </c>
      <c r="D19" s="317" t="s">
        <v>262</v>
      </c>
    </row>
    <row r="20" ht="15.75" customHeight="1">
      <c r="C20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2.22"/>
    <col customWidth="1" min="4" max="4" width="14.0"/>
    <col customWidth="1" min="5" max="5" width="15.44"/>
    <col customWidth="1" min="6" max="6" width="14.33"/>
    <col customWidth="1" min="7" max="7" width="9.56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3.56"/>
    <col customWidth="1" min="13" max="13" width="14.78"/>
    <col customWidth="1" min="14" max="14" width="15.11"/>
    <col customWidth="1" min="15" max="15" width="17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89"/>
    <col customWidth="1" min="21" max="21" width="12.44"/>
    <col customWidth="1" min="22" max="22" width="11.22"/>
    <col customWidth="1" min="23" max="23" width="11.0"/>
    <col customWidth="1" min="24" max="24" width="14.78"/>
    <col customWidth="1" min="25" max="25" width="10.56"/>
    <col customWidth="1" min="26" max="26" width="4.33"/>
    <col customWidth="1" min="27" max="27" width="16.0"/>
    <col customWidth="1" min="28" max="28" width="12.33"/>
    <col customWidth="1" min="29" max="29" width="13.22"/>
    <col customWidth="1" min="30" max="30" width="14.33"/>
    <col customWidth="1" min="31" max="31" width="13.22"/>
    <col customWidth="1" min="32" max="32" width="6.56"/>
    <col customWidth="1" min="33" max="33" width="4.33"/>
    <col customWidth="1" min="34" max="34" width="12.67"/>
    <col customWidth="1" min="35" max="35" width="12.33"/>
    <col customWidth="1" min="36" max="36" width="10.56"/>
    <col customWidth="1" min="37" max="38" width="12.33"/>
  </cols>
  <sheetData>
    <row r="1" ht="15.75" customHeight="1">
      <c r="A1" s="331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</row>
    <row r="2" ht="15.75" customHeight="1">
      <c r="A2" s="331"/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  <c r="AL2" s="331"/>
    </row>
    <row r="3" ht="15.75" customHeight="1">
      <c r="A3" s="331"/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</row>
    <row r="4" ht="15.75" customHeight="1">
      <c r="A4" s="332"/>
      <c r="B4" s="332"/>
      <c r="C4" s="333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334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  <c r="Y4" s="331"/>
      <c r="Z4" s="331"/>
      <c r="AA4" s="46" t="s">
        <v>211</v>
      </c>
      <c r="AB4" s="6"/>
      <c r="AC4" s="331"/>
      <c r="AD4" s="46" t="s">
        <v>212</v>
      </c>
      <c r="AE4" s="6"/>
      <c r="AF4" s="331"/>
      <c r="AG4" s="331"/>
      <c r="AH4" s="46" t="s">
        <v>217</v>
      </c>
      <c r="AI4" s="6"/>
      <c r="AJ4" s="331"/>
      <c r="AK4" s="46" t="s">
        <v>218</v>
      </c>
      <c r="AL4" s="6"/>
    </row>
    <row r="5" ht="15.75" customHeight="1">
      <c r="A5" s="332"/>
      <c r="B5" s="332"/>
      <c r="C5" s="31"/>
      <c r="M5" s="32"/>
      <c r="N5" s="31"/>
      <c r="X5" s="32"/>
      <c r="Y5" s="331"/>
      <c r="Z5" s="331"/>
      <c r="AA5" s="261">
        <v>45689.0</v>
      </c>
      <c r="AB5" s="261">
        <v>45717.0</v>
      </c>
      <c r="AC5" s="331"/>
      <c r="AD5" s="261">
        <v>45689.0</v>
      </c>
      <c r="AE5" s="261">
        <v>45717.0</v>
      </c>
      <c r="AF5" s="331"/>
      <c r="AG5" s="331"/>
      <c r="AH5" s="261">
        <v>46054.0</v>
      </c>
      <c r="AI5" s="261">
        <v>46082.0</v>
      </c>
      <c r="AJ5" s="331"/>
      <c r="AK5" s="261">
        <v>46054.0</v>
      </c>
      <c r="AL5" s="261">
        <v>46082.0</v>
      </c>
    </row>
    <row r="6" ht="15.75" customHeight="1">
      <c r="A6" s="332"/>
      <c r="B6" s="332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Y6" s="331"/>
      <c r="Z6" s="2" t="s">
        <v>45</v>
      </c>
      <c r="AA6" s="55">
        <v>3652.4075000000003</v>
      </c>
      <c r="AB6" s="55">
        <v>4545.63</v>
      </c>
      <c r="AC6" s="66">
        <f t="shared" ref="AC6:AC12" si="1">AB6/AA6-1</f>
        <v>0.2445571859</v>
      </c>
      <c r="AD6" s="229">
        <v>3812.5525000000002</v>
      </c>
      <c r="AE6" s="229">
        <v>5771.93</v>
      </c>
      <c r="AF6" s="66">
        <f t="shared" ref="AF6:AF12" si="2">AE6/AD6-1</f>
        <v>0.5139280049</v>
      </c>
      <c r="AG6" s="2" t="s">
        <v>45</v>
      </c>
      <c r="AH6" s="229">
        <v>4714.78</v>
      </c>
      <c r="AI6" s="274">
        <f t="shared" ref="AI6:AI12" si="3">AH6*AC6+AH6</f>
        <v>5867.813329</v>
      </c>
      <c r="AJ6" s="75"/>
      <c r="AK6" s="229">
        <v>3549.79</v>
      </c>
      <c r="AL6" s="274">
        <f t="shared" ref="AL6:AL12" si="4">AK6*AF6+AK6</f>
        <v>5374.126493</v>
      </c>
    </row>
    <row r="7" ht="15.75" customHeight="1">
      <c r="A7" s="169"/>
      <c r="B7" s="169"/>
      <c r="C7" s="337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337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31"/>
      <c r="Z7" s="8" t="s">
        <v>46</v>
      </c>
      <c r="AA7" s="55">
        <v>3437.8125</v>
      </c>
      <c r="AB7" s="55">
        <v>5976.19</v>
      </c>
      <c r="AC7" s="66">
        <f t="shared" si="1"/>
        <v>0.7383699664</v>
      </c>
      <c r="AD7" s="229">
        <v>4137.565</v>
      </c>
      <c r="AE7" s="229">
        <v>7407.2</v>
      </c>
      <c r="AF7" s="66">
        <f t="shared" si="2"/>
        <v>0.7902316942</v>
      </c>
      <c r="AG7" s="8" t="s">
        <v>46</v>
      </c>
      <c r="AH7" s="229">
        <v>4782.03</v>
      </c>
      <c r="AI7" s="274">
        <f t="shared" si="3"/>
        <v>8312.93733</v>
      </c>
      <c r="AJ7" s="75"/>
      <c r="AK7" s="229">
        <v>4412.95</v>
      </c>
      <c r="AL7" s="274">
        <f t="shared" si="4"/>
        <v>7900.202955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165</v>
      </c>
      <c r="X8" s="44" t="s">
        <v>166</v>
      </c>
      <c r="Y8" s="331"/>
      <c r="Z8" s="2" t="s">
        <v>40</v>
      </c>
      <c r="AA8" s="55">
        <v>6062.825000000001</v>
      </c>
      <c r="AB8" s="55">
        <v>5450.1</v>
      </c>
      <c r="AC8" s="66">
        <f t="shared" si="1"/>
        <v>-0.1010626234</v>
      </c>
      <c r="AD8" s="229">
        <v>4168.594999999999</v>
      </c>
      <c r="AE8" s="229">
        <v>6082.42</v>
      </c>
      <c r="AF8" s="66">
        <f t="shared" si="2"/>
        <v>0.459105526</v>
      </c>
      <c r="AG8" s="2" t="s">
        <v>40</v>
      </c>
      <c r="AH8" s="229">
        <v>5010.82</v>
      </c>
      <c r="AI8" s="274">
        <f t="shared" si="3"/>
        <v>4504.413385</v>
      </c>
      <c r="AJ8" s="75"/>
      <c r="AK8" s="229">
        <v>5423.01</v>
      </c>
      <c r="AL8" s="274">
        <f t="shared" si="4"/>
        <v>7912.743858</v>
      </c>
    </row>
    <row r="9" ht="15.75" customHeight="1">
      <c r="A9" s="8"/>
      <c r="B9" s="8"/>
      <c r="C9" s="147">
        <v>1.0</v>
      </c>
      <c r="D9" s="147" t="s">
        <v>44</v>
      </c>
      <c r="E9" s="209">
        <v>20000.0</v>
      </c>
      <c r="F9" s="209">
        <v>20248.5</v>
      </c>
      <c r="G9" s="51">
        <f t="shared" ref="G9:G16" si="5">F9-E9</f>
        <v>248.5</v>
      </c>
      <c r="H9" s="290">
        <v>89.0</v>
      </c>
      <c r="I9" s="265">
        <f t="shared" ref="I9:I16" si="6">F9/H9</f>
        <v>227.511236</v>
      </c>
      <c r="J9" s="57">
        <v>22.0</v>
      </c>
      <c r="K9" s="57">
        <f>3.5+41.5</f>
        <v>45</v>
      </c>
      <c r="L9" s="57">
        <v>52.0</v>
      </c>
      <c r="M9" s="57">
        <f t="shared" ref="M9:M16" si="7">J9+K9+L9</f>
        <v>119</v>
      </c>
      <c r="N9" s="204">
        <v>1.0</v>
      </c>
      <c r="O9" s="204" t="s">
        <v>44</v>
      </c>
      <c r="P9" s="213">
        <v>18000.0</v>
      </c>
      <c r="Q9" s="213">
        <f>8456.93+11454.08-1369.16</f>
        <v>18541.85</v>
      </c>
      <c r="R9" s="51">
        <f t="shared" ref="R9:R16" si="8">Q9-P9</f>
        <v>541.85</v>
      </c>
      <c r="S9" s="291">
        <v>115.0</v>
      </c>
      <c r="T9" s="291">
        <f t="shared" ref="T9:T16" si="9">Q9/S9</f>
        <v>161.2334783</v>
      </c>
      <c r="U9" s="57">
        <v>31.0</v>
      </c>
      <c r="V9" s="57">
        <f>15+66</f>
        <v>81</v>
      </c>
      <c r="W9" s="57">
        <v>30.0</v>
      </c>
      <c r="X9" s="57">
        <f t="shared" ref="X9:X16" si="10">U9+V9+W9</f>
        <v>142</v>
      </c>
      <c r="Y9" s="331"/>
      <c r="Z9" s="2" t="s">
        <v>47</v>
      </c>
      <c r="AA9" s="55">
        <v>6195.1050000000005</v>
      </c>
      <c r="AB9" s="55">
        <v>5434.13</v>
      </c>
      <c r="AC9" s="66">
        <f t="shared" si="1"/>
        <v>-0.1228348833</v>
      </c>
      <c r="AD9" s="229">
        <v>5183.4375</v>
      </c>
      <c r="AE9" s="229">
        <v>5086.32</v>
      </c>
      <c r="AF9" s="66">
        <f t="shared" si="2"/>
        <v>-0.01873611865</v>
      </c>
      <c r="AG9" s="2" t="s">
        <v>47</v>
      </c>
      <c r="AH9" s="229">
        <v>4491.8</v>
      </c>
      <c r="AI9" s="274">
        <f t="shared" si="3"/>
        <v>3940.050271</v>
      </c>
      <c r="AJ9" s="75"/>
      <c r="AK9" s="229">
        <v>4676.16</v>
      </c>
      <c r="AL9" s="274">
        <f t="shared" si="4"/>
        <v>4588.546911</v>
      </c>
    </row>
    <row r="10" ht="15.75" customHeight="1">
      <c r="A10" s="8"/>
      <c r="B10" s="8"/>
      <c r="C10" s="147">
        <v>2.0</v>
      </c>
      <c r="D10" s="147" t="s">
        <v>45</v>
      </c>
      <c r="E10" s="209">
        <v>6000.0</v>
      </c>
      <c r="F10" s="209">
        <v>3727.6</v>
      </c>
      <c r="G10" s="51">
        <f t="shared" si="5"/>
        <v>-2272.4</v>
      </c>
      <c r="H10" s="290">
        <v>18.0</v>
      </c>
      <c r="I10" s="265">
        <f t="shared" si="6"/>
        <v>207.0888889</v>
      </c>
      <c r="J10" s="57">
        <v>4.0</v>
      </c>
      <c r="K10" s="57">
        <f>0.5+10.5</f>
        <v>11</v>
      </c>
      <c r="L10" s="57">
        <v>8.0</v>
      </c>
      <c r="M10" s="57">
        <f t="shared" si="7"/>
        <v>23</v>
      </c>
      <c r="N10" s="204">
        <v>2.0</v>
      </c>
      <c r="O10" s="204" t="s">
        <v>45</v>
      </c>
      <c r="P10" s="213">
        <v>5000.0</v>
      </c>
      <c r="Q10" s="213">
        <f>1431.83+2280.58-204.72</f>
        <v>3507.69</v>
      </c>
      <c r="R10" s="51">
        <f t="shared" si="8"/>
        <v>-1492.31</v>
      </c>
      <c r="S10" s="291">
        <v>18.0</v>
      </c>
      <c r="T10" s="291">
        <f t="shared" si="9"/>
        <v>194.8716667</v>
      </c>
      <c r="U10" s="57">
        <v>7.0</v>
      </c>
      <c r="V10" s="57">
        <f>2.5+9.5</f>
        <v>12</v>
      </c>
      <c r="W10" s="57">
        <v>9.0</v>
      </c>
      <c r="X10" s="57">
        <f t="shared" si="10"/>
        <v>28</v>
      </c>
      <c r="Y10" s="331"/>
      <c r="Z10" s="2" t="s">
        <v>48</v>
      </c>
      <c r="AA10" s="55">
        <v>10387.4</v>
      </c>
      <c r="AB10" s="55">
        <v>10944.55</v>
      </c>
      <c r="AC10" s="66">
        <f t="shared" si="1"/>
        <v>0.05363709879</v>
      </c>
      <c r="AD10" s="229">
        <v>10702.8325</v>
      </c>
      <c r="AE10" s="229">
        <v>11651.22</v>
      </c>
      <c r="AF10" s="66">
        <f t="shared" si="2"/>
        <v>0.08861088875</v>
      </c>
      <c r="AG10" s="2" t="s">
        <v>48</v>
      </c>
      <c r="AH10" s="229">
        <v>12402.16</v>
      </c>
      <c r="AI10" s="274">
        <f t="shared" si="3"/>
        <v>13067.37588</v>
      </c>
      <c r="AJ10" s="75"/>
      <c r="AK10" s="229">
        <v>8692.46</v>
      </c>
      <c r="AL10" s="274">
        <f t="shared" si="4"/>
        <v>9462.706606</v>
      </c>
    </row>
    <row r="11" ht="15.75" customHeight="1">
      <c r="A11" s="8"/>
      <c r="B11" s="8"/>
      <c r="C11" s="147">
        <v>3.0</v>
      </c>
      <c r="D11" s="147" t="s">
        <v>46</v>
      </c>
      <c r="E11" s="209">
        <v>6000.0</v>
      </c>
      <c r="F11" s="209">
        <v>2631.7</v>
      </c>
      <c r="G11" s="51">
        <f t="shared" si="5"/>
        <v>-3368.3</v>
      </c>
      <c r="H11" s="290">
        <v>19.0</v>
      </c>
      <c r="I11" s="265">
        <f t="shared" si="6"/>
        <v>138.5105263</v>
      </c>
      <c r="J11" s="57">
        <v>4.0</v>
      </c>
      <c r="K11" s="57">
        <f>2+5</f>
        <v>7</v>
      </c>
      <c r="L11" s="57">
        <v>4.0</v>
      </c>
      <c r="M11" s="57">
        <f t="shared" si="7"/>
        <v>15</v>
      </c>
      <c r="N11" s="204">
        <v>3.0</v>
      </c>
      <c r="O11" s="204" t="s">
        <v>46</v>
      </c>
      <c r="P11" s="213">
        <v>6000.0</v>
      </c>
      <c r="Q11" s="213">
        <f>2631.03+2254.44-283.67</f>
        <v>4601.8</v>
      </c>
      <c r="R11" s="51">
        <f t="shared" si="8"/>
        <v>-1398.2</v>
      </c>
      <c r="S11" s="291">
        <v>38.0</v>
      </c>
      <c r="T11" s="291">
        <f t="shared" si="9"/>
        <v>121.1</v>
      </c>
      <c r="U11" s="57">
        <v>6.0</v>
      </c>
      <c r="V11" s="57">
        <f>4+20</f>
        <v>24</v>
      </c>
      <c r="W11" s="57">
        <v>5.0</v>
      </c>
      <c r="X11" s="57">
        <f t="shared" si="10"/>
        <v>35</v>
      </c>
      <c r="Y11" s="331"/>
      <c r="Z11" s="2" t="s">
        <v>171</v>
      </c>
      <c r="AA11" s="55">
        <v>16307.732500000002</v>
      </c>
      <c r="AB11" s="55">
        <v>18139.43</v>
      </c>
      <c r="AC11" s="66">
        <f t="shared" si="1"/>
        <v>0.1123207963</v>
      </c>
      <c r="AD11" s="229">
        <v>13893.575</v>
      </c>
      <c r="AE11" s="229">
        <v>13900.58</v>
      </c>
      <c r="AF11" s="66">
        <f t="shared" si="2"/>
        <v>0.0005041898863</v>
      </c>
      <c r="AG11" s="2" t="s">
        <v>171</v>
      </c>
      <c r="AH11" s="229">
        <v>21497.4</v>
      </c>
      <c r="AI11" s="274">
        <f t="shared" si="3"/>
        <v>23912.00509</v>
      </c>
      <c r="AJ11" s="75"/>
      <c r="AK11" s="229">
        <v>12983.64</v>
      </c>
      <c r="AL11" s="274">
        <f t="shared" si="4"/>
        <v>12990.18622</v>
      </c>
    </row>
    <row r="12" ht="15.75" customHeight="1">
      <c r="A12" s="8"/>
      <c r="B12" s="8"/>
      <c r="C12" s="147">
        <v>4.0</v>
      </c>
      <c r="D12" s="147" t="s">
        <v>40</v>
      </c>
      <c r="E12" s="209">
        <v>6000.0</v>
      </c>
      <c r="F12" s="341">
        <v>5693.03</v>
      </c>
      <c r="G12" s="51">
        <f t="shared" si="5"/>
        <v>-306.97</v>
      </c>
      <c r="H12" s="210">
        <v>26.0</v>
      </c>
      <c r="I12" s="265">
        <f t="shared" si="6"/>
        <v>218.9626923</v>
      </c>
      <c r="J12" s="214">
        <v>4.0</v>
      </c>
      <c r="K12" s="57">
        <f>1.5+8.5</f>
        <v>10</v>
      </c>
      <c r="L12" s="214">
        <v>15.0</v>
      </c>
      <c r="M12" s="57">
        <f t="shared" si="7"/>
        <v>29</v>
      </c>
      <c r="N12" s="204">
        <v>4.0</v>
      </c>
      <c r="O12" s="204" t="s">
        <v>40</v>
      </c>
      <c r="P12" s="213">
        <v>6000.0</v>
      </c>
      <c r="Q12" s="213">
        <f>1452.75+1998.47-259.63</f>
        <v>3191.59</v>
      </c>
      <c r="R12" s="51">
        <f t="shared" si="8"/>
        <v>-2808.41</v>
      </c>
      <c r="S12" s="217">
        <v>21.0</v>
      </c>
      <c r="T12" s="291">
        <f t="shared" si="9"/>
        <v>151.9804762</v>
      </c>
      <c r="U12" s="214">
        <v>6.0</v>
      </c>
      <c r="V12" s="57">
        <f>2+10</f>
        <v>12</v>
      </c>
      <c r="W12" s="214">
        <v>7.0</v>
      </c>
      <c r="X12" s="57">
        <f t="shared" si="10"/>
        <v>25</v>
      </c>
      <c r="Y12" s="331"/>
      <c r="Z12" s="2" t="s">
        <v>44</v>
      </c>
      <c r="AA12" s="55">
        <v>14307.8</v>
      </c>
      <c r="AB12" s="55">
        <v>18056.14</v>
      </c>
      <c r="AC12" s="66">
        <f t="shared" si="1"/>
        <v>0.2619787808</v>
      </c>
      <c r="AD12" s="229">
        <v>20893.4225</v>
      </c>
      <c r="AE12" s="229">
        <v>19750.29</v>
      </c>
      <c r="AF12" s="66">
        <f t="shared" si="2"/>
        <v>-0.05471255368</v>
      </c>
      <c r="AG12" s="2" t="s">
        <v>44</v>
      </c>
      <c r="AH12" s="229">
        <v>19314.34</v>
      </c>
      <c r="AI12" s="274">
        <f t="shared" si="3"/>
        <v>24374.28725</v>
      </c>
      <c r="AJ12" s="75"/>
      <c r="AK12" s="229">
        <v>16807.18</v>
      </c>
      <c r="AL12" s="274">
        <f t="shared" si="4"/>
        <v>15887.61626</v>
      </c>
    </row>
    <row r="13" ht="15.75" customHeight="1">
      <c r="A13" s="8"/>
      <c r="B13" s="8"/>
      <c r="C13" s="147">
        <v>5.0</v>
      </c>
      <c r="D13" s="147" t="s">
        <v>47</v>
      </c>
      <c r="E13" s="209">
        <v>7000.0</v>
      </c>
      <c r="F13" s="209">
        <f>8983.03</f>
        <v>8983.03</v>
      </c>
      <c r="G13" s="51">
        <f t="shared" si="5"/>
        <v>1983.03</v>
      </c>
      <c r="H13" s="210">
        <v>38.0</v>
      </c>
      <c r="I13" s="265">
        <f t="shared" si="6"/>
        <v>236.3955263</v>
      </c>
      <c r="J13" s="214">
        <v>11.0</v>
      </c>
      <c r="K13" s="57">
        <f>0.5+17.5</f>
        <v>18</v>
      </c>
      <c r="L13" s="214">
        <v>23.0</v>
      </c>
      <c r="M13" s="57">
        <f t="shared" si="7"/>
        <v>52</v>
      </c>
      <c r="N13" s="204">
        <v>5.0</v>
      </c>
      <c r="O13" s="204" t="s">
        <v>47</v>
      </c>
      <c r="P13" s="213">
        <v>6000.0</v>
      </c>
      <c r="Q13" s="213">
        <f>2063.17+861-268.49</f>
        <v>2655.68</v>
      </c>
      <c r="R13" s="51">
        <f t="shared" si="8"/>
        <v>-3344.32</v>
      </c>
      <c r="S13" s="217">
        <v>26.0</v>
      </c>
      <c r="T13" s="291">
        <f t="shared" si="9"/>
        <v>102.1415385</v>
      </c>
      <c r="U13" s="214">
        <v>8.0</v>
      </c>
      <c r="V13" s="57">
        <f>2+12</f>
        <v>14</v>
      </c>
      <c r="W13" s="214">
        <v>3.0</v>
      </c>
      <c r="X13" s="57">
        <f t="shared" si="10"/>
        <v>25</v>
      </c>
      <c r="Y13" s="331"/>
      <c r="Z13" s="331"/>
      <c r="AA13" s="167">
        <f t="shared" ref="AA13:AB13" si="11">SUM(AA6:AA12)</f>
        <v>60351.0825</v>
      </c>
      <c r="AB13" s="167">
        <f t="shared" si="11"/>
        <v>68546.17</v>
      </c>
      <c r="AC13" s="61"/>
      <c r="AD13" s="167">
        <f t="shared" ref="AD13:AE13" si="12">SUM(AD6:AD12)</f>
        <v>62791.98</v>
      </c>
      <c r="AE13" s="167">
        <f t="shared" si="12"/>
        <v>69649.96</v>
      </c>
      <c r="AF13" s="61"/>
      <c r="AG13" s="331"/>
      <c r="AH13" s="167">
        <f t="shared" ref="AH13:AI13" si="13">SUM(AH6:AH12)</f>
        <v>72213.33</v>
      </c>
      <c r="AI13" s="167">
        <f t="shared" si="13"/>
        <v>83978.88253</v>
      </c>
      <c r="AJ13" s="61"/>
      <c r="AK13" s="167">
        <f t="shared" ref="AK13:AL13" si="14">SUM(AK6:AK12)</f>
        <v>56545.19</v>
      </c>
      <c r="AL13" s="167">
        <f t="shared" si="14"/>
        <v>64116.12931</v>
      </c>
    </row>
    <row r="14" ht="15.75" customHeight="1">
      <c r="A14" s="8"/>
      <c r="B14" s="8"/>
      <c r="C14" s="147">
        <v>6.0</v>
      </c>
      <c r="D14" s="147" t="s">
        <v>205</v>
      </c>
      <c r="E14" s="209">
        <v>13000.0</v>
      </c>
      <c r="F14" s="209">
        <f>10476-231</f>
        <v>10245</v>
      </c>
      <c r="G14" s="51">
        <f t="shared" si="5"/>
        <v>-2755</v>
      </c>
      <c r="H14" s="210">
        <v>43.0</v>
      </c>
      <c r="I14" s="265">
        <f t="shared" si="6"/>
        <v>238.255814</v>
      </c>
      <c r="J14" s="214">
        <v>5.0</v>
      </c>
      <c r="K14" s="57">
        <f>2+19</f>
        <v>21</v>
      </c>
      <c r="L14" s="214">
        <v>29.0</v>
      </c>
      <c r="M14" s="57">
        <f t="shared" si="7"/>
        <v>55</v>
      </c>
      <c r="N14" s="204">
        <v>6.0</v>
      </c>
      <c r="O14" s="204" t="s">
        <v>205</v>
      </c>
      <c r="P14" s="213">
        <v>9000.0</v>
      </c>
      <c r="Q14" s="213">
        <f>5932.2+4581.91-829.71</f>
        <v>9684.4</v>
      </c>
      <c r="R14" s="51">
        <f t="shared" si="8"/>
        <v>684.4</v>
      </c>
      <c r="S14" s="217">
        <v>67.0</v>
      </c>
      <c r="T14" s="291">
        <f t="shared" si="9"/>
        <v>144.5432836</v>
      </c>
      <c r="U14" s="214">
        <v>17.0</v>
      </c>
      <c r="V14" s="57">
        <f>9.5+48.5</f>
        <v>58</v>
      </c>
      <c r="W14" s="214">
        <v>8.0</v>
      </c>
      <c r="X14" s="57">
        <f t="shared" si="10"/>
        <v>83</v>
      </c>
      <c r="Y14" s="331"/>
      <c r="Z14" s="331"/>
      <c r="AA14" s="331"/>
      <c r="AB14" s="66">
        <f>AB13/AA13-1</f>
        <v>0.1357902321</v>
      </c>
      <c r="AC14" s="331"/>
      <c r="AD14" s="331"/>
      <c r="AE14" s="66">
        <f>AE13/AD13-1</f>
        <v>0.109217451</v>
      </c>
      <c r="AF14" s="331"/>
      <c r="AG14" s="331"/>
      <c r="AH14" s="331"/>
      <c r="AI14" s="66">
        <f>AI13/AH13-1</f>
        <v>0.1629277105</v>
      </c>
      <c r="AJ14" s="331"/>
      <c r="AK14" s="331"/>
      <c r="AL14" s="66">
        <f>AL13/AK13-1</f>
        <v>0.133891836</v>
      </c>
    </row>
    <row r="15" ht="15.75" customHeight="1">
      <c r="A15" s="8"/>
      <c r="B15" s="8"/>
      <c r="C15" s="147">
        <v>7.0</v>
      </c>
      <c r="D15" s="147" t="s">
        <v>171</v>
      </c>
      <c r="E15" s="209">
        <v>23000.0</v>
      </c>
      <c r="F15" s="209">
        <f>17321</f>
        <v>17321</v>
      </c>
      <c r="G15" s="51">
        <f t="shared" si="5"/>
        <v>-5679</v>
      </c>
      <c r="H15" s="210">
        <v>85.0</v>
      </c>
      <c r="I15" s="265">
        <f t="shared" si="6"/>
        <v>203.7764706</v>
      </c>
      <c r="J15" s="214">
        <v>23.0</v>
      </c>
      <c r="K15" s="57">
        <f>3+35</f>
        <v>38</v>
      </c>
      <c r="L15" s="214">
        <v>36.0</v>
      </c>
      <c r="M15" s="57">
        <f t="shared" si="7"/>
        <v>97</v>
      </c>
      <c r="N15" s="204">
        <v>7.0</v>
      </c>
      <c r="O15" s="204" t="s">
        <v>171</v>
      </c>
      <c r="P15" s="213">
        <v>14000.0</v>
      </c>
      <c r="Q15" s="213">
        <f>9489.52+555.5+7010.47-1283.21</f>
        <v>15772.28</v>
      </c>
      <c r="R15" s="51">
        <f t="shared" si="8"/>
        <v>1772.28</v>
      </c>
      <c r="S15" s="217">
        <v>91.0</v>
      </c>
      <c r="T15" s="291">
        <f t="shared" si="9"/>
        <v>173.3217582</v>
      </c>
      <c r="U15" s="214">
        <v>29.0</v>
      </c>
      <c r="V15" s="57">
        <f>13+55</f>
        <v>68</v>
      </c>
      <c r="W15" s="214">
        <v>26.0</v>
      </c>
      <c r="X15" s="57">
        <f t="shared" si="10"/>
        <v>123</v>
      </c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</row>
    <row r="16" ht="15.75" customHeight="1">
      <c r="A16" s="8"/>
      <c r="B16" s="8"/>
      <c r="C16" s="147">
        <v>8.0</v>
      </c>
      <c r="D16" s="147" t="s">
        <v>44</v>
      </c>
      <c r="E16" s="209">
        <v>20000.0</v>
      </c>
      <c r="F16" s="209">
        <f>20318.25</f>
        <v>20318.25</v>
      </c>
      <c r="G16" s="51">
        <f t="shared" si="5"/>
        <v>318.25</v>
      </c>
      <c r="H16" s="210">
        <v>93.0</v>
      </c>
      <c r="I16" s="265">
        <f t="shared" si="6"/>
        <v>218.4758065</v>
      </c>
      <c r="J16" s="214">
        <v>28.0</v>
      </c>
      <c r="K16" s="57">
        <f>9+50</f>
        <v>59</v>
      </c>
      <c r="L16" s="214">
        <v>35.0</v>
      </c>
      <c r="M16" s="57">
        <f t="shared" si="7"/>
        <v>122</v>
      </c>
      <c r="N16" s="204">
        <v>8.0</v>
      </c>
      <c r="O16" s="204" t="s">
        <v>44</v>
      </c>
      <c r="P16" s="213">
        <v>18000.0</v>
      </c>
      <c r="Q16" s="213">
        <f>15718.13+2286.5+5592.27-1761.42</f>
        <v>21835.48</v>
      </c>
      <c r="R16" s="51">
        <f t="shared" si="8"/>
        <v>3835.48</v>
      </c>
      <c r="S16" s="217">
        <v>149.0</v>
      </c>
      <c r="T16" s="291">
        <f t="shared" si="9"/>
        <v>146.5468456</v>
      </c>
      <c r="U16" s="214">
        <v>40.0</v>
      </c>
      <c r="V16" s="57">
        <f>10.5+74.5</f>
        <v>85</v>
      </c>
      <c r="W16" s="214">
        <v>40.0</v>
      </c>
      <c r="X16" s="57">
        <f t="shared" si="10"/>
        <v>165</v>
      </c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31"/>
      <c r="AK16" s="331"/>
      <c r="AL16" s="331"/>
    </row>
    <row r="17" ht="15.75" customHeight="1">
      <c r="A17" s="8"/>
      <c r="B17" s="8"/>
      <c r="C17" s="147">
        <v>9.0</v>
      </c>
      <c r="D17" s="147" t="s">
        <v>45</v>
      </c>
      <c r="E17" s="209"/>
      <c r="F17" s="209"/>
      <c r="G17" s="51"/>
      <c r="H17" s="290"/>
      <c r="I17" s="265"/>
      <c r="J17" s="57"/>
      <c r="K17" s="57"/>
      <c r="L17" s="57"/>
      <c r="M17" s="57"/>
      <c r="N17" s="204">
        <v>9.0</v>
      </c>
      <c r="O17" s="204" t="s">
        <v>45</v>
      </c>
      <c r="P17" s="213"/>
      <c r="Q17" s="213"/>
      <c r="R17" s="51"/>
      <c r="S17" s="291"/>
      <c r="T17" s="291"/>
      <c r="U17" s="57"/>
      <c r="V17" s="57"/>
      <c r="W17" s="57"/>
      <c r="X17" s="57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31"/>
      <c r="AK17" s="331"/>
      <c r="AL17" s="331"/>
    </row>
    <row r="18" ht="15.75" customHeight="1">
      <c r="A18" s="8"/>
      <c r="B18" s="8"/>
      <c r="C18" s="147">
        <v>10.0</v>
      </c>
      <c r="D18" s="147" t="s">
        <v>46</v>
      </c>
      <c r="E18" s="209">
        <v>6000.0</v>
      </c>
      <c r="F18" s="341">
        <v>6246.25</v>
      </c>
      <c r="G18" s="51">
        <f t="shared" ref="G18:G39" si="15">F18-E18</f>
        <v>246.25</v>
      </c>
      <c r="H18" s="210">
        <v>23.0</v>
      </c>
      <c r="I18" s="265">
        <f t="shared" ref="I18:I39" si="16">F18/H18</f>
        <v>271.576087</v>
      </c>
      <c r="J18" s="214">
        <v>9.0</v>
      </c>
      <c r="K18" s="57">
        <f>1.5+19.5</f>
        <v>21</v>
      </c>
      <c r="L18" s="214">
        <v>8.0</v>
      </c>
      <c r="M18" s="57">
        <f t="shared" ref="M18:M39" si="17">J18+K18+L18</f>
        <v>38</v>
      </c>
      <c r="N18" s="204">
        <v>10.0</v>
      </c>
      <c r="O18" s="204" t="s">
        <v>46</v>
      </c>
      <c r="P18" s="213">
        <v>6000.0</v>
      </c>
      <c r="Q18" s="213">
        <f>2921.5+2004.52-447.35</f>
        <v>4478.67</v>
      </c>
      <c r="R18" s="51">
        <f t="shared" ref="R18:R39" si="18">Q18-P18</f>
        <v>-1521.33</v>
      </c>
      <c r="S18" s="217">
        <v>32.0</v>
      </c>
      <c r="T18" s="291">
        <f t="shared" ref="T18:T39" si="19">Q18/S18</f>
        <v>139.9584375</v>
      </c>
      <c r="U18" s="214">
        <v>9.0</v>
      </c>
      <c r="V18" s="57">
        <f>2.5+15.5</f>
        <v>18</v>
      </c>
      <c r="W18" s="214">
        <v>7.0</v>
      </c>
      <c r="X18" s="57">
        <f t="shared" ref="X18:X39" si="20">U18+V18+W18</f>
        <v>34</v>
      </c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</row>
    <row r="19" ht="15.75" customHeight="1">
      <c r="A19" s="8"/>
      <c r="B19" s="8"/>
      <c r="C19" s="147">
        <v>11.0</v>
      </c>
      <c r="D19" s="147" t="s">
        <v>40</v>
      </c>
      <c r="E19" s="209">
        <v>6000.0</v>
      </c>
      <c r="F19" s="341">
        <v>3576.0</v>
      </c>
      <c r="G19" s="51">
        <f t="shared" si="15"/>
        <v>-2424</v>
      </c>
      <c r="H19" s="210">
        <v>18.0</v>
      </c>
      <c r="I19" s="265">
        <f t="shared" si="16"/>
        <v>198.6666667</v>
      </c>
      <c r="J19" s="214">
        <v>10.0</v>
      </c>
      <c r="K19" s="57">
        <f>1+5</f>
        <v>6</v>
      </c>
      <c r="L19" s="214">
        <v>7.0</v>
      </c>
      <c r="M19" s="57">
        <f t="shared" si="17"/>
        <v>23</v>
      </c>
      <c r="N19" s="204">
        <v>11.0</v>
      </c>
      <c r="O19" s="204" t="s">
        <v>40</v>
      </c>
      <c r="P19" s="213">
        <v>6000.0</v>
      </c>
      <c r="Q19" s="213">
        <f>3156.11+1682.99-394.38</f>
        <v>4444.72</v>
      </c>
      <c r="R19" s="51">
        <f t="shared" si="18"/>
        <v>-1555.28</v>
      </c>
      <c r="S19" s="217">
        <v>29.0</v>
      </c>
      <c r="T19" s="291">
        <f t="shared" si="19"/>
        <v>153.2662069</v>
      </c>
      <c r="U19" s="214">
        <v>8.0</v>
      </c>
      <c r="V19" s="57">
        <f>4.5+17.5</f>
        <v>22</v>
      </c>
      <c r="W19" s="214">
        <v>3.0</v>
      </c>
      <c r="X19" s="57">
        <f t="shared" si="20"/>
        <v>33</v>
      </c>
      <c r="Y19" s="331"/>
      <c r="Z19" s="331"/>
      <c r="AA19" s="331"/>
      <c r="AB19" s="70"/>
      <c r="AC19" s="72" t="s">
        <v>52</v>
      </c>
      <c r="AD19" s="72"/>
      <c r="AE19" s="352" t="s">
        <v>53</v>
      </c>
      <c r="AF19" s="331"/>
      <c r="AG19" s="331"/>
      <c r="AH19" s="331"/>
      <c r="AI19" s="14"/>
      <c r="AJ19" s="61"/>
      <c r="AK19" s="14"/>
      <c r="AL19" s="14"/>
    </row>
    <row r="20" ht="15.75" customHeight="1">
      <c r="A20" s="8"/>
      <c r="B20" s="8"/>
      <c r="C20" s="147">
        <v>12.0</v>
      </c>
      <c r="D20" s="147" t="s">
        <v>47</v>
      </c>
      <c r="E20" s="209">
        <v>7000.0</v>
      </c>
      <c r="F20" s="341">
        <v>9198.0</v>
      </c>
      <c r="G20" s="51">
        <f t="shared" si="15"/>
        <v>2198</v>
      </c>
      <c r="H20" s="210">
        <v>37.0</v>
      </c>
      <c r="I20" s="265">
        <f t="shared" si="16"/>
        <v>248.5945946</v>
      </c>
      <c r="J20" s="214">
        <v>4.0</v>
      </c>
      <c r="K20" s="57">
        <f>1+20</f>
        <v>21</v>
      </c>
      <c r="L20" s="214">
        <v>22.0</v>
      </c>
      <c r="M20" s="57">
        <f t="shared" si="17"/>
        <v>47</v>
      </c>
      <c r="N20" s="204">
        <v>12.0</v>
      </c>
      <c r="O20" s="204" t="s">
        <v>47</v>
      </c>
      <c r="P20" s="213">
        <v>6000.0</v>
      </c>
      <c r="Q20" s="213">
        <f>3275.76+160+1942.41+289-493.32</f>
        <v>5173.85</v>
      </c>
      <c r="R20" s="51">
        <f t="shared" si="18"/>
        <v>-826.15</v>
      </c>
      <c r="S20" s="217">
        <v>35.0</v>
      </c>
      <c r="T20" s="291">
        <f t="shared" si="19"/>
        <v>147.8242857</v>
      </c>
      <c r="U20" s="214">
        <v>11.0</v>
      </c>
      <c r="V20" s="57">
        <f>2.5+17.5</f>
        <v>20</v>
      </c>
      <c r="W20" s="214">
        <v>8.0</v>
      </c>
      <c r="X20" s="57">
        <f t="shared" si="20"/>
        <v>39</v>
      </c>
      <c r="Y20" s="331"/>
      <c r="Z20" s="331"/>
      <c r="AA20" s="331"/>
      <c r="AB20" s="74" t="s">
        <v>29</v>
      </c>
      <c r="AC20" s="75">
        <v>350000.0</v>
      </c>
      <c r="AD20" s="2" t="s">
        <v>29</v>
      </c>
      <c r="AE20" s="76">
        <v>280000.0</v>
      </c>
      <c r="AF20" s="331"/>
      <c r="AG20" s="331"/>
      <c r="AH20" s="331"/>
      <c r="AI20" s="14"/>
      <c r="AJ20" s="61"/>
      <c r="AK20" s="61"/>
      <c r="AL20" s="66"/>
    </row>
    <row r="21" ht="15.75" customHeight="1">
      <c r="A21" s="8"/>
      <c r="B21" s="8"/>
      <c r="C21" s="147">
        <v>13.0</v>
      </c>
      <c r="D21" s="147" t="s">
        <v>205</v>
      </c>
      <c r="E21" s="209">
        <v>13000.0</v>
      </c>
      <c r="F21" s="209">
        <f>13427-231</f>
        <v>13196</v>
      </c>
      <c r="G21" s="51">
        <f t="shared" si="15"/>
        <v>196</v>
      </c>
      <c r="H21" s="210">
        <v>55.0</v>
      </c>
      <c r="I21" s="265">
        <f t="shared" si="16"/>
        <v>239.9272727</v>
      </c>
      <c r="J21" s="214">
        <v>15.0</v>
      </c>
      <c r="K21" s="57">
        <f>4.5+29.5</f>
        <v>34</v>
      </c>
      <c r="L21" s="214">
        <v>27.0</v>
      </c>
      <c r="M21" s="57">
        <f t="shared" si="17"/>
        <v>76</v>
      </c>
      <c r="N21" s="204">
        <v>13.0</v>
      </c>
      <c r="O21" s="204" t="s">
        <v>205</v>
      </c>
      <c r="P21" s="213">
        <v>9000.0</v>
      </c>
      <c r="Q21" s="213">
        <f>6149.36+93.5+3742.77-864.91</f>
        <v>9120.72</v>
      </c>
      <c r="R21" s="51">
        <f t="shared" si="18"/>
        <v>120.72</v>
      </c>
      <c r="S21" s="217">
        <v>62.0</v>
      </c>
      <c r="T21" s="291">
        <f t="shared" si="19"/>
        <v>147.1083871</v>
      </c>
      <c r="U21" s="214">
        <v>25.0</v>
      </c>
      <c r="V21" s="57">
        <f>3.5+28.5</f>
        <v>32</v>
      </c>
      <c r="W21" s="214">
        <v>17.0</v>
      </c>
      <c r="X21" s="57">
        <f t="shared" si="20"/>
        <v>74</v>
      </c>
      <c r="Y21" s="331"/>
      <c r="Z21" s="331"/>
      <c r="AA21" s="331"/>
      <c r="AB21" s="74"/>
      <c r="AC21" s="2"/>
      <c r="AD21" s="2"/>
      <c r="AE21" s="77"/>
      <c r="AF21" s="331"/>
      <c r="AG21" s="331"/>
      <c r="AH21" s="331"/>
      <c r="AI21" s="353"/>
      <c r="AJ21" s="353"/>
      <c r="AK21" s="216"/>
      <c r="AL21" s="216"/>
    </row>
    <row r="22" ht="15.75" customHeight="1">
      <c r="A22" s="8"/>
      <c r="B22" s="8"/>
      <c r="C22" s="147">
        <v>14.0</v>
      </c>
      <c r="D22" s="147" t="s">
        <v>171</v>
      </c>
      <c r="E22" s="209">
        <v>23000.0</v>
      </c>
      <c r="F22" s="341">
        <v>20084.0</v>
      </c>
      <c r="G22" s="51">
        <f t="shared" si="15"/>
        <v>-2916</v>
      </c>
      <c r="H22" s="210">
        <v>81.0</v>
      </c>
      <c r="I22" s="265">
        <f t="shared" si="16"/>
        <v>247.9506173</v>
      </c>
      <c r="J22" s="214">
        <v>29.0</v>
      </c>
      <c r="K22" s="57">
        <f>9+43</f>
        <v>52</v>
      </c>
      <c r="L22" s="214">
        <v>36.0</v>
      </c>
      <c r="M22" s="57">
        <f t="shared" si="17"/>
        <v>117</v>
      </c>
      <c r="N22" s="204">
        <v>14.0</v>
      </c>
      <c r="O22" s="204" t="s">
        <v>171</v>
      </c>
      <c r="P22" s="213">
        <v>14000.0</v>
      </c>
      <c r="Q22" s="213">
        <f>266.98+9132.31+3904.22-1091.31</f>
        <v>12212.2</v>
      </c>
      <c r="R22" s="51">
        <f t="shared" si="18"/>
        <v>-1787.8</v>
      </c>
      <c r="S22" s="217">
        <v>76.0</v>
      </c>
      <c r="T22" s="291">
        <f t="shared" si="19"/>
        <v>160.6868421</v>
      </c>
      <c r="U22" s="214">
        <v>21.0</v>
      </c>
      <c r="V22" s="57">
        <f>14+41</f>
        <v>55</v>
      </c>
      <c r="W22" s="214">
        <v>19.0</v>
      </c>
      <c r="X22" s="57">
        <f t="shared" si="20"/>
        <v>95</v>
      </c>
      <c r="Y22" s="331"/>
      <c r="Z22" s="331"/>
      <c r="AA22" s="331"/>
      <c r="AB22" s="74" t="s">
        <v>58</v>
      </c>
      <c r="AC22" s="75">
        <f>SUM(F9:F15)</f>
        <v>68849.86</v>
      </c>
      <c r="AD22" s="331" t="s">
        <v>58</v>
      </c>
      <c r="AE22" s="76">
        <f>SUM(Q9:Q15)</f>
        <v>57955.29</v>
      </c>
      <c r="AF22" s="331"/>
      <c r="AG22" s="331"/>
      <c r="AH22" s="331"/>
      <c r="AI22" s="4"/>
      <c r="AJ22" s="14"/>
      <c r="AK22" s="61"/>
      <c r="AL22" s="64"/>
    </row>
    <row r="23" ht="15.75" customHeight="1">
      <c r="A23" s="8"/>
      <c r="B23" s="8"/>
      <c r="C23" s="147">
        <v>15.0</v>
      </c>
      <c r="D23" s="147" t="s">
        <v>44</v>
      </c>
      <c r="E23" s="209">
        <v>20000.0</v>
      </c>
      <c r="F23" s="341">
        <v>17354.3</v>
      </c>
      <c r="G23" s="51">
        <f t="shared" si="15"/>
        <v>-2645.7</v>
      </c>
      <c r="H23" s="210">
        <v>77.0</v>
      </c>
      <c r="I23" s="265">
        <f t="shared" si="16"/>
        <v>225.3805195</v>
      </c>
      <c r="J23" s="214">
        <v>19.0</v>
      </c>
      <c r="K23" s="57">
        <f>7+40</f>
        <v>47</v>
      </c>
      <c r="L23" s="214">
        <v>36.0</v>
      </c>
      <c r="M23" s="57">
        <f t="shared" si="17"/>
        <v>102</v>
      </c>
      <c r="N23" s="204">
        <v>15.0</v>
      </c>
      <c r="O23" s="204" t="s">
        <v>44</v>
      </c>
      <c r="P23" s="213">
        <v>18000.0</v>
      </c>
      <c r="Q23" s="213">
        <f>15323.45+8113.37-1828.13</f>
        <v>21608.69</v>
      </c>
      <c r="R23" s="51">
        <f t="shared" si="18"/>
        <v>3608.69</v>
      </c>
      <c r="S23" s="217">
        <v>130.0</v>
      </c>
      <c r="T23" s="291">
        <f t="shared" si="19"/>
        <v>166.2206923</v>
      </c>
      <c r="U23" s="214">
        <v>35.0</v>
      </c>
      <c r="V23" s="57">
        <f>17+72</f>
        <v>89</v>
      </c>
      <c r="W23" s="214">
        <v>41.0</v>
      </c>
      <c r="X23" s="57">
        <f t="shared" si="20"/>
        <v>165</v>
      </c>
      <c r="Y23" s="331"/>
      <c r="Z23" s="331"/>
      <c r="AA23" s="331"/>
      <c r="AB23" s="74"/>
      <c r="AC23" s="79">
        <f>AC22/AC20</f>
        <v>0.1967138857</v>
      </c>
      <c r="AD23" s="331"/>
      <c r="AE23" s="80">
        <f>AE22/AE20</f>
        <v>0.2069831786</v>
      </c>
      <c r="AF23" s="66"/>
      <c r="AG23" s="331"/>
      <c r="AH23" s="331"/>
      <c r="AI23" s="14"/>
      <c r="AJ23" s="14"/>
      <c r="AK23" s="61"/>
      <c r="AL23" s="64"/>
    </row>
    <row r="24" ht="15.75" customHeight="1">
      <c r="A24" s="8"/>
      <c r="B24" s="8"/>
      <c r="C24" s="147">
        <v>16.0</v>
      </c>
      <c r="D24" s="147" t="s">
        <v>45</v>
      </c>
      <c r="E24" s="209">
        <v>6000.0</v>
      </c>
      <c r="F24" s="341">
        <v>2843.0</v>
      </c>
      <c r="G24" s="51">
        <f t="shared" si="15"/>
        <v>-3157</v>
      </c>
      <c r="H24" s="210">
        <v>8.0</v>
      </c>
      <c r="I24" s="265">
        <f t="shared" si="16"/>
        <v>355.375</v>
      </c>
      <c r="J24" s="214">
        <v>3.0</v>
      </c>
      <c r="K24" s="57">
        <f>7</f>
        <v>7</v>
      </c>
      <c r="L24" s="214">
        <v>5.0</v>
      </c>
      <c r="M24" s="57">
        <f t="shared" si="17"/>
        <v>15</v>
      </c>
      <c r="N24" s="204">
        <v>16.0</v>
      </c>
      <c r="O24" s="204" t="s">
        <v>45</v>
      </c>
      <c r="P24" s="213">
        <v>5000.0</v>
      </c>
      <c r="Q24" s="213">
        <f>951.01+2842.1-247.82</f>
        <v>3545.29</v>
      </c>
      <c r="R24" s="51">
        <f t="shared" si="18"/>
        <v>-1454.71</v>
      </c>
      <c r="S24" s="217">
        <v>21.0</v>
      </c>
      <c r="T24" s="291">
        <f t="shared" si="19"/>
        <v>168.8233333</v>
      </c>
      <c r="U24" s="214">
        <v>6.0</v>
      </c>
      <c r="V24" s="57">
        <f>3+10</f>
        <v>13</v>
      </c>
      <c r="W24" s="214">
        <v>6.0</v>
      </c>
      <c r="X24" s="57">
        <f t="shared" si="20"/>
        <v>25</v>
      </c>
      <c r="Y24" s="331"/>
      <c r="Z24" s="331"/>
      <c r="AA24" s="331"/>
      <c r="AB24" s="74"/>
      <c r="AC24" s="81"/>
      <c r="AD24" s="331"/>
      <c r="AE24" s="77"/>
      <c r="AF24" s="331"/>
      <c r="AG24" s="331"/>
      <c r="AH24" s="331"/>
      <c r="AI24" s="4"/>
      <c r="AJ24" s="14"/>
      <c r="AK24" s="61"/>
      <c r="AL24" s="64"/>
    </row>
    <row r="25" ht="15.75" customHeight="1">
      <c r="A25" s="8"/>
      <c r="B25" s="8"/>
      <c r="C25" s="147">
        <v>17.0</v>
      </c>
      <c r="D25" s="147" t="s">
        <v>46</v>
      </c>
      <c r="E25" s="209">
        <v>6000.0</v>
      </c>
      <c r="F25" s="341">
        <v>2455.6</v>
      </c>
      <c r="G25" s="51">
        <f t="shared" si="15"/>
        <v>-3544.4</v>
      </c>
      <c r="H25" s="210">
        <v>11.0</v>
      </c>
      <c r="I25" s="265">
        <f t="shared" si="16"/>
        <v>223.2363636</v>
      </c>
      <c r="J25" s="214">
        <v>3.0</v>
      </c>
      <c r="K25" s="57">
        <f>0.5+3.5</f>
        <v>4</v>
      </c>
      <c r="L25" s="214">
        <v>6.0</v>
      </c>
      <c r="M25" s="57">
        <f t="shared" si="17"/>
        <v>13</v>
      </c>
      <c r="N25" s="204">
        <v>17.0</v>
      </c>
      <c r="O25" s="204" t="s">
        <v>46</v>
      </c>
      <c r="P25" s="213">
        <v>6000.0</v>
      </c>
      <c r="Q25" s="213">
        <f>1879.89+134+1093.02-265.55</f>
        <v>2841.36</v>
      </c>
      <c r="R25" s="51">
        <f t="shared" si="18"/>
        <v>-3158.64</v>
      </c>
      <c r="S25" s="217">
        <v>20.0</v>
      </c>
      <c r="T25" s="291">
        <f t="shared" si="19"/>
        <v>142.068</v>
      </c>
      <c r="U25" s="214">
        <v>6.0</v>
      </c>
      <c r="V25" s="57">
        <f>4+9</f>
        <v>13</v>
      </c>
      <c r="W25" s="214">
        <v>9.0</v>
      </c>
      <c r="X25" s="57">
        <f t="shared" si="20"/>
        <v>28</v>
      </c>
      <c r="Y25" s="331"/>
      <c r="Z25" s="331"/>
      <c r="AA25" s="331"/>
      <c r="AB25" s="74" t="s">
        <v>62</v>
      </c>
      <c r="AC25" s="75">
        <f>SUM(F16:F22)</f>
        <v>72618.5</v>
      </c>
      <c r="AD25" s="331" t="s">
        <v>62</v>
      </c>
      <c r="AE25" s="76">
        <f>SUM(Q16:Q22)</f>
        <v>57265.64</v>
      </c>
      <c r="AF25" s="331"/>
      <c r="AG25" s="331"/>
      <c r="AH25" s="331"/>
      <c r="AI25" s="14"/>
      <c r="AJ25" s="14"/>
      <c r="AK25" s="61"/>
      <c r="AL25" s="64"/>
    </row>
    <row r="26" ht="15.75" customHeight="1">
      <c r="A26" s="8"/>
      <c r="B26" s="8"/>
      <c r="C26" s="147">
        <v>18.0</v>
      </c>
      <c r="D26" s="147" t="s">
        <v>40</v>
      </c>
      <c r="E26" s="209">
        <v>6000.0</v>
      </c>
      <c r="F26" s="341">
        <v>5278.3</v>
      </c>
      <c r="G26" s="51">
        <f t="shared" si="15"/>
        <v>-721.7</v>
      </c>
      <c r="H26" s="210">
        <v>20.0</v>
      </c>
      <c r="I26" s="265">
        <f t="shared" si="16"/>
        <v>263.915</v>
      </c>
      <c r="J26" s="214">
        <v>6.0</v>
      </c>
      <c r="K26" s="57">
        <f>2+7</f>
        <v>9</v>
      </c>
      <c r="L26" s="214">
        <v>11.0</v>
      </c>
      <c r="M26" s="57">
        <f t="shared" si="17"/>
        <v>26</v>
      </c>
      <c r="N26" s="204">
        <v>18.0</v>
      </c>
      <c r="O26" s="204" t="s">
        <v>40</v>
      </c>
      <c r="P26" s="213">
        <v>6000.0</v>
      </c>
      <c r="Q26" s="213">
        <f>1841.91+2830.58-395.56</f>
        <v>4276.93</v>
      </c>
      <c r="R26" s="51">
        <f t="shared" si="18"/>
        <v>-1723.07</v>
      </c>
      <c r="S26" s="217">
        <v>26.0</v>
      </c>
      <c r="T26" s="291">
        <f t="shared" si="19"/>
        <v>164.4973077</v>
      </c>
      <c r="U26" s="214">
        <v>9.0</v>
      </c>
      <c r="V26" s="57">
        <f>2.5+18.5</f>
        <v>21</v>
      </c>
      <c r="W26" s="214">
        <v>4.0</v>
      </c>
      <c r="X26" s="57">
        <f t="shared" si="20"/>
        <v>34</v>
      </c>
      <c r="Y26" s="331"/>
      <c r="Z26" s="331"/>
      <c r="AA26" s="331"/>
      <c r="AB26" s="74"/>
      <c r="AC26" s="79">
        <f>AC25/AC20</f>
        <v>0.2074814286</v>
      </c>
      <c r="AD26" s="331"/>
      <c r="AE26" s="80">
        <f>AE25/AE20</f>
        <v>0.2045201429</v>
      </c>
      <c r="AF26" s="331"/>
      <c r="AG26" s="331"/>
      <c r="AH26" s="331"/>
      <c r="AI26" s="4"/>
      <c r="AJ26" s="14"/>
      <c r="AK26" s="61"/>
      <c r="AL26" s="64"/>
    </row>
    <row r="27" ht="15.75" customHeight="1">
      <c r="A27" s="8"/>
      <c r="B27" s="8"/>
      <c r="C27" s="147">
        <v>19.0</v>
      </c>
      <c r="D27" s="147" t="s">
        <v>47</v>
      </c>
      <c r="E27" s="209">
        <v>7000.0</v>
      </c>
      <c r="F27" s="341">
        <v>7533.5</v>
      </c>
      <c r="G27" s="51">
        <f t="shared" si="15"/>
        <v>533.5</v>
      </c>
      <c r="H27" s="210">
        <v>23.0</v>
      </c>
      <c r="I27" s="265">
        <f t="shared" si="16"/>
        <v>327.5434783</v>
      </c>
      <c r="J27" s="214">
        <v>6.0</v>
      </c>
      <c r="K27" s="57">
        <f>2+14</f>
        <v>16</v>
      </c>
      <c r="L27" s="214">
        <v>19.0</v>
      </c>
      <c r="M27" s="57">
        <f t="shared" si="17"/>
        <v>41</v>
      </c>
      <c r="N27" s="204">
        <v>19.0</v>
      </c>
      <c r="O27" s="204" t="s">
        <v>47</v>
      </c>
      <c r="P27" s="213">
        <v>6000.0</v>
      </c>
      <c r="Q27" s="213">
        <f>2079.72+2653.02-307.51</f>
        <v>4425.23</v>
      </c>
      <c r="R27" s="51">
        <f t="shared" si="18"/>
        <v>-1574.77</v>
      </c>
      <c r="S27" s="217">
        <v>24.0</v>
      </c>
      <c r="T27" s="291">
        <f t="shared" si="19"/>
        <v>184.3845833</v>
      </c>
      <c r="U27" s="214">
        <v>6.0</v>
      </c>
      <c r="V27" s="57">
        <f>3.5+19.5</f>
        <v>23</v>
      </c>
      <c r="W27" s="214">
        <v>6.0</v>
      </c>
      <c r="X27" s="57">
        <f t="shared" si="20"/>
        <v>35</v>
      </c>
      <c r="Y27" s="331"/>
      <c r="Z27" s="331"/>
      <c r="AA27" s="331"/>
      <c r="AB27" s="74"/>
      <c r="AC27" s="81"/>
      <c r="AD27" s="331"/>
      <c r="AE27" s="77"/>
      <c r="AF27" s="331"/>
      <c r="AG27" s="331"/>
      <c r="AH27" s="331"/>
      <c r="AI27" s="14"/>
      <c r="AJ27" s="14"/>
      <c r="AK27" s="61"/>
      <c r="AL27" s="64"/>
    </row>
    <row r="28" ht="15.75" customHeight="1">
      <c r="A28" s="8"/>
      <c r="B28" s="8"/>
      <c r="C28" s="147">
        <v>20.0</v>
      </c>
      <c r="D28" s="147" t="s">
        <v>205</v>
      </c>
      <c r="E28" s="209">
        <v>13000.0</v>
      </c>
      <c r="F28" s="341">
        <f>15137.2-322</f>
        <v>14815.2</v>
      </c>
      <c r="G28" s="51">
        <f t="shared" si="15"/>
        <v>1815.2</v>
      </c>
      <c r="H28" s="210">
        <v>57.0</v>
      </c>
      <c r="I28" s="265">
        <f t="shared" si="16"/>
        <v>259.9157895</v>
      </c>
      <c r="J28" s="214">
        <v>15.0</v>
      </c>
      <c r="K28" s="57">
        <f>3.5+27.5</f>
        <v>31</v>
      </c>
      <c r="L28" s="214">
        <v>35.0</v>
      </c>
      <c r="M28" s="57">
        <f t="shared" si="17"/>
        <v>81</v>
      </c>
      <c r="N28" s="204">
        <v>20.0</v>
      </c>
      <c r="O28" s="204" t="s">
        <v>205</v>
      </c>
      <c r="P28" s="213">
        <v>9000.0</v>
      </c>
      <c r="Q28" s="213">
        <f>8820.75+81+5550.02</f>
        <v>14451.77</v>
      </c>
      <c r="R28" s="51">
        <f t="shared" si="18"/>
        <v>5451.77</v>
      </c>
      <c r="S28" s="217">
        <v>79.0</v>
      </c>
      <c r="T28" s="291">
        <f t="shared" si="19"/>
        <v>182.9337975</v>
      </c>
      <c r="U28" s="214">
        <v>24.0</v>
      </c>
      <c r="V28" s="57">
        <f>19.5+60.5</f>
        <v>80</v>
      </c>
      <c r="W28" s="214">
        <v>14.0</v>
      </c>
      <c r="X28" s="57">
        <f t="shared" si="20"/>
        <v>118</v>
      </c>
      <c r="Y28" s="331"/>
      <c r="Z28" s="331"/>
      <c r="AA28" s="331"/>
      <c r="AB28" s="74" t="s">
        <v>63</v>
      </c>
      <c r="AC28" s="75">
        <f>SUM(F23:F29)</f>
        <v>69538.4</v>
      </c>
      <c r="AD28" s="331" t="s">
        <v>63</v>
      </c>
      <c r="AE28" s="76">
        <f>SUM(Q23:Q29)</f>
        <v>67527.75</v>
      </c>
      <c r="AF28" s="331"/>
      <c r="AG28" s="331"/>
      <c r="AH28" s="331"/>
      <c r="AI28" s="14"/>
      <c r="AJ28" s="14"/>
      <c r="AK28" s="61"/>
      <c r="AL28" s="14"/>
    </row>
    <row r="29" ht="15.75" customHeight="1">
      <c r="A29" s="8"/>
      <c r="B29" s="8"/>
      <c r="C29" s="147">
        <v>21.0</v>
      </c>
      <c r="D29" s="147" t="s">
        <v>41</v>
      </c>
      <c r="E29" s="209">
        <v>23000.0</v>
      </c>
      <c r="F29" s="341">
        <v>19258.5</v>
      </c>
      <c r="G29" s="51">
        <f t="shared" si="15"/>
        <v>-3741.5</v>
      </c>
      <c r="H29" s="210">
        <v>76.0</v>
      </c>
      <c r="I29" s="265">
        <f t="shared" si="16"/>
        <v>253.4013158</v>
      </c>
      <c r="J29" s="214">
        <v>19.0</v>
      </c>
      <c r="K29" s="57">
        <f>6+36</f>
        <v>42</v>
      </c>
      <c r="L29" s="214">
        <v>45.0</v>
      </c>
      <c r="M29" s="57">
        <f t="shared" si="17"/>
        <v>106</v>
      </c>
      <c r="N29" s="204">
        <v>21.0</v>
      </c>
      <c r="O29" s="204" t="s">
        <v>41</v>
      </c>
      <c r="P29" s="213">
        <v>14000.0</v>
      </c>
      <c r="Q29" s="213">
        <f>11400.93+6236.6-1259.05</f>
        <v>16378.48</v>
      </c>
      <c r="R29" s="51">
        <f t="shared" si="18"/>
        <v>2378.48</v>
      </c>
      <c r="S29" s="217">
        <v>96.0</v>
      </c>
      <c r="T29" s="291">
        <f t="shared" si="19"/>
        <v>170.6091667</v>
      </c>
      <c r="U29" s="214">
        <v>34.0</v>
      </c>
      <c r="V29" s="57">
        <f>11.5+63.5</f>
        <v>75</v>
      </c>
      <c r="W29" s="214">
        <v>20.0</v>
      </c>
      <c r="X29" s="57">
        <f t="shared" si="20"/>
        <v>129</v>
      </c>
      <c r="Y29" s="331"/>
      <c r="Z29" s="331"/>
      <c r="AA29" s="331"/>
      <c r="AB29" s="74"/>
      <c r="AC29" s="79">
        <f>AC28/AC20</f>
        <v>0.1986811429</v>
      </c>
      <c r="AD29" s="331"/>
      <c r="AE29" s="80">
        <f>AE28/AE20</f>
        <v>0.2411705357</v>
      </c>
      <c r="AF29" s="331"/>
      <c r="AG29" s="331"/>
      <c r="AH29" s="331"/>
      <c r="AI29" s="14"/>
      <c r="AJ29" s="14"/>
      <c r="AK29" s="14"/>
      <c r="AL29" s="14"/>
    </row>
    <row r="30" ht="15.75" customHeight="1">
      <c r="A30" s="8"/>
      <c r="B30" s="8"/>
      <c r="C30" s="147">
        <v>22.0</v>
      </c>
      <c r="D30" s="147" t="s">
        <v>44</v>
      </c>
      <c r="E30" s="209">
        <v>20000.0</v>
      </c>
      <c r="F30" s="341">
        <v>11906.0</v>
      </c>
      <c r="G30" s="51">
        <f t="shared" si="15"/>
        <v>-8094</v>
      </c>
      <c r="H30" s="210">
        <v>54.0</v>
      </c>
      <c r="I30" s="265">
        <f t="shared" si="16"/>
        <v>220.4814815</v>
      </c>
      <c r="J30" s="214">
        <v>17.0</v>
      </c>
      <c r="K30" s="57">
        <f>6.5+38.5</f>
        <v>45</v>
      </c>
      <c r="L30" s="214">
        <v>16.0</v>
      </c>
      <c r="M30" s="57">
        <f t="shared" si="17"/>
        <v>78</v>
      </c>
      <c r="N30" s="204">
        <v>22.0</v>
      </c>
      <c r="O30" s="204" t="s">
        <v>44</v>
      </c>
      <c r="P30" s="213">
        <v>18000.0</v>
      </c>
      <c r="Q30" s="213">
        <f>15138.1+7679.82-1780.21</f>
        <v>21037.71</v>
      </c>
      <c r="R30" s="51">
        <f t="shared" si="18"/>
        <v>3037.71</v>
      </c>
      <c r="S30" s="217">
        <v>124.0</v>
      </c>
      <c r="T30" s="291">
        <f t="shared" si="19"/>
        <v>169.6589516</v>
      </c>
      <c r="U30" s="214">
        <v>32.0</v>
      </c>
      <c r="V30" s="57">
        <f>16+80</f>
        <v>96</v>
      </c>
      <c r="W30" s="214">
        <v>32.0</v>
      </c>
      <c r="X30" s="57">
        <f t="shared" si="20"/>
        <v>160</v>
      </c>
      <c r="Y30" s="331"/>
      <c r="Z30" s="331"/>
      <c r="AA30" s="331"/>
      <c r="AB30" s="74"/>
      <c r="AC30" s="331"/>
      <c r="AD30" s="331"/>
      <c r="AE30" s="82"/>
      <c r="AF30" s="331"/>
      <c r="AG30" s="331"/>
      <c r="AH30" s="331"/>
      <c r="AI30" s="4"/>
      <c r="AJ30" s="14"/>
      <c r="AK30" s="14"/>
      <c r="AL30" s="14"/>
    </row>
    <row r="31" ht="15.75" customHeight="1">
      <c r="A31" s="8"/>
      <c r="B31" s="8"/>
      <c r="C31" s="147">
        <v>23.0</v>
      </c>
      <c r="D31" s="147" t="s">
        <v>45</v>
      </c>
      <c r="E31" s="209">
        <v>6000.0</v>
      </c>
      <c r="F31" s="341">
        <v>5686.3</v>
      </c>
      <c r="G31" s="51">
        <f t="shared" si="15"/>
        <v>-313.7</v>
      </c>
      <c r="H31" s="210">
        <v>25.0</v>
      </c>
      <c r="I31" s="265">
        <f t="shared" si="16"/>
        <v>227.452</v>
      </c>
      <c r="J31" s="214">
        <v>6.0</v>
      </c>
      <c r="K31" s="57">
        <f>2+12</f>
        <v>14</v>
      </c>
      <c r="L31" s="214">
        <v>11.0</v>
      </c>
      <c r="M31" s="57">
        <f t="shared" si="17"/>
        <v>31</v>
      </c>
      <c r="N31" s="204">
        <v>23.0</v>
      </c>
      <c r="O31" s="204" t="s">
        <v>45</v>
      </c>
      <c r="P31" s="213">
        <v>5000.0</v>
      </c>
      <c r="Q31" s="213">
        <f>2227.67+1943.8-274.6</f>
        <v>3896.87</v>
      </c>
      <c r="R31" s="51">
        <f t="shared" si="18"/>
        <v>-1103.13</v>
      </c>
      <c r="S31" s="217">
        <v>21.0</v>
      </c>
      <c r="T31" s="291">
        <f t="shared" si="19"/>
        <v>185.5652381</v>
      </c>
      <c r="U31" s="214">
        <v>4.0</v>
      </c>
      <c r="V31" s="57">
        <f>7+12</f>
        <v>19</v>
      </c>
      <c r="W31" s="214">
        <v>8.0</v>
      </c>
      <c r="X31" s="57">
        <f t="shared" si="20"/>
        <v>31</v>
      </c>
      <c r="Y31" s="331"/>
      <c r="Z31" s="331"/>
      <c r="AA31" s="331"/>
      <c r="AB31" s="74" t="s">
        <v>64</v>
      </c>
      <c r="AC31" s="61">
        <f>SUM(F30:F36)</f>
        <v>56580.27</v>
      </c>
      <c r="AD31" s="331" t="s">
        <v>64</v>
      </c>
      <c r="AE31" s="83">
        <f>SUM(Q30:Q36)</f>
        <v>57622.33</v>
      </c>
      <c r="AF31" s="331"/>
      <c r="AG31" s="331"/>
      <c r="AH31" s="331"/>
      <c r="AI31" s="14"/>
      <c r="AJ31" s="14"/>
      <c r="AK31" s="61"/>
      <c r="AL31" s="14"/>
    </row>
    <row r="32" ht="15.75" customHeight="1">
      <c r="A32" s="8"/>
      <c r="B32" s="8"/>
      <c r="C32" s="147">
        <v>24.0</v>
      </c>
      <c r="D32" s="147" t="s">
        <v>46</v>
      </c>
      <c r="E32" s="209">
        <v>6000.0</v>
      </c>
      <c r="F32" s="341">
        <v>4645.5</v>
      </c>
      <c r="G32" s="51">
        <f t="shared" si="15"/>
        <v>-1354.5</v>
      </c>
      <c r="H32" s="210">
        <v>21.0</v>
      </c>
      <c r="I32" s="265">
        <f t="shared" si="16"/>
        <v>221.2142857</v>
      </c>
      <c r="J32" s="214">
        <v>7.0</v>
      </c>
      <c r="K32" s="57">
        <f>0.5+11.5</f>
        <v>12</v>
      </c>
      <c r="L32" s="214">
        <v>10.0</v>
      </c>
      <c r="M32" s="57">
        <f t="shared" si="17"/>
        <v>29</v>
      </c>
      <c r="N32" s="204">
        <v>24.0</v>
      </c>
      <c r="O32" s="204" t="s">
        <v>46</v>
      </c>
      <c r="P32" s="213">
        <v>6000.0</v>
      </c>
      <c r="Q32" s="213">
        <f>2912.91+1372.47-413.26</f>
        <v>3872.12</v>
      </c>
      <c r="R32" s="51">
        <f t="shared" si="18"/>
        <v>-2127.88</v>
      </c>
      <c r="S32" s="217">
        <v>34.0</v>
      </c>
      <c r="T32" s="291">
        <f t="shared" si="19"/>
        <v>113.8858824</v>
      </c>
      <c r="U32" s="214">
        <v>7.0</v>
      </c>
      <c r="V32" s="57">
        <f>7.5+17.5</f>
        <v>25</v>
      </c>
      <c r="W32" s="214">
        <v>3.0</v>
      </c>
      <c r="X32" s="57">
        <f t="shared" si="20"/>
        <v>35</v>
      </c>
      <c r="Y32" s="331"/>
      <c r="Z32" s="331"/>
      <c r="AA32" s="331"/>
      <c r="AB32" s="74"/>
      <c r="AC32" s="79">
        <f>AC31/AC20</f>
        <v>0.1616579143</v>
      </c>
      <c r="AD32" s="331"/>
      <c r="AE32" s="80">
        <f>AE31/AE20</f>
        <v>0.2057940357</v>
      </c>
      <c r="AF32" s="331"/>
      <c r="AG32" s="331"/>
      <c r="AH32" s="331"/>
      <c r="AI32" s="14"/>
      <c r="AJ32" s="14"/>
      <c r="AK32" s="14"/>
      <c r="AL32" s="14"/>
    </row>
    <row r="33" ht="15.75" customHeight="1">
      <c r="A33" s="8"/>
      <c r="B33" s="8"/>
      <c r="C33" s="147">
        <v>25.0</v>
      </c>
      <c r="D33" s="147" t="s">
        <v>40</v>
      </c>
      <c r="E33" s="209">
        <v>6000.0</v>
      </c>
      <c r="F33" s="341">
        <v>4734.87</v>
      </c>
      <c r="G33" s="51">
        <f t="shared" si="15"/>
        <v>-1265.13</v>
      </c>
      <c r="H33" s="210">
        <v>24.0</v>
      </c>
      <c r="I33" s="265">
        <f t="shared" si="16"/>
        <v>197.28625</v>
      </c>
      <c r="J33" s="214">
        <v>10.0</v>
      </c>
      <c r="K33" s="57">
        <f>1.5+10.5</f>
        <v>12</v>
      </c>
      <c r="L33" s="214">
        <v>8.0</v>
      </c>
      <c r="M33" s="57">
        <f t="shared" si="17"/>
        <v>30</v>
      </c>
      <c r="N33" s="204">
        <v>25.0</v>
      </c>
      <c r="O33" s="204" t="s">
        <v>40</v>
      </c>
      <c r="P33" s="213">
        <v>6000.0</v>
      </c>
      <c r="Q33" s="213">
        <f>3245.21+1685.14-458.72</f>
        <v>4471.63</v>
      </c>
      <c r="R33" s="51">
        <f t="shared" si="18"/>
        <v>-1528.37</v>
      </c>
      <c r="S33" s="217">
        <v>35.0</v>
      </c>
      <c r="T33" s="291">
        <f t="shared" si="19"/>
        <v>127.7608571</v>
      </c>
      <c r="U33" s="214">
        <v>5.0</v>
      </c>
      <c r="V33" s="57">
        <f>11+18</f>
        <v>29</v>
      </c>
      <c r="W33" s="214">
        <v>4.0</v>
      </c>
      <c r="X33" s="57">
        <f t="shared" si="20"/>
        <v>38</v>
      </c>
      <c r="Y33" s="331"/>
      <c r="Z33" s="331"/>
      <c r="AA33" s="331"/>
      <c r="AB33" s="74" t="s">
        <v>65</v>
      </c>
      <c r="AC33" s="61">
        <f>SUM(F37:F39)</f>
        <v>29696</v>
      </c>
      <c r="AD33" s="331" t="s">
        <v>65</v>
      </c>
      <c r="AE33" s="83">
        <f>SUM(Q37:Q39)</f>
        <v>28920.35</v>
      </c>
      <c r="AF33" s="331"/>
      <c r="AG33" s="331"/>
      <c r="AH33" s="331"/>
      <c r="AI33" s="14"/>
      <c r="AJ33" s="14"/>
      <c r="AK33" s="14"/>
      <c r="AL33" s="14"/>
    </row>
    <row r="34" ht="15.75" customHeight="1">
      <c r="A34" s="8"/>
      <c r="B34" s="8"/>
      <c r="C34" s="147">
        <v>26.0</v>
      </c>
      <c r="D34" s="147" t="s">
        <v>47</v>
      </c>
      <c r="E34" s="209">
        <v>7000.0</v>
      </c>
      <c r="F34" s="341">
        <v>4885.6</v>
      </c>
      <c r="G34" s="51">
        <f t="shared" si="15"/>
        <v>-2114.4</v>
      </c>
      <c r="H34" s="210">
        <v>23.0</v>
      </c>
      <c r="I34" s="265">
        <f t="shared" si="16"/>
        <v>212.4173913</v>
      </c>
      <c r="J34" s="214">
        <v>3.0</v>
      </c>
      <c r="K34" s="57">
        <f>4+9</f>
        <v>13</v>
      </c>
      <c r="L34" s="214">
        <v>11.0</v>
      </c>
      <c r="M34" s="57">
        <f t="shared" si="17"/>
        <v>27</v>
      </c>
      <c r="N34" s="204">
        <v>26.0</v>
      </c>
      <c r="O34" s="204" t="s">
        <v>47</v>
      </c>
      <c r="P34" s="213">
        <v>6000.0</v>
      </c>
      <c r="Q34" s="213">
        <f>2626.64+872-375.9</f>
        <v>3122.74</v>
      </c>
      <c r="R34" s="51">
        <f t="shared" si="18"/>
        <v>-2877.26</v>
      </c>
      <c r="S34" s="217">
        <v>29.0</v>
      </c>
      <c r="T34" s="291">
        <f t="shared" si="19"/>
        <v>107.6806897</v>
      </c>
      <c r="U34" s="214">
        <v>10.0</v>
      </c>
      <c r="V34" s="57">
        <f>2.5+14.5</f>
        <v>17</v>
      </c>
      <c r="W34" s="214">
        <v>4.0</v>
      </c>
      <c r="X34" s="57">
        <f t="shared" si="20"/>
        <v>31</v>
      </c>
      <c r="Y34" s="331"/>
      <c r="Z34" s="331"/>
      <c r="AA34" s="331"/>
      <c r="AB34" s="84"/>
      <c r="AC34" s="85">
        <f>AC33/AC20</f>
        <v>0.08484571429</v>
      </c>
      <c r="AD34" s="84"/>
      <c r="AE34" s="87">
        <f>AE33/AE20</f>
        <v>0.1032869643</v>
      </c>
      <c r="AF34" s="331"/>
      <c r="AG34" s="331"/>
      <c r="AH34" s="331"/>
      <c r="AI34" s="331"/>
      <c r="AJ34" s="331"/>
      <c r="AK34" s="331"/>
      <c r="AL34" s="331"/>
    </row>
    <row r="35" ht="15.75" customHeight="1">
      <c r="A35" s="8"/>
      <c r="B35" s="8"/>
      <c r="C35" s="147">
        <v>27.0</v>
      </c>
      <c r="D35" s="147" t="s">
        <v>205</v>
      </c>
      <c r="E35" s="209">
        <v>13000.0</v>
      </c>
      <c r="F35" s="341">
        <f>11908.5-336</f>
        <v>11572.5</v>
      </c>
      <c r="G35" s="51">
        <f t="shared" si="15"/>
        <v>-1427.5</v>
      </c>
      <c r="H35" s="210">
        <v>60.0</v>
      </c>
      <c r="I35" s="265">
        <f t="shared" si="16"/>
        <v>192.875</v>
      </c>
      <c r="J35" s="214">
        <v>10.0</v>
      </c>
      <c r="K35" s="57">
        <f>2.5+31.5</f>
        <v>34</v>
      </c>
      <c r="L35" s="214">
        <v>21.0</v>
      </c>
      <c r="M35" s="57">
        <f t="shared" si="17"/>
        <v>65</v>
      </c>
      <c r="N35" s="204">
        <v>27.0</v>
      </c>
      <c r="O35" s="204" t="s">
        <v>205</v>
      </c>
      <c r="P35" s="213">
        <v>9000.0</v>
      </c>
      <c r="Q35" s="213">
        <f>6226.01+4377.78-798.85</f>
        <v>9804.94</v>
      </c>
      <c r="R35" s="51">
        <f t="shared" si="18"/>
        <v>804.94</v>
      </c>
      <c r="S35" s="217">
        <v>56.0</v>
      </c>
      <c r="T35" s="291">
        <f t="shared" si="19"/>
        <v>175.0882143</v>
      </c>
      <c r="U35" s="214">
        <v>12.0</v>
      </c>
      <c r="V35" s="57">
        <f>6.5+38.5</f>
        <v>45</v>
      </c>
      <c r="W35" s="214">
        <v>16.0</v>
      </c>
      <c r="X35" s="57">
        <f t="shared" si="20"/>
        <v>73</v>
      </c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61"/>
      <c r="AL35" s="331"/>
    </row>
    <row r="36" ht="15.75" customHeight="1">
      <c r="A36" s="8"/>
      <c r="B36" s="8"/>
      <c r="C36" s="147">
        <v>28.0</v>
      </c>
      <c r="D36" s="147" t="s">
        <v>171</v>
      </c>
      <c r="E36" s="209">
        <v>23000.0</v>
      </c>
      <c r="F36" s="341">
        <v>13149.5</v>
      </c>
      <c r="G36" s="51">
        <f t="shared" si="15"/>
        <v>-9850.5</v>
      </c>
      <c r="H36" s="210">
        <v>64.0</v>
      </c>
      <c r="I36" s="265">
        <f t="shared" si="16"/>
        <v>205.4609375</v>
      </c>
      <c r="J36" s="214">
        <v>18.0</v>
      </c>
      <c r="K36" s="57">
        <f>4+36</f>
        <v>40</v>
      </c>
      <c r="L36" s="214">
        <v>18.0</v>
      </c>
      <c r="M36" s="57">
        <f t="shared" si="17"/>
        <v>76</v>
      </c>
      <c r="N36" s="204">
        <v>28.0</v>
      </c>
      <c r="O36" s="204" t="s">
        <v>171</v>
      </c>
      <c r="P36" s="213">
        <v>14000.0</v>
      </c>
      <c r="Q36" s="213">
        <f>8265.88+4191.01-1040.57</f>
        <v>11416.32</v>
      </c>
      <c r="R36" s="51">
        <f t="shared" si="18"/>
        <v>-2583.68</v>
      </c>
      <c r="S36" s="217">
        <v>72.0</v>
      </c>
      <c r="T36" s="291">
        <f t="shared" si="19"/>
        <v>158.56</v>
      </c>
      <c r="U36" s="214">
        <v>20.0</v>
      </c>
      <c r="V36" s="57">
        <f>7+41</f>
        <v>48</v>
      </c>
      <c r="W36" s="214">
        <v>21.0</v>
      </c>
      <c r="X36" s="57">
        <f t="shared" si="20"/>
        <v>89</v>
      </c>
      <c r="Y36" s="331"/>
      <c r="Z36" s="331"/>
      <c r="AA36" s="92" t="s">
        <v>72</v>
      </c>
      <c r="AB36" s="93" t="s">
        <v>73</v>
      </c>
      <c r="AC36" s="94">
        <f>F40</f>
        <v>297283.03</v>
      </c>
      <c r="AD36" s="164" t="s">
        <v>74</v>
      </c>
      <c r="AE36" s="96">
        <f>Q40</f>
        <v>269291.36</v>
      </c>
      <c r="AF36" s="92" t="s">
        <v>72</v>
      </c>
      <c r="AG36" s="331"/>
      <c r="AH36" s="331"/>
      <c r="AI36" s="331"/>
      <c r="AJ36" s="14"/>
      <c r="AK36" s="61"/>
      <c r="AL36" s="14"/>
    </row>
    <row r="37" ht="15.75" customHeight="1">
      <c r="A37" s="8"/>
      <c r="B37" s="8"/>
      <c r="C37" s="147">
        <v>29.0</v>
      </c>
      <c r="D37" s="147" t="s">
        <v>44</v>
      </c>
      <c r="E37" s="209">
        <v>20000.0</v>
      </c>
      <c r="F37" s="341">
        <v>25092.5</v>
      </c>
      <c r="G37" s="51">
        <f t="shared" si="15"/>
        <v>5092.5</v>
      </c>
      <c r="H37" s="210">
        <v>106.0</v>
      </c>
      <c r="I37" s="265">
        <f t="shared" si="16"/>
        <v>236.7216981</v>
      </c>
      <c r="J37" s="214">
        <v>21.0</v>
      </c>
      <c r="K37" s="57">
        <f>7.5+56.5</f>
        <v>64</v>
      </c>
      <c r="L37" s="214">
        <v>61.0</v>
      </c>
      <c r="M37" s="57">
        <f t="shared" si="17"/>
        <v>146</v>
      </c>
      <c r="N37" s="204">
        <v>29.0</v>
      </c>
      <c r="O37" s="204" t="s">
        <v>44</v>
      </c>
      <c r="P37" s="213">
        <v>18000.0</v>
      </c>
      <c r="Q37" s="213">
        <f>13544.82+8330.38-1715.72</f>
        <v>20159.48</v>
      </c>
      <c r="R37" s="51">
        <f t="shared" si="18"/>
        <v>2159.48</v>
      </c>
      <c r="S37" s="217">
        <v>126.0</v>
      </c>
      <c r="T37" s="291">
        <f t="shared" si="19"/>
        <v>159.995873</v>
      </c>
      <c r="U37" s="214">
        <v>38.0</v>
      </c>
      <c r="V37" s="57">
        <f>15+76</f>
        <v>91</v>
      </c>
      <c r="W37" s="214">
        <v>32.0</v>
      </c>
      <c r="X37" s="57">
        <f t="shared" si="20"/>
        <v>161</v>
      </c>
      <c r="Y37" s="331"/>
      <c r="Z37" s="331"/>
      <c r="AA37" s="97">
        <f>AC37-AD37</f>
        <v>-0.1506199143</v>
      </c>
      <c r="AB37" s="98"/>
      <c r="AC37" s="99">
        <f>AC36/AC20</f>
        <v>0.8493800857</v>
      </c>
      <c r="AD37" s="165">
        <f>31/31</f>
        <v>1</v>
      </c>
      <c r="AE37" s="100">
        <f>AE36/AE20</f>
        <v>0.9617548571</v>
      </c>
      <c r="AF37" s="97">
        <f>AE37-AD37</f>
        <v>-0.03824514286</v>
      </c>
      <c r="AG37" s="331"/>
      <c r="AH37" s="331"/>
      <c r="AI37" s="331"/>
      <c r="AJ37" s="331"/>
      <c r="AK37" s="61"/>
      <c r="AL37" s="331"/>
    </row>
    <row r="38" ht="15.75" customHeight="1">
      <c r="A38" s="8"/>
      <c r="B38" s="8"/>
      <c r="C38" s="147">
        <v>30.0</v>
      </c>
      <c r="D38" s="147" t="s">
        <v>45</v>
      </c>
      <c r="E38" s="209">
        <v>6000.0</v>
      </c>
      <c r="F38" s="341">
        <v>2204.0</v>
      </c>
      <c r="G38" s="51">
        <f t="shared" si="15"/>
        <v>-3796</v>
      </c>
      <c r="H38" s="210">
        <v>9.0</v>
      </c>
      <c r="I38" s="265">
        <f t="shared" si="16"/>
        <v>244.8888889</v>
      </c>
      <c r="J38" s="214">
        <v>0.0</v>
      </c>
      <c r="K38" s="57">
        <f>1+6</f>
        <v>7</v>
      </c>
      <c r="L38" s="214">
        <v>4.0</v>
      </c>
      <c r="M38" s="57">
        <f t="shared" si="17"/>
        <v>11</v>
      </c>
      <c r="N38" s="204">
        <v>30.0</v>
      </c>
      <c r="O38" s="204" t="s">
        <v>45</v>
      </c>
      <c r="P38" s="213">
        <v>5000.0</v>
      </c>
      <c r="Q38" s="213">
        <f>1909.44+1135.24-295.52</f>
        <v>2749.16</v>
      </c>
      <c r="R38" s="51">
        <f t="shared" si="18"/>
        <v>-2250.84</v>
      </c>
      <c r="S38" s="217">
        <v>22.0</v>
      </c>
      <c r="T38" s="291">
        <f t="shared" si="19"/>
        <v>124.9618182</v>
      </c>
      <c r="U38" s="214">
        <v>4.0</v>
      </c>
      <c r="V38" s="57">
        <f>3+11</f>
        <v>14</v>
      </c>
      <c r="W38" s="214">
        <v>5.0</v>
      </c>
      <c r="X38" s="57">
        <f t="shared" si="20"/>
        <v>23</v>
      </c>
      <c r="Y38" s="331"/>
      <c r="Z38" s="331"/>
      <c r="AA38" s="331"/>
      <c r="AB38" s="98" t="s">
        <v>76</v>
      </c>
      <c r="AC38" s="104">
        <f>AC20-AC36</f>
        <v>52716.97</v>
      </c>
      <c r="AD38" s="99"/>
      <c r="AE38" s="106">
        <f>AE20-AE36</f>
        <v>10708.64</v>
      </c>
      <c r="AF38" s="331"/>
      <c r="AG38" s="331"/>
      <c r="AH38" s="331"/>
      <c r="AI38" s="331"/>
      <c r="AJ38" s="331"/>
      <c r="AK38" s="331"/>
      <c r="AL38" s="331"/>
    </row>
    <row r="39" ht="15.75" customHeight="1">
      <c r="A39" s="8"/>
      <c r="B39" s="8"/>
      <c r="C39" s="147">
        <v>31.0</v>
      </c>
      <c r="D39" s="147" t="s">
        <v>46</v>
      </c>
      <c r="E39" s="209">
        <v>6000.0</v>
      </c>
      <c r="F39" s="209">
        <f>1841.5+558</f>
        <v>2399.5</v>
      </c>
      <c r="G39" s="51">
        <f t="shared" si="15"/>
        <v>-3600.5</v>
      </c>
      <c r="H39" s="210">
        <v>21.0</v>
      </c>
      <c r="I39" s="265">
        <f t="shared" si="16"/>
        <v>114.2619048</v>
      </c>
      <c r="J39" s="214">
        <v>2.0</v>
      </c>
      <c r="K39" s="57">
        <f>1+9</f>
        <v>10</v>
      </c>
      <c r="L39" s="214">
        <v>2.0</v>
      </c>
      <c r="M39" s="57">
        <f t="shared" si="17"/>
        <v>14</v>
      </c>
      <c r="N39" s="204">
        <v>31.0</v>
      </c>
      <c r="O39" s="204" t="s">
        <v>46</v>
      </c>
      <c r="P39" s="213">
        <v>6000.0</v>
      </c>
      <c r="Q39" s="213">
        <f>6447.04-435.33</f>
        <v>6011.71</v>
      </c>
      <c r="R39" s="51">
        <f t="shared" si="18"/>
        <v>11.71</v>
      </c>
      <c r="S39" s="217">
        <v>53.0</v>
      </c>
      <c r="T39" s="291">
        <f t="shared" si="19"/>
        <v>113.4284906</v>
      </c>
      <c r="U39" s="214">
        <v>9.0</v>
      </c>
      <c r="V39" s="57">
        <f>4+25</f>
        <v>29</v>
      </c>
      <c r="W39" s="214">
        <v>9.0</v>
      </c>
      <c r="X39" s="57">
        <f t="shared" si="20"/>
        <v>47</v>
      </c>
      <c r="Y39" s="331"/>
      <c r="Z39" s="331"/>
      <c r="AA39" s="331"/>
      <c r="AB39" s="331"/>
      <c r="AC39" s="331"/>
      <c r="AD39" s="331"/>
      <c r="AE39" s="61"/>
      <c r="AF39" s="331"/>
      <c r="AG39" s="331"/>
      <c r="AH39" s="331"/>
      <c r="AI39" s="331"/>
      <c r="AJ39" s="331"/>
      <c r="AK39" s="331"/>
      <c r="AL39" s="331"/>
    </row>
    <row r="40" ht="15.75" customHeight="1">
      <c r="A40" s="8"/>
      <c r="B40" s="8"/>
      <c r="C40" s="218"/>
      <c r="D40" s="218"/>
      <c r="E40" s="372">
        <f t="shared" ref="E40:H40" si="21">SUM(E9:E39)</f>
        <v>350000</v>
      </c>
      <c r="F40" s="372">
        <f t="shared" si="21"/>
        <v>297283.03</v>
      </c>
      <c r="G40" s="373">
        <f t="shared" si="21"/>
        <v>-52716.97</v>
      </c>
      <c r="H40" s="373">
        <f t="shared" si="21"/>
        <v>1304</v>
      </c>
      <c r="I40" s="373"/>
      <c r="J40" s="373">
        <f t="shared" ref="J40:M40" si="22">SUM(J9:J39)</f>
        <v>333</v>
      </c>
      <c r="K40" s="373">
        <f t="shared" si="22"/>
        <v>750</v>
      </c>
      <c r="L40" s="373">
        <f t="shared" si="22"/>
        <v>621</v>
      </c>
      <c r="M40" s="373">
        <f t="shared" si="22"/>
        <v>1704</v>
      </c>
      <c r="N40" s="286"/>
      <c r="O40" s="287"/>
      <c r="P40" s="374">
        <f t="shared" ref="P40:S40" si="23">SUM(P9:P39)</f>
        <v>280000</v>
      </c>
      <c r="Q40" s="374">
        <f t="shared" si="23"/>
        <v>269291.36</v>
      </c>
      <c r="R40" s="373">
        <f t="shared" si="23"/>
        <v>-10708.64</v>
      </c>
      <c r="S40" s="91">
        <f t="shared" si="23"/>
        <v>1727</v>
      </c>
      <c r="T40" s="91"/>
      <c r="U40" s="91">
        <f t="shared" ref="U40:X40" si="24">SUM(U9:U39)</f>
        <v>479</v>
      </c>
      <c r="V40" s="91">
        <f t="shared" si="24"/>
        <v>1228</v>
      </c>
      <c r="W40" s="91">
        <f t="shared" si="24"/>
        <v>416</v>
      </c>
      <c r="X40" s="91">
        <f t="shared" si="24"/>
        <v>2123</v>
      </c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</row>
    <row r="41" ht="15.75" customHeight="1">
      <c r="A41" s="331"/>
      <c r="B41" s="331"/>
      <c r="C41" s="331"/>
      <c r="D41" s="61"/>
      <c r="E41" s="61"/>
      <c r="F41" s="61"/>
      <c r="G41" s="114"/>
      <c r="H41" s="376" t="s">
        <v>282</v>
      </c>
      <c r="I41" s="226"/>
      <c r="J41" s="331"/>
      <c r="K41" s="331"/>
      <c r="L41" s="331"/>
      <c r="M41" s="331"/>
      <c r="N41" s="61"/>
      <c r="O41" s="331"/>
      <c r="P41" s="61"/>
      <c r="Q41" s="377"/>
      <c r="R41" s="114"/>
      <c r="S41" s="199"/>
      <c r="T41" s="199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</row>
    <row r="42" ht="15.75" customHeight="1">
      <c r="A42" s="2"/>
      <c r="B42" s="2"/>
      <c r="C42" s="2"/>
      <c r="D42" s="75"/>
      <c r="E42" s="75"/>
      <c r="F42" s="2"/>
      <c r="G42" s="331"/>
      <c r="H42" s="226"/>
      <c r="I42" s="226"/>
      <c r="J42" s="331"/>
      <c r="K42" s="331"/>
      <c r="L42" s="331"/>
      <c r="M42" s="331"/>
      <c r="N42" s="75"/>
      <c r="O42" s="331"/>
      <c r="P42" s="75"/>
      <c r="Q42" s="2"/>
      <c r="R42" s="331"/>
      <c r="S42" s="199"/>
      <c r="T42" s="199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</row>
    <row r="43" ht="15.75" customHeight="1">
      <c r="A43" s="2"/>
      <c r="B43" s="2"/>
      <c r="C43" s="2"/>
      <c r="D43" s="2"/>
      <c r="E43" s="379" t="s">
        <v>77</v>
      </c>
      <c r="F43" s="380">
        <f>E40+G40</f>
        <v>297283.03</v>
      </c>
      <c r="G43" s="331"/>
      <c r="H43" s="331"/>
      <c r="I43" s="331"/>
      <c r="J43" s="331"/>
      <c r="K43" s="331"/>
      <c r="L43" s="331"/>
      <c r="M43" s="331"/>
      <c r="N43" s="331"/>
      <c r="O43" s="331"/>
      <c r="P43" s="381" t="s">
        <v>77</v>
      </c>
      <c r="Q43" s="380">
        <f>P40+R40</f>
        <v>269291.36</v>
      </c>
      <c r="R43" s="331"/>
      <c r="S43" s="199"/>
      <c r="T43" s="199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</row>
    <row r="44" ht="15.75" customHeight="1">
      <c r="A44" s="2"/>
      <c r="B44" s="2"/>
      <c r="C44" s="122" t="s">
        <v>29</v>
      </c>
      <c r="D44" s="382">
        <v>350000.0</v>
      </c>
      <c r="E44" s="75"/>
      <c r="F44" s="2"/>
      <c r="G44" s="331"/>
      <c r="H44" s="331"/>
      <c r="I44" s="331"/>
      <c r="J44" s="331"/>
      <c r="K44" s="331"/>
      <c r="L44" s="331"/>
      <c r="M44" s="331"/>
      <c r="N44" s="126" t="s">
        <v>29</v>
      </c>
      <c r="O44" s="382">
        <v>280000.0</v>
      </c>
      <c r="P44" s="2"/>
      <c r="Q44" s="2"/>
      <c r="R44" s="331"/>
      <c r="S44" s="199"/>
      <c r="T44" s="199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</row>
    <row r="45" ht="15.75" customHeight="1">
      <c r="A45" s="61"/>
      <c r="B45" s="61"/>
      <c r="C45" s="61"/>
      <c r="D45" s="175"/>
      <c r="E45" s="331"/>
      <c r="F45" s="331">
        <f>(F43*100)/D44</f>
        <v>84.93800857</v>
      </c>
      <c r="G45" s="331"/>
      <c r="H45" s="331"/>
      <c r="I45" s="331"/>
      <c r="J45" s="383">
        <f>F40+Q40</f>
        <v>566574.39</v>
      </c>
      <c r="K45" s="331"/>
      <c r="L45" s="331"/>
      <c r="M45" s="331"/>
      <c r="N45" s="175"/>
      <c r="O45" s="61"/>
      <c r="P45" s="331"/>
      <c r="Q45" s="331"/>
      <c r="R45" s="331"/>
      <c r="S45" s="199"/>
      <c r="T45" s="199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</row>
    <row r="46" ht="15.75" customHeight="1">
      <c r="A46" s="61"/>
      <c r="B46" s="61"/>
      <c r="C46" s="6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61"/>
      <c r="P46" s="331">
        <f>(Q43*100)/O44</f>
        <v>96.17548571</v>
      </c>
      <c r="Q46" s="331"/>
      <c r="R46" s="331"/>
      <c r="S46" s="199"/>
      <c r="T46" s="199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</row>
    <row r="47" ht="15.75" customHeight="1">
      <c r="A47" s="61"/>
      <c r="B47" s="61"/>
      <c r="C47" s="61"/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61"/>
      <c r="O47" s="331"/>
      <c r="P47" s="331"/>
      <c r="Q47" s="331"/>
      <c r="R47" s="331"/>
      <c r="S47" s="199"/>
      <c r="T47" s="199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</row>
    <row r="48" ht="15.75" customHeight="1">
      <c r="A48" s="61"/>
      <c r="B48" s="61"/>
      <c r="C48" s="61"/>
      <c r="D48" s="331"/>
      <c r="E48" s="331"/>
      <c r="F48" s="331"/>
      <c r="G48" s="331"/>
      <c r="H48" s="331"/>
      <c r="I48" s="331"/>
      <c r="J48" s="331"/>
      <c r="K48" s="331"/>
      <c r="L48" s="331"/>
      <c r="M48" s="331"/>
      <c r="N48" s="121"/>
      <c r="O48" s="331"/>
      <c r="P48" s="331"/>
      <c r="Q48" s="331"/>
      <c r="R48" s="331"/>
      <c r="S48" s="199"/>
      <c r="T48" s="199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</row>
    <row r="49" ht="15.75" customHeight="1">
      <c r="A49" s="61"/>
      <c r="B49" s="61"/>
      <c r="C49" s="61"/>
      <c r="D49" s="331"/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199"/>
      <c r="T49" s="199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/>
      <c r="AK49" s="331"/>
      <c r="AL49" s="331"/>
    </row>
    <row r="50" ht="15.75" customHeight="1">
      <c r="A50" s="331"/>
      <c r="B50" s="331"/>
      <c r="C50" s="331"/>
      <c r="D50" s="331"/>
      <c r="E50" s="331"/>
      <c r="F50" s="331"/>
      <c r="G50" s="331"/>
      <c r="H50" s="331"/>
      <c r="I50" s="331"/>
      <c r="J50" s="331"/>
      <c r="K50" s="331"/>
      <c r="L50" s="331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/>
      <c r="AK50" s="331"/>
      <c r="AL50" s="331"/>
    </row>
    <row r="51" ht="15.75" customHeight="1">
      <c r="A51" s="331"/>
      <c r="B51" s="331"/>
      <c r="C51" s="331"/>
      <c r="D51" s="331"/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</row>
    <row r="52" ht="15.75" customHeight="1">
      <c r="A52" s="331"/>
      <c r="B52" s="331"/>
      <c r="C52" s="331"/>
      <c r="D52" s="331"/>
      <c r="E52" s="331"/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</row>
    <row r="53" ht="15.75" customHeight="1">
      <c r="A53" s="331"/>
      <c r="B53" s="331"/>
      <c r="C53" s="331"/>
      <c r="D53" s="331"/>
      <c r="E53" s="331"/>
      <c r="F53" s="331"/>
      <c r="G53" s="331"/>
      <c r="H53" s="331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</row>
    <row r="54" ht="15.75" customHeight="1">
      <c r="A54" s="331"/>
      <c r="B54" s="331"/>
      <c r="C54" s="331"/>
      <c r="D54" s="331"/>
      <c r="E54" s="331"/>
      <c r="F54" s="331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</row>
    <row r="55" ht="15.75" customHeight="1">
      <c r="A55" s="331"/>
      <c r="B55" s="331"/>
      <c r="C55" s="331"/>
      <c r="D55" s="331"/>
      <c r="E55" s="331"/>
      <c r="F55" s="331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</row>
    <row r="56" ht="15.75" customHeight="1">
      <c r="A56" s="331"/>
      <c r="B56" s="331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</row>
    <row r="57" ht="15.75" customHeight="1">
      <c r="A57" s="331"/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</row>
    <row r="58" ht="15.75" customHeight="1">
      <c r="A58" s="331"/>
      <c r="B58" s="331"/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</row>
    <row r="59" ht="15.75" customHeight="1">
      <c r="A59" s="331"/>
      <c r="B59" s="331"/>
      <c r="C59" s="331"/>
      <c r="D59" s="331"/>
      <c r="E59" s="331"/>
      <c r="F59" s="331"/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</row>
    <row r="60" ht="15.75" customHeight="1">
      <c r="A60" s="331"/>
      <c r="B60" s="331"/>
      <c r="C60" s="331"/>
      <c r="D60" s="331"/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</row>
    <row r="61" ht="15.75" customHeight="1">
      <c r="A61" s="331"/>
      <c r="B61" s="331"/>
      <c r="C61" s="331"/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</row>
    <row r="62" ht="15.75" customHeight="1">
      <c r="A62" s="331"/>
      <c r="B62" s="331"/>
      <c r="C62" s="331"/>
      <c r="D62" s="331"/>
      <c r="E62" s="331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</row>
    <row r="63" ht="15.75" customHeight="1">
      <c r="A63" s="331"/>
      <c r="B63" s="331"/>
      <c r="C63" s="331"/>
      <c r="D63" s="331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</row>
    <row r="64" ht="15.75" customHeight="1">
      <c r="A64" s="331"/>
      <c r="B64" s="331"/>
      <c r="C64" s="331"/>
      <c r="D64" s="331"/>
      <c r="E64" s="331"/>
      <c r="F64" s="331"/>
      <c r="G64" s="331"/>
      <c r="H64" s="331"/>
      <c r="I64" s="331"/>
      <c r="J64" s="331"/>
      <c r="K64" s="331"/>
      <c r="L64" s="331"/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</row>
    <row r="65" ht="15.75" customHeight="1">
      <c r="A65" s="331"/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</row>
    <row r="66" ht="15.75" customHeight="1">
      <c r="A66" s="331"/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</row>
    <row r="67" ht="15.75" customHeight="1">
      <c r="A67" s="331"/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</row>
    <row r="68" ht="15.75" customHeight="1">
      <c r="A68" s="331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1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</row>
    <row r="69" ht="15.75" customHeight="1">
      <c r="A69" s="331"/>
      <c r="B69" s="331"/>
      <c r="C69" s="331"/>
      <c r="D69" s="331"/>
      <c r="E69" s="331"/>
      <c r="F69" s="331"/>
      <c r="G69" s="331"/>
      <c r="H69" s="331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</row>
    <row r="70" ht="15.75" customHeight="1">
      <c r="A70" s="331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</row>
    <row r="71" ht="15.75" customHeight="1">
      <c r="A71" s="331"/>
      <c r="B71" s="331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</row>
    <row r="72" ht="15.75" customHeight="1">
      <c r="A72" s="331"/>
      <c r="B72" s="331"/>
      <c r="C72" s="331"/>
      <c r="D72" s="331"/>
      <c r="E72" s="331"/>
      <c r="F72" s="331"/>
      <c r="G72" s="331"/>
      <c r="H72" s="331"/>
      <c r="I72" s="331"/>
      <c r="J72" s="331"/>
      <c r="K72" s="331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</row>
    <row r="73" ht="15.75" customHeight="1">
      <c r="A73" s="331"/>
      <c r="B73" s="331"/>
      <c r="C73" s="331"/>
      <c r="D73" s="331"/>
      <c r="E73" s="331"/>
      <c r="F73" s="331"/>
      <c r="G73" s="331"/>
      <c r="H73" s="331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</row>
    <row r="74" ht="15.75" customHeight="1">
      <c r="A74" s="331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</row>
    <row r="75" ht="15.75" customHeight="1">
      <c r="A75" s="331"/>
      <c r="B75" s="331"/>
      <c r="C75" s="331"/>
      <c r="D75" s="331"/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</row>
    <row r="76" ht="15.75" customHeight="1">
      <c r="A76" s="331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/>
      <c r="AK76" s="331"/>
      <c r="AL76" s="331"/>
    </row>
    <row r="77" ht="15.75" customHeight="1">
      <c r="A77" s="331"/>
      <c r="B77" s="331"/>
      <c r="C77" s="331"/>
      <c r="D77" s="331"/>
      <c r="E77" s="331"/>
      <c r="F77" s="331"/>
      <c r="G77" s="331"/>
      <c r="H77" s="331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</row>
    <row r="78" ht="15.75" customHeight="1">
      <c r="A78" s="331"/>
      <c r="B78" s="331"/>
      <c r="C78" s="331"/>
      <c r="D78" s="331"/>
      <c r="E78" s="331"/>
      <c r="F78" s="331"/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</row>
    <row r="79" ht="15.75" customHeight="1">
      <c r="A79" s="331"/>
      <c r="B79" s="331"/>
      <c r="C79" s="331"/>
      <c r="D79" s="331"/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</row>
    <row r="80" ht="15.75" customHeight="1">
      <c r="A80" s="331"/>
      <c r="B80" s="331"/>
      <c r="C80" s="331"/>
      <c r="D80" s="331"/>
      <c r="E80" s="331"/>
      <c r="F80" s="331"/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/>
      <c r="AK80" s="331"/>
      <c r="AL80" s="331"/>
    </row>
    <row r="81" ht="15.75" customHeight="1">
      <c r="A81" s="331"/>
      <c r="B81" s="331"/>
      <c r="C81" s="331"/>
      <c r="D81" s="331"/>
      <c r="E81" s="331"/>
      <c r="F81" s="331"/>
      <c r="G81" s="331"/>
      <c r="H81" s="331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/>
      <c r="AK81" s="331"/>
      <c r="AL81" s="331"/>
    </row>
    <row r="82" ht="15.75" customHeight="1">
      <c r="A82" s="331"/>
      <c r="B82" s="331"/>
      <c r="C82" s="331"/>
      <c r="D82" s="331"/>
      <c r="E82" s="331"/>
      <c r="F82" s="331"/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</row>
    <row r="83" ht="15.75" customHeight="1">
      <c r="A83" s="331"/>
      <c r="B83" s="331"/>
      <c r="C83" s="331"/>
      <c r="D83" s="331"/>
      <c r="E83" s="331"/>
      <c r="F83" s="331"/>
      <c r="G83" s="331"/>
      <c r="H83" s="331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</row>
    <row r="84" ht="15.75" customHeight="1">
      <c r="A84" s="331"/>
      <c r="B84" s="331"/>
      <c r="C84" s="331"/>
      <c r="D84" s="331"/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</row>
    <row r="85" ht="15.75" customHeight="1">
      <c r="A85" s="331"/>
      <c r="B85" s="331"/>
      <c r="C85" s="331"/>
      <c r="D85" s="331"/>
      <c r="E85" s="331"/>
      <c r="F85" s="331"/>
      <c r="G85" s="331"/>
      <c r="H85" s="331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/>
      <c r="AK85" s="331"/>
      <c r="AL85" s="331"/>
    </row>
    <row r="86" ht="15.75" customHeight="1">
      <c r="A86" s="331"/>
      <c r="B86" s="331"/>
      <c r="C86" s="331"/>
      <c r="D86" s="331"/>
      <c r="E86" s="331"/>
      <c r="F86" s="331"/>
      <c r="G86" s="331"/>
      <c r="H86" s="331"/>
      <c r="I86" s="331"/>
      <c r="J86" s="331"/>
      <c r="K86" s="331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/>
      <c r="AK86" s="331"/>
      <c r="AL86" s="331"/>
    </row>
    <row r="87" ht="15.75" customHeight="1">
      <c r="A87" s="331"/>
      <c r="B87" s="331"/>
      <c r="C87" s="331"/>
      <c r="D87" s="331"/>
      <c r="E87" s="331"/>
      <c r="F87" s="331"/>
      <c r="G87" s="331"/>
      <c r="H87" s="331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/>
      <c r="AK87" s="331"/>
      <c r="AL87" s="331"/>
    </row>
    <row r="88" ht="15.75" customHeight="1">
      <c r="A88" s="331"/>
      <c r="B88" s="331"/>
      <c r="C88" s="331"/>
      <c r="D88" s="331"/>
      <c r="E88" s="331"/>
      <c r="F88" s="331"/>
      <c r="G88" s="331"/>
      <c r="H88" s="331"/>
      <c r="I88" s="331"/>
      <c r="J88" s="331"/>
      <c r="K88" s="331"/>
      <c r="L88" s="331"/>
      <c r="M88" s="331"/>
      <c r="N88" s="331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</row>
    <row r="89" ht="15.75" customHeight="1">
      <c r="A89" s="331"/>
      <c r="B89" s="331"/>
      <c r="C89" s="331"/>
      <c r="D89" s="331"/>
      <c r="E89" s="331"/>
      <c r="F89" s="331"/>
      <c r="G89" s="331"/>
      <c r="H89" s="331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</row>
    <row r="90" ht="15.75" customHeight="1">
      <c r="A90" s="331"/>
      <c r="B90" s="331"/>
      <c r="C90" s="331"/>
      <c r="D90" s="331"/>
      <c r="E90" s="331"/>
      <c r="F90" s="331"/>
      <c r="G90" s="331"/>
      <c r="H90" s="331"/>
      <c r="I90" s="331"/>
      <c r="J90" s="331"/>
      <c r="K90" s="331"/>
      <c r="L90" s="331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</row>
    <row r="91" ht="15.75" customHeight="1">
      <c r="A91" s="331"/>
      <c r="B91" s="331"/>
      <c r="C91" s="331"/>
      <c r="D91" s="331"/>
      <c r="E91" s="331"/>
      <c r="F91" s="331"/>
      <c r="G91" s="331"/>
      <c r="H91" s="331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</row>
    <row r="92" ht="15.75" customHeight="1">
      <c r="A92" s="331"/>
      <c r="B92" s="331"/>
      <c r="C92" s="331"/>
      <c r="D92" s="331"/>
      <c r="E92" s="331"/>
      <c r="F92" s="331"/>
      <c r="G92" s="331"/>
      <c r="H92" s="331"/>
      <c r="I92" s="331"/>
      <c r="J92" s="331"/>
      <c r="K92" s="331"/>
      <c r="L92" s="331"/>
      <c r="M92" s="331"/>
      <c r="N92" s="331"/>
      <c r="O92" s="331"/>
      <c r="P92" s="331"/>
      <c r="Q92" s="331"/>
      <c r="R92" s="331"/>
      <c r="S92" s="331"/>
      <c r="T92" s="331"/>
      <c r="U92" s="331"/>
      <c r="V92" s="331"/>
      <c r="W92" s="331"/>
      <c r="X92" s="331"/>
      <c r="Y92" s="331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/>
      <c r="AK92" s="331"/>
      <c r="AL92" s="331"/>
    </row>
    <row r="93" ht="15.75" customHeight="1">
      <c r="A93" s="331"/>
      <c r="B93" s="331"/>
      <c r="C93" s="331"/>
      <c r="D93" s="331"/>
      <c r="E93" s="331"/>
      <c r="F93" s="331"/>
      <c r="G93" s="331"/>
      <c r="H93" s="331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331"/>
    </row>
    <row r="94" ht="15.75" customHeight="1">
      <c r="A94" s="331"/>
      <c r="B94" s="331"/>
      <c r="C94" s="331"/>
      <c r="D94" s="331"/>
      <c r="E94" s="331"/>
      <c r="F94" s="331"/>
      <c r="G94" s="331"/>
      <c r="H94" s="331"/>
      <c r="I94" s="331"/>
      <c r="J94" s="331"/>
      <c r="K94" s="331"/>
      <c r="L94" s="331"/>
      <c r="M94" s="331"/>
      <c r="N94" s="331"/>
      <c r="O94" s="331"/>
      <c r="P94" s="331"/>
      <c r="Q94" s="331"/>
      <c r="R94" s="331"/>
      <c r="S94" s="331"/>
      <c r="T94" s="331"/>
      <c r="U94" s="331"/>
      <c r="V94" s="331"/>
      <c r="W94" s="331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</row>
    <row r="95" ht="15.75" customHeight="1">
      <c r="A95" s="331"/>
      <c r="B95" s="331"/>
      <c r="C95" s="331"/>
      <c r="D95" s="331"/>
      <c r="E95" s="331"/>
      <c r="F95" s="331"/>
      <c r="G95" s="331"/>
      <c r="H95" s="331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</row>
    <row r="96" ht="15.75" customHeight="1">
      <c r="A96" s="331"/>
      <c r="B96" s="331"/>
      <c r="C96" s="331"/>
      <c r="D96" s="331"/>
      <c r="E96" s="331"/>
      <c r="F96" s="331"/>
      <c r="G96" s="331"/>
      <c r="H96" s="331"/>
      <c r="I96" s="331"/>
      <c r="J96" s="331"/>
      <c r="K96" s="331"/>
      <c r="L96" s="331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</row>
    <row r="97" ht="15.75" customHeight="1">
      <c r="A97" s="331"/>
      <c r="B97" s="331"/>
      <c r="C97" s="331"/>
      <c r="D97" s="331"/>
      <c r="E97" s="331"/>
      <c r="F97" s="331"/>
      <c r="G97" s="331"/>
      <c r="H97" s="331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</row>
    <row r="98" ht="15.75" customHeight="1">
      <c r="A98" s="331"/>
      <c r="B98" s="331"/>
      <c r="C98" s="331"/>
      <c r="D98" s="331"/>
      <c r="E98" s="331"/>
      <c r="F98" s="331"/>
      <c r="G98" s="331"/>
      <c r="H98" s="331"/>
      <c r="I98" s="331"/>
      <c r="J98" s="331"/>
      <c r="K98" s="331"/>
      <c r="L98" s="331"/>
      <c r="M98" s="331"/>
      <c r="N98" s="331"/>
      <c r="O98" s="331"/>
      <c r="P98" s="331"/>
      <c r="Q98" s="331"/>
      <c r="R98" s="331"/>
      <c r="S98" s="331"/>
      <c r="T98" s="331"/>
      <c r="U98" s="331"/>
      <c r="V98" s="331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</row>
    <row r="99" ht="15.75" customHeight="1">
      <c r="A99" s="331"/>
      <c r="B99" s="331"/>
      <c r="C99" s="331"/>
      <c r="D99" s="331"/>
      <c r="E99" s="331"/>
      <c r="F99" s="331"/>
      <c r="G99" s="331"/>
      <c r="H99" s="331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</row>
    <row r="100" ht="15.75" customHeight="1">
      <c r="A100" s="331"/>
      <c r="B100" s="331"/>
      <c r="C100" s="331"/>
      <c r="D100" s="331"/>
      <c r="E100" s="331"/>
      <c r="F100" s="331"/>
      <c r="G100" s="331"/>
      <c r="H100" s="331"/>
      <c r="I100" s="331"/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</row>
    <row r="101" ht="15.75" customHeight="1">
      <c r="A101" s="331"/>
      <c r="B101" s="331"/>
      <c r="C101" s="331"/>
      <c r="D101" s="331"/>
      <c r="E101" s="331"/>
      <c r="F101" s="331"/>
      <c r="G101" s="331"/>
      <c r="H101" s="331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</row>
    <row r="102" ht="15.75" customHeight="1">
      <c r="A102" s="331"/>
      <c r="B102" s="331"/>
      <c r="C102" s="331"/>
      <c r="D102" s="331"/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</row>
    <row r="103" ht="15.75" customHeight="1">
      <c r="A103" s="331"/>
      <c r="B103" s="331"/>
      <c r="C103" s="331"/>
      <c r="D103" s="331"/>
      <c r="E103" s="331"/>
      <c r="F103" s="331"/>
      <c r="G103" s="331"/>
      <c r="H103" s="331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</row>
    <row r="104" ht="15.75" customHeight="1">
      <c r="A104" s="331"/>
      <c r="B104" s="331"/>
      <c r="C104" s="331"/>
      <c r="D104" s="331"/>
      <c r="E104" s="331"/>
      <c r="F104" s="331"/>
      <c r="G104" s="331"/>
      <c r="H104" s="331"/>
      <c r="I104" s="331"/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</row>
    <row r="105" ht="15.75" customHeight="1">
      <c r="A105" s="331"/>
      <c r="B105" s="331"/>
      <c r="C105" s="331"/>
      <c r="D105" s="331"/>
      <c r="E105" s="331"/>
      <c r="F105" s="331"/>
      <c r="G105" s="331"/>
      <c r="H105" s="331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</row>
    <row r="106" ht="15.75" customHeight="1">
      <c r="A106" s="331"/>
      <c r="B106" s="331"/>
      <c r="C106" s="331"/>
      <c r="D106" s="331"/>
      <c r="E106" s="331"/>
      <c r="F106" s="331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</row>
    <row r="107" ht="15.75" customHeight="1">
      <c r="A107" s="331"/>
      <c r="B107" s="331"/>
      <c r="C107" s="331"/>
      <c r="D107" s="331"/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/>
      <c r="AK107" s="331"/>
      <c r="AL107" s="331"/>
    </row>
    <row r="108" ht="15.75" customHeight="1">
      <c r="A108" s="331"/>
      <c r="B108" s="331"/>
      <c r="C108" s="331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</row>
    <row r="109" ht="15.75" customHeight="1">
      <c r="A109" s="331"/>
      <c r="B109" s="331"/>
      <c r="C109" s="331"/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</row>
    <row r="110" ht="15.75" customHeight="1">
      <c r="A110" s="331"/>
      <c r="B110" s="331"/>
      <c r="C110" s="331"/>
      <c r="D110" s="331"/>
      <c r="E110" s="331"/>
      <c r="F110" s="331"/>
      <c r="G110" s="331"/>
      <c r="H110" s="331"/>
      <c r="I110" s="331"/>
      <c r="J110" s="331"/>
      <c r="K110" s="331"/>
      <c r="L110" s="331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W110" s="331"/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</row>
    <row r="111" ht="15.75" customHeight="1">
      <c r="A111" s="331"/>
      <c r="B111" s="331"/>
      <c r="C111" s="331"/>
      <c r="D111" s="331"/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331"/>
      <c r="AL111" s="331"/>
    </row>
    <row r="112" ht="15.75" customHeight="1">
      <c r="A112" s="331"/>
      <c r="B112" s="331"/>
      <c r="C112" s="331"/>
      <c r="D112" s="331"/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331"/>
      <c r="W112" s="331"/>
      <c r="X112" s="331"/>
      <c r="Y112" s="331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/>
      <c r="AK112" s="331"/>
      <c r="AL112" s="331"/>
    </row>
    <row r="113" ht="15.75" customHeight="1">
      <c r="A113" s="331"/>
      <c r="B113" s="331"/>
      <c r="C113" s="331"/>
      <c r="D113" s="331"/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</row>
    <row r="114" ht="15.75" customHeight="1">
      <c r="A114" s="331"/>
      <c r="B114" s="331"/>
      <c r="C114" s="331"/>
      <c r="D114" s="331"/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W114" s="331"/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</row>
    <row r="115" ht="15.75" customHeight="1">
      <c r="A115" s="331"/>
      <c r="B115" s="331"/>
      <c r="C115" s="331"/>
      <c r="D115" s="331"/>
      <c r="E115" s="331"/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</row>
    <row r="116" ht="15.75" customHeight="1">
      <c r="A116" s="331"/>
      <c r="B116" s="331"/>
      <c r="C116" s="331"/>
      <c r="D116" s="331"/>
      <c r="E116" s="331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</row>
    <row r="117" ht="15.75" customHeight="1">
      <c r="A117" s="331"/>
      <c r="B117" s="331"/>
      <c r="C117" s="331"/>
      <c r="D117" s="331"/>
      <c r="E117" s="331"/>
      <c r="F117" s="331"/>
      <c r="G117" s="331"/>
      <c r="H117" s="331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</row>
    <row r="118" ht="15.75" customHeight="1">
      <c r="A118" s="331"/>
      <c r="B118" s="331"/>
      <c r="C118" s="331"/>
      <c r="D118" s="331"/>
      <c r="E118" s="331"/>
      <c r="F118" s="331"/>
      <c r="G118" s="331"/>
      <c r="H118" s="331"/>
      <c r="I118" s="331"/>
      <c r="J118" s="331"/>
      <c r="K118" s="331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</row>
    <row r="119" ht="15.75" customHeight="1">
      <c r="A119" s="331"/>
      <c r="B119" s="331"/>
      <c r="C119" s="331"/>
      <c r="D119" s="331"/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</row>
    <row r="120" ht="15.75" customHeight="1">
      <c r="A120" s="331"/>
      <c r="B120" s="331"/>
      <c r="C120" s="331"/>
      <c r="D120" s="331"/>
      <c r="E120" s="331"/>
      <c r="F120" s="331"/>
      <c r="G120" s="331"/>
      <c r="H120" s="331"/>
      <c r="I120" s="331"/>
      <c r="J120" s="331"/>
      <c r="K120" s="331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331"/>
      <c r="W120" s="331"/>
      <c r="X120" s="331"/>
      <c r="Y120" s="331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/>
      <c r="AK120" s="331"/>
      <c r="AL120" s="331"/>
    </row>
    <row r="121" ht="15.75" customHeight="1">
      <c r="A121" s="331"/>
      <c r="B121" s="331"/>
      <c r="C121" s="331"/>
      <c r="D121" s="331"/>
      <c r="E121" s="331"/>
      <c r="F121" s="331"/>
      <c r="G121" s="331"/>
      <c r="H121" s="331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/>
      <c r="AK121" s="331"/>
      <c r="AL121" s="331"/>
    </row>
    <row r="122" ht="15.75" customHeight="1">
      <c r="A122" s="331"/>
      <c r="B122" s="331"/>
      <c r="C122" s="331"/>
      <c r="D122" s="331"/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/>
      <c r="AK122" s="331"/>
      <c r="AL122" s="331"/>
    </row>
    <row r="123" ht="15.75" customHeight="1">
      <c r="A123" s="331"/>
      <c r="B123" s="331"/>
      <c r="C123" s="331"/>
      <c r="D123" s="331"/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/>
      <c r="AK123" s="331"/>
      <c r="AL123" s="331"/>
    </row>
    <row r="124" ht="15.75" customHeight="1">
      <c r="A124" s="331"/>
      <c r="B124" s="331"/>
      <c r="C124" s="331"/>
      <c r="D124" s="331"/>
      <c r="E124" s="331"/>
      <c r="F124" s="331"/>
      <c r="G124" s="331"/>
      <c r="H124" s="331"/>
      <c r="I124" s="331"/>
      <c r="J124" s="331"/>
      <c r="K124" s="331"/>
      <c r="L124" s="331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/>
      <c r="AK124" s="331"/>
      <c r="AL124" s="331"/>
    </row>
    <row r="125" ht="15.75" customHeight="1">
      <c r="A125" s="331"/>
      <c r="B125" s="331"/>
      <c r="C125" s="331"/>
      <c r="D125" s="331"/>
      <c r="E125" s="331"/>
      <c r="F125" s="331"/>
      <c r="G125" s="331"/>
      <c r="H125" s="331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/>
      <c r="AK125" s="331"/>
      <c r="AL125" s="331"/>
    </row>
    <row r="126" ht="15.75" customHeight="1">
      <c r="A126" s="331"/>
      <c r="B126" s="331"/>
      <c r="C126" s="331"/>
      <c r="D126" s="331"/>
      <c r="E126" s="331"/>
      <c r="F126" s="331"/>
      <c r="G126" s="331"/>
      <c r="H126" s="331"/>
      <c r="I126" s="331"/>
      <c r="J126" s="331"/>
      <c r="K126" s="331"/>
      <c r="L126" s="331"/>
      <c r="M126" s="331"/>
      <c r="N126" s="331"/>
      <c r="O126" s="331"/>
      <c r="P126" s="331"/>
      <c r="Q126" s="331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</row>
    <row r="127" ht="15.75" customHeight="1">
      <c r="A127" s="331"/>
      <c r="B127" s="331"/>
      <c r="C127" s="331"/>
      <c r="D127" s="331"/>
      <c r="E127" s="331"/>
      <c r="F127" s="331"/>
      <c r="G127" s="331"/>
      <c r="H127" s="331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/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</row>
    <row r="128" ht="15.75" customHeight="1">
      <c r="A128" s="331"/>
      <c r="B128" s="331"/>
      <c r="C128" s="331"/>
      <c r="D128" s="331"/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331"/>
      <c r="W128" s="331"/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</row>
    <row r="129" ht="15.75" customHeight="1">
      <c r="A129" s="331"/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</row>
    <row r="130" ht="15.75" customHeight="1">
      <c r="A130" s="331"/>
      <c r="B130" s="331"/>
      <c r="C130" s="331"/>
      <c r="D130" s="331"/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331"/>
      <c r="W130" s="331"/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</row>
    <row r="131" ht="15.75" customHeight="1">
      <c r="A131" s="331"/>
      <c r="B131" s="331"/>
      <c r="C131" s="331"/>
      <c r="D131" s="331"/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/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/>
      <c r="AK131" s="331"/>
      <c r="AL131" s="331"/>
    </row>
    <row r="132" ht="15.75" customHeight="1">
      <c r="A132" s="331"/>
      <c r="B132" s="331"/>
      <c r="C132" s="331"/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</row>
    <row r="133" ht="15.75" customHeight="1">
      <c r="A133" s="331"/>
      <c r="B133" s="331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</row>
    <row r="134" ht="15.75" customHeight="1">
      <c r="A134" s="331"/>
      <c r="B134" s="331"/>
      <c r="C134" s="331"/>
      <c r="D134" s="331"/>
      <c r="E134" s="331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</row>
    <row r="135" ht="15.75" customHeight="1">
      <c r="A135" s="331"/>
      <c r="B135" s="331"/>
      <c r="C135" s="331"/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</row>
    <row r="136" ht="15.75" customHeight="1">
      <c r="A136" s="331"/>
      <c r="B136" s="331"/>
      <c r="C136" s="331"/>
      <c r="D136" s="331"/>
      <c r="E136" s="331"/>
      <c r="F136" s="331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</row>
    <row r="137" ht="15.75" customHeight="1">
      <c r="A137" s="331"/>
      <c r="B137" s="331"/>
      <c r="C137" s="331"/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</row>
    <row r="138" ht="15.75" customHeight="1">
      <c r="A138" s="331"/>
      <c r="B138" s="331"/>
      <c r="C138" s="331"/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</row>
    <row r="139" ht="15.75" customHeight="1">
      <c r="A139" s="331"/>
      <c r="B139" s="331"/>
      <c r="C139" s="331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</row>
    <row r="140" ht="15.75" customHeight="1">
      <c r="A140" s="331"/>
      <c r="B140" s="331"/>
      <c r="C140" s="331"/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</row>
    <row r="141" ht="15.75" customHeight="1">
      <c r="A141" s="331"/>
      <c r="B141" s="331"/>
      <c r="C141" s="331"/>
      <c r="D141" s="331"/>
      <c r="E141" s="331"/>
      <c r="F141" s="331"/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</row>
    <row r="142" ht="15.75" customHeight="1">
      <c r="A142" s="331"/>
      <c r="B142" s="331"/>
      <c r="C142" s="331"/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</row>
    <row r="143" ht="15.75" customHeight="1">
      <c r="A143" s="331"/>
      <c r="B143" s="331"/>
      <c r="C143" s="331"/>
      <c r="D143" s="331"/>
      <c r="E143" s="331"/>
      <c r="F143" s="331"/>
      <c r="G143" s="331"/>
      <c r="H143" s="331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</row>
    <row r="144" ht="15.75" customHeight="1">
      <c r="A144" s="331"/>
      <c r="B144" s="331"/>
      <c r="C144" s="331"/>
      <c r="D144" s="331"/>
      <c r="E144" s="331"/>
      <c r="F144" s="331"/>
      <c r="G144" s="331"/>
      <c r="H144" s="331"/>
      <c r="I144" s="331"/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</row>
    <row r="145" ht="15.75" customHeight="1">
      <c r="A145" s="331"/>
      <c r="B145" s="331"/>
      <c r="C145" s="331"/>
      <c r="D145" s="331"/>
      <c r="E145" s="331"/>
      <c r="F145" s="331"/>
      <c r="G145" s="331"/>
      <c r="H145" s="331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</row>
    <row r="146" ht="15.75" customHeight="1">
      <c r="A146" s="331"/>
      <c r="B146" s="331"/>
      <c r="C146" s="331"/>
      <c r="D146" s="331"/>
      <c r="E146" s="331"/>
      <c r="F146" s="331"/>
      <c r="G146" s="331"/>
      <c r="H146" s="331"/>
      <c r="I146" s="331"/>
      <c r="J146" s="331"/>
      <c r="K146" s="331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</row>
    <row r="147" ht="15.75" customHeight="1">
      <c r="A147" s="331"/>
      <c r="B147" s="331"/>
      <c r="C147" s="331"/>
      <c r="D147" s="331"/>
      <c r="E147" s="331"/>
      <c r="F147" s="331"/>
      <c r="G147" s="331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</row>
    <row r="148" ht="15.75" customHeight="1">
      <c r="A148" s="331"/>
      <c r="B148" s="331"/>
      <c r="C148" s="331"/>
      <c r="D148" s="331"/>
      <c r="E148" s="331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</row>
    <row r="149" ht="15.75" customHeight="1">
      <c r="A149" s="331"/>
      <c r="B149" s="331"/>
      <c r="C149" s="331"/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</row>
    <row r="150" ht="15.75" customHeight="1">
      <c r="A150" s="331"/>
      <c r="B150" s="331"/>
      <c r="C150" s="331"/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</row>
    <row r="151" ht="15.75" customHeight="1">
      <c r="A151" s="331"/>
      <c r="B151" s="331"/>
      <c r="C151" s="331"/>
      <c r="D151" s="331"/>
      <c r="E151" s="331"/>
      <c r="F151" s="331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</row>
    <row r="152" ht="15.75" customHeight="1">
      <c r="A152" s="331"/>
      <c r="B152" s="331"/>
      <c r="C152" s="331"/>
      <c r="D152" s="331"/>
      <c r="E152" s="331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</row>
    <row r="153" ht="15.75" customHeight="1">
      <c r="A153" s="331"/>
      <c r="B153" s="331"/>
      <c r="C153" s="331"/>
      <c r="D153" s="331"/>
      <c r="E153" s="331"/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</row>
    <row r="154" ht="15.75" customHeight="1">
      <c r="A154" s="331"/>
      <c r="B154" s="331"/>
      <c r="C154" s="331"/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</row>
    <row r="155" ht="15.75" customHeight="1">
      <c r="A155" s="331"/>
      <c r="B155" s="331"/>
      <c r="C155" s="331"/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</row>
    <row r="156" ht="15.75" customHeight="1">
      <c r="A156" s="331"/>
      <c r="B156" s="331"/>
      <c r="C156" s="331"/>
      <c r="D156" s="331"/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</row>
    <row r="157" ht="15.75" customHeight="1">
      <c r="A157" s="331"/>
      <c r="B157" s="331"/>
      <c r="C157" s="331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</row>
    <row r="158" ht="15.75" customHeight="1">
      <c r="A158" s="331"/>
      <c r="B158" s="331"/>
      <c r="C158" s="331"/>
      <c r="D158" s="331"/>
      <c r="E158" s="331"/>
      <c r="F158" s="331"/>
      <c r="G158" s="331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</row>
    <row r="159" ht="15.75" customHeight="1">
      <c r="A159" s="331"/>
      <c r="B159" s="331"/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</row>
    <row r="160" ht="15.75" customHeight="1">
      <c r="A160" s="331"/>
      <c r="B160" s="331"/>
      <c r="C160" s="331"/>
      <c r="D160" s="331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</row>
    <row r="161" ht="15.75" customHeight="1">
      <c r="A161" s="331"/>
      <c r="B161" s="331"/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</row>
    <row r="162" ht="15.75" customHeight="1">
      <c r="A162" s="331"/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</row>
    <row r="163" ht="15.75" customHeight="1">
      <c r="A163" s="331"/>
      <c r="B163" s="331"/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</row>
    <row r="164" ht="15.75" customHeight="1">
      <c r="A164" s="331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</row>
    <row r="165" ht="15.75" customHeight="1">
      <c r="A165" s="331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</row>
    <row r="166" ht="15.75" customHeight="1">
      <c r="A166" s="331"/>
      <c r="B166" s="331"/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</row>
    <row r="167" ht="15.75" customHeight="1">
      <c r="A167" s="331"/>
      <c r="B167" s="331"/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</row>
    <row r="168" ht="15.75" customHeight="1">
      <c r="A168" s="331"/>
      <c r="B168" s="331"/>
      <c r="C168" s="331"/>
      <c r="D168" s="331"/>
      <c r="E168" s="331"/>
      <c r="F168" s="331"/>
      <c r="G168" s="331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</row>
    <row r="169" ht="15.75" customHeight="1">
      <c r="A169" s="331"/>
      <c r="B169" s="331"/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</row>
    <row r="170" ht="15.75" customHeight="1">
      <c r="A170" s="331"/>
      <c r="B170" s="331"/>
      <c r="C170" s="331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</row>
    <row r="171" ht="15.75" customHeight="1">
      <c r="A171" s="331"/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</row>
    <row r="172" ht="15.75" customHeight="1">
      <c r="A172" s="331"/>
      <c r="B172" s="331"/>
      <c r="C172" s="331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</row>
    <row r="173" ht="15.75" customHeight="1">
      <c r="A173" s="331"/>
      <c r="B173" s="331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</row>
    <row r="174" ht="15.75" customHeight="1">
      <c r="A174" s="331"/>
      <c r="B174" s="331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</row>
    <row r="175" ht="15.75" customHeight="1">
      <c r="A175" s="331"/>
      <c r="B175" s="331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</row>
    <row r="176" ht="15.75" customHeight="1">
      <c r="A176" s="331"/>
      <c r="B176" s="331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</row>
    <row r="177" ht="15.75" customHeight="1">
      <c r="A177" s="331"/>
      <c r="B177" s="331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</row>
    <row r="178" ht="15.75" customHeight="1">
      <c r="A178" s="331"/>
      <c r="B178" s="331"/>
      <c r="C178" s="331"/>
      <c r="D178" s="331"/>
      <c r="E178" s="331"/>
      <c r="F178" s="331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</row>
    <row r="179" ht="15.75" customHeight="1">
      <c r="A179" s="331"/>
      <c r="B179" s="331"/>
      <c r="C179" s="331"/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</row>
    <row r="180" ht="15.75" customHeight="1">
      <c r="A180" s="331"/>
      <c r="B180" s="331"/>
      <c r="C180" s="331"/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</row>
    <row r="181" ht="15.75" customHeight="1">
      <c r="A181" s="331"/>
      <c r="B181" s="331"/>
      <c r="C181" s="331"/>
      <c r="D181" s="331"/>
      <c r="E181" s="331"/>
      <c r="F181" s="331"/>
      <c r="G181" s="331"/>
      <c r="H181" s="331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/>
      <c r="AK181" s="331"/>
      <c r="AL181" s="331"/>
    </row>
    <row r="182" ht="15.75" customHeight="1">
      <c r="A182" s="331"/>
      <c r="B182" s="331"/>
      <c r="C182" s="331"/>
      <c r="D182" s="331"/>
      <c r="E182" s="331"/>
      <c r="F182" s="331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/>
      <c r="AK182" s="331"/>
      <c r="AL182" s="331"/>
    </row>
    <row r="183" ht="15.75" customHeight="1">
      <c r="A183" s="331"/>
      <c r="B183" s="331"/>
      <c r="C183" s="331"/>
      <c r="D183" s="331"/>
      <c r="E183" s="331"/>
      <c r="F183" s="331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/>
      <c r="AK183" s="331"/>
      <c r="AL183" s="331"/>
    </row>
    <row r="184" ht="15.75" customHeight="1">
      <c r="A184" s="331"/>
      <c r="B184" s="331"/>
      <c r="C184" s="331"/>
      <c r="D184" s="331"/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W184" s="331"/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/>
      <c r="AK184" s="331"/>
      <c r="AL184" s="331"/>
    </row>
    <row r="185" ht="15.75" customHeight="1">
      <c r="A185" s="331"/>
      <c r="B185" s="331"/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</row>
    <row r="186" ht="15.75" customHeight="1">
      <c r="A186" s="331"/>
      <c r="B186" s="331"/>
      <c r="C186" s="331"/>
      <c r="D186" s="331"/>
      <c r="E186" s="331"/>
      <c r="F186" s="331"/>
      <c r="G186" s="331"/>
      <c r="H186" s="331"/>
      <c r="I186" s="331"/>
      <c r="J186" s="331"/>
      <c r="K186" s="331"/>
      <c r="L186" s="331"/>
      <c r="M186" s="331"/>
      <c r="N186" s="331"/>
      <c r="O186" s="331"/>
      <c r="P186" s="331"/>
      <c r="Q186" s="331"/>
      <c r="R186" s="331"/>
      <c r="S186" s="331"/>
      <c r="T186" s="331"/>
      <c r="U186" s="331"/>
      <c r="V186" s="331"/>
      <c r="W186" s="331"/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/>
      <c r="AK186" s="331"/>
      <c r="AL186" s="331"/>
    </row>
    <row r="187" ht="15.75" customHeight="1">
      <c r="A187" s="331"/>
      <c r="B187" s="331"/>
      <c r="C187" s="331"/>
      <c r="D187" s="331"/>
      <c r="E187" s="331"/>
      <c r="F187" s="331"/>
      <c r="G187" s="331"/>
      <c r="H187" s="331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/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/>
      <c r="AK187" s="331"/>
      <c r="AL187" s="331"/>
    </row>
    <row r="188" ht="15.75" customHeight="1">
      <c r="A188" s="331"/>
      <c r="B188" s="331"/>
      <c r="C188" s="331"/>
      <c r="D188" s="331"/>
      <c r="E188" s="331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W188" s="331"/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/>
      <c r="AK188" s="331"/>
      <c r="AL188" s="331"/>
    </row>
    <row r="189" ht="15.75" customHeight="1">
      <c r="A189" s="331"/>
      <c r="B189" s="331"/>
      <c r="C189" s="331"/>
      <c r="D189" s="331"/>
      <c r="E189" s="331"/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/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</row>
    <row r="190" ht="15.75" customHeight="1">
      <c r="A190" s="331"/>
      <c r="B190" s="331"/>
      <c r="C190" s="331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331"/>
      <c r="W190" s="331"/>
      <c r="X190" s="331"/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/>
      <c r="AK190" s="331"/>
      <c r="AL190" s="331"/>
    </row>
    <row r="191" ht="15.75" customHeight="1">
      <c r="A191" s="331"/>
      <c r="B191" s="331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/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/>
      <c r="AK191" s="331"/>
      <c r="AL191" s="331"/>
    </row>
    <row r="192" ht="15.75" customHeight="1">
      <c r="A192" s="331"/>
      <c r="B192" s="331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W192" s="331"/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/>
      <c r="AK192" s="331"/>
      <c r="AL192" s="331"/>
    </row>
    <row r="193" ht="15.75" customHeight="1">
      <c r="A193" s="331"/>
      <c r="B193" s="331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</row>
    <row r="194" ht="15.75" customHeight="1">
      <c r="A194" s="331"/>
      <c r="B194" s="331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</row>
    <row r="195" ht="15.75" customHeight="1">
      <c r="A195" s="331"/>
      <c r="B195" s="331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31"/>
      <c r="AL195" s="331"/>
    </row>
    <row r="196" ht="15.75" customHeight="1">
      <c r="A196" s="331"/>
      <c r="B196" s="331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/>
      <c r="AK196" s="331"/>
      <c r="AL196" s="331"/>
    </row>
    <row r="197" ht="15.75" customHeight="1">
      <c r="A197" s="331"/>
      <c r="B197" s="331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</row>
    <row r="198" ht="15.75" customHeight="1">
      <c r="A198" s="331"/>
      <c r="B198" s="331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/>
      <c r="AK198" s="331"/>
      <c r="AL198" s="331"/>
    </row>
    <row r="199" ht="15.75" customHeight="1">
      <c r="A199" s="331"/>
      <c r="B199" s="331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/>
      <c r="AK199" s="331"/>
      <c r="AL199" s="331"/>
    </row>
    <row r="200" ht="15.75" customHeight="1">
      <c r="A200" s="331"/>
      <c r="B200" s="331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/>
      <c r="AK200" s="331"/>
      <c r="AL200" s="331"/>
    </row>
    <row r="201" ht="15.75" customHeight="1">
      <c r="A201" s="331"/>
      <c r="B201" s="331"/>
      <c r="C201" s="331"/>
      <c r="D201" s="331"/>
      <c r="E201" s="331"/>
      <c r="F201" s="331"/>
      <c r="G201" s="331"/>
      <c r="H201" s="331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/>
      <c r="X201" s="331"/>
      <c r="Y201" s="331"/>
      <c r="Z201" s="331"/>
      <c r="AA201" s="331"/>
      <c r="AB201" s="331"/>
      <c r="AC201" s="331"/>
      <c r="AD201" s="331"/>
      <c r="AE201" s="331"/>
      <c r="AF201" s="331"/>
      <c r="AG201" s="331"/>
      <c r="AH201" s="331"/>
      <c r="AI201" s="331"/>
      <c r="AJ201" s="331"/>
      <c r="AK201" s="331"/>
      <c r="AL201" s="331"/>
    </row>
    <row r="202" ht="15.75" customHeight="1">
      <c r="A202" s="331"/>
      <c r="B202" s="331"/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  <c r="T202" s="331"/>
      <c r="U202" s="331"/>
      <c r="V202" s="331"/>
      <c r="W202" s="331"/>
      <c r="X202" s="331"/>
      <c r="Y202" s="331"/>
      <c r="Z202" s="331"/>
      <c r="AA202" s="331"/>
      <c r="AB202" s="331"/>
      <c r="AC202" s="331"/>
      <c r="AD202" s="331"/>
      <c r="AE202" s="331"/>
      <c r="AF202" s="331"/>
      <c r="AG202" s="331"/>
      <c r="AH202" s="331"/>
      <c r="AI202" s="331"/>
      <c r="AJ202" s="331"/>
      <c r="AK202" s="331"/>
      <c r="AL202" s="331"/>
    </row>
    <row r="203" ht="15.75" customHeight="1">
      <c r="A203" s="331"/>
      <c r="B203" s="331"/>
      <c r="C203" s="331"/>
      <c r="D203" s="331"/>
      <c r="E203" s="331"/>
      <c r="F203" s="331"/>
      <c r="G203" s="331"/>
      <c r="H203" s="331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/>
      <c r="X203" s="331"/>
      <c r="Y203" s="331"/>
      <c r="Z203" s="331"/>
      <c r="AA203" s="331"/>
      <c r="AB203" s="331"/>
      <c r="AC203" s="331"/>
      <c r="AD203" s="331"/>
      <c r="AE203" s="331"/>
      <c r="AF203" s="331"/>
      <c r="AG203" s="331"/>
      <c r="AH203" s="331"/>
      <c r="AI203" s="331"/>
      <c r="AJ203" s="331"/>
      <c r="AK203" s="331"/>
      <c r="AL203" s="331"/>
    </row>
    <row r="204" ht="15.75" customHeight="1">
      <c r="A204" s="331"/>
      <c r="B204" s="331"/>
      <c r="C204" s="331"/>
      <c r="D204" s="331"/>
      <c r="E204" s="331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/>
      <c r="AK204" s="331"/>
      <c r="AL204" s="331"/>
    </row>
    <row r="205" ht="15.75" customHeight="1">
      <c r="A205" s="331"/>
      <c r="B205" s="331"/>
      <c r="C205" s="331"/>
      <c r="D205" s="331"/>
      <c r="E205" s="331"/>
      <c r="F205" s="331"/>
      <c r="G205" s="331"/>
      <c r="H205" s="331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/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/>
      <c r="AK205" s="331"/>
      <c r="AL205" s="331"/>
    </row>
    <row r="206" ht="15.75" customHeight="1">
      <c r="A206" s="331"/>
      <c r="B206" s="331"/>
      <c r="C206" s="331"/>
      <c r="D206" s="331"/>
      <c r="E206" s="331"/>
      <c r="F206" s="331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/>
      <c r="Q206" s="331"/>
      <c r="R206" s="331"/>
      <c r="S206" s="331"/>
      <c r="T206" s="331"/>
      <c r="U206" s="331"/>
      <c r="V206" s="331"/>
      <c r="W206" s="331"/>
      <c r="X206" s="331"/>
      <c r="Y206" s="331"/>
      <c r="Z206" s="331"/>
      <c r="AA206" s="331"/>
      <c r="AB206" s="331"/>
      <c r="AC206" s="331"/>
      <c r="AD206" s="331"/>
      <c r="AE206" s="331"/>
      <c r="AF206" s="331"/>
      <c r="AG206" s="331"/>
      <c r="AH206" s="331"/>
      <c r="AI206" s="331"/>
      <c r="AJ206" s="331"/>
      <c r="AK206" s="331"/>
      <c r="AL206" s="331"/>
    </row>
    <row r="207" ht="15.75" customHeight="1">
      <c r="A207" s="331"/>
      <c r="B207" s="331"/>
      <c r="C207" s="331"/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31"/>
      <c r="AD207" s="331"/>
      <c r="AE207" s="331"/>
      <c r="AF207" s="331"/>
      <c r="AG207" s="331"/>
      <c r="AH207" s="331"/>
      <c r="AI207" s="331"/>
      <c r="AJ207" s="331"/>
      <c r="AK207" s="331"/>
      <c r="AL207" s="331"/>
    </row>
    <row r="208" ht="15.75" customHeight="1">
      <c r="A208" s="331"/>
      <c r="B208" s="331"/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31"/>
      <c r="AD208" s="331"/>
      <c r="AE208" s="331"/>
      <c r="AF208" s="331"/>
      <c r="AG208" s="331"/>
      <c r="AH208" s="331"/>
      <c r="AI208" s="331"/>
      <c r="AJ208" s="331"/>
      <c r="AK208" s="331"/>
      <c r="AL208" s="331"/>
    </row>
    <row r="209" ht="15.75" customHeight="1">
      <c r="A209" s="331"/>
      <c r="B209" s="331"/>
      <c r="C209" s="331"/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/>
      <c r="AK209" s="331"/>
      <c r="AL209" s="331"/>
    </row>
    <row r="210" ht="15.75" customHeight="1">
      <c r="A210" s="331"/>
      <c r="B210" s="331"/>
      <c r="C210" s="331"/>
      <c r="D210" s="331"/>
      <c r="E210" s="331"/>
      <c r="F210" s="331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31"/>
      <c r="AD210" s="331"/>
      <c r="AE210" s="331"/>
      <c r="AF210" s="331"/>
      <c r="AG210" s="331"/>
      <c r="AH210" s="331"/>
      <c r="AI210" s="331"/>
      <c r="AJ210" s="331"/>
      <c r="AK210" s="331"/>
      <c r="AL210" s="331"/>
    </row>
    <row r="211" ht="15.75" customHeight="1">
      <c r="A211" s="331"/>
      <c r="B211" s="331"/>
      <c r="C211" s="331"/>
      <c r="D211" s="331"/>
      <c r="E211" s="331"/>
      <c r="F211" s="331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/>
      <c r="AK211" s="331"/>
      <c r="AL211" s="331"/>
    </row>
    <row r="212" ht="15.75" customHeight="1">
      <c r="A212" s="331"/>
      <c r="B212" s="331"/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331"/>
      <c r="O212" s="331"/>
      <c r="P212" s="331"/>
      <c r="Q212" s="331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31"/>
      <c r="AD212" s="331"/>
      <c r="AE212" s="331"/>
      <c r="AF212" s="331"/>
      <c r="AG212" s="331"/>
      <c r="AH212" s="331"/>
      <c r="AI212" s="331"/>
      <c r="AJ212" s="331"/>
      <c r="AK212" s="331"/>
      <c r="AL212" s="331"/>
    </row>
    <row r="213" ht="15.75" customHeight="1">
      <c r="A213" s="331"/>
      <c r="B213" s="331"/>
      <c r="C213" s="331"/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</row>
    <row r="214" ht="15.75" customHeight="1">
      <c r="A214" s="331"/>
      <c r="B214" s="331"/>
      <c r="C214" s="331"/>
      <c r="D214" s="331"/>
      <c r="E214" s="331"/>
      <c r="F214" s="331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31"/>
      <c r="AD214" s="331"/>
      <c r="AE214" s="331"/>
      <c r="AF214" s="331"/>
      <c r="AG214" s="331"/>
      <c r="AH214" s="331"/>
      <c r="AI214" s="331"/>
      <c r="AJ214" s="331"/>
      <c r="AK214" s="331"/>
      <c r="AL214" s="331"/>
    </row>
    <row r="215" ht="15.75" customHeight="1">
      <c r="A215" s="331"/>
      <c r="B215" s="331"/>
      <c r="C215" s="331"/>
      <c r="D215" s="331"/>
      <c r="E215" s="331"/>
      <c r="F215" s="331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31"/>
      <c r="AD215" s="331"/>
      <c r="AE215" s="331"/>
      <c r="AF215" s="331"/>
      <c r="AG215" s="331"/>
      <c r="AH215" s="331"/>
      <c r="AI215" s="331"/>
      <c r="AJ215" s="331"/>
      <c r="AK215" s="331"/>
      <c r="AL215" s="331"/>
    </row>
    <row r="216" ht="15.75" customHeight="1">
      <c r="A216" s="331"/>
      <c r="B216" s="331"/>
      <c r="C216" s="331"/>
      <c r="D216" s="331"/>
      <c r="E216" s="331"/>
      <c r="F216" s="331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/>
      <c r="AK216" s="331"/>
      <c r="AL216" s="331"/>
    </row>
    <row r="217" ht="15.75" customHeight="1">
      <c r="A217" s="331"/>
      <c r="B217" s="331"/>
      <c r="C217" s="331"/>
      <c r="D217" s="331"/>
      <c r="E217" s="331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31"/>
      <c r="AD217" s="331"/>
      <c r="AE217" s="331"/>
      <c r="AF217" s="331"/>
      <c r="AG217" s="331"/>
      <c r="AH217" s="331"/>
      <c r="AI217" s="331"/>
      <c r="AJ217" s="331"/>
      <c r="AK217" s="331"/>
      <c r="AL217" s="331"/>
    </row>
    <row r="218" ht="15.75" customHeight="1">
      <c r="A218" s="331"/>
      <c r="B218" s="331"/>
      <c r="C218" s="331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31"/>
      <c r="AD218" s="331"/>
      <c r="AE218" s="331"/>
      <c r="AF218" s="331"/>
      <c r="AG218" s="331"/>
      <c r="AH218" s="331"/>
      <c r="AI218" s="331"/>
      <c r="AJ218" s="331"/>
      <c r="AK218" s="331"/>
      <c r="AL218" s="331"/>
    </row>
    <row r="219" ht="15.75" customHeight="1">
      <c r="A219" s="331"/>
      <c r="B219" s="331"/>
      <c r="C219" s="331"/>
      <c r="D219" s="331"/>
      <c r="E219" s="331"/>
      <c r="F219" s="331"/>
      <c r="G219" s="331"/>
      <c r="H219" s="331"/>
      <c r="I219" s="331"/>
      <c r="J219" s="331"/>
      <c r="K219" s="331"/>
      <c r="L219" s="331"/>
      <c r="M219" s="331"/>
      <c r="N219" s="331"/>
      <c r="O219" s="331"/>
      <c r="P219" s="331"/>
      <c r="Q219" s="331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31"/>
      <c r="AD219" s="331"/>
      <c r="AE219" s="331"/>
      <c r="AF219" s="331"/>
      <c r="AG219" s="331"/>
      <c r="AH219" s="331"/>
      <c r="AI219" s="331"/>
      <c r="AJ219" s="331"/>
      <c r="AK219" s="331"/>
      <c r="AL219" s="331"/>
    </row>
    <row r="220" ht="15.75" customHeight="1">
      <c r="A220" s="331"/>
      <c r="B220" s="331"/>
      <c r="C220" s="331"/>
      <c r="D220" s="331"/>
      <c r="E220" s="331"/>
      <c r="F220" s="331"/>
      <c r="G220" s="331"/>
      <c r="H220" s="331"/>
      <c r="I220" s="331"/>
      <c r="J220" s="331"/>
      <c r="K220" s="331"/>
      <c r="L220" s="331"/>
      <c r="M220" s="331"/>
      <c r="N220" s="331"/>
      <c r="O220" s="331"/>
      <c r="P220" s="331"/>
      <c r="Q220" s="331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31"/>
      <c r="AD220" s="331"/>
      <c r="AE220" s="331"/>
      <c r="AF220" s="331"/>
      <c r="AG220" s="331"/>
      <c r="AH220" s="331"/>
      <c r="AI220" s="331"/>
      <c r="AJ220" s="331"/>
      <c r="AK220" s="331"/>
      <c r="AL220" s="331"/>
    </row>
    <row r="221" ht="15.75" customHeight="1">
      <c r="A221" s="331"/>
      <c r="B221" s="331"/>
      <c r="C221" s="331"/>
      <c r="D221" s="331"/>
      <c r="E221" s="331"/>
      <c r="F221" s="331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31"/>
      <c r="AD221" s="331"/>
      <c r="AE221" s="331"/>
      <c r="AF221" s="331"/>
      <c r="AG221" s="331"/>
      <c r="AH221" s="331"/>
      <c r="AI221" s="331"/>
      <c r="AJ221" s="331"/>
      <c r="AK221" s="331"/>
      <c r="AL221" s="331"/>
    </row>
    <row r="222" ht="15.75" customHeight="1">
      <c r="A222" s="331"/>
      <c r="B222" s="331"/>
      <c r="C222" s="331"/>
      <c r="D222" s="331"/>
      <c r="E222" s="331"/>
      <c r="F222" s="331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/>
      <c r="Q222" s="331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31"/>
      <c r="AD222" s="331"/>
      <c r="AE222" s="331"/>
      <c r="AF222" s="331"/>
      <c r="AG222" s="331"/>
      <c r="AH222" s="331"/>
      <c r="AI222" s="331"/>
      <c r="AJ222" s="331"/>
      <c r="AK222" s="331"/>
      <c r="AL222" s="331"/>
    </row>
    <row r="223" ht="15.75" customHeight="1">
      <c r="A223" s="331"/>
      <c r="B223" s="331"/>
      <c r="C223" s="331"/>
      <c r="D223" s="331"/>
      <c r="E223" s="331"/>
      <c r="F223" s="331"/>
      <c r="G223" s="331"/>
      <c r="H223" s="331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/>
      <c r="AK223" s="331"/>
      <c r="AL223" s="331"/>
    </row>
    <row r="224" ht="15.75" customHeight="1">
      <c r="A224" s="331"/>
      <c r="B224" s="331"/>
      <c r="C224" s="331"/>
      <c r="D224" s="331"/>
      <c r="E224" s="331"/>
      <c r="F224" s="331"/>
      <c r="G224" s="331"/>
      <c r="H224" s="331"/>
      <c r="I224" s="331"/>
      <c r="J224" s="331"/>
      <c r="K224" s="331"/>
      <c r="L224" s="331"/>
      <c r="M224" s="331"/>
      <c r="N224" s="331"/>
      <c r="O224" s="331"/>
      <c r="P224" s="331"/>
      <c r="Q224" s="331"/>
      <c r="R224" s="331"/>
      <c r="S224" s="331"/>
      <c r="T224" s="331"/>
      <c r="U224" s="331"/>
      <c r="V224" s="331"/>
      <c r="W224" s="331"/>
      <c r="X224" s="331"/>
      <c r="Y224" s="331"/>
      <c r="Z224" s="331"/>
      <c r="AA224" s="331"/>
      <c r="AB224" s="331"/>
      <c r="AC224" s="331"/>
      <c r="AD224" s="331"/>
      <c r="AE224" s="331"/>
      <c r="AF224" s="331"/>
      <c r="AG224" s="331"/>
      <c r="AH224" s="331"/>
      <c r="AI224" s="331"/>
      <c r="AJ224" s="331"/>
      <c r="AK224" s="331"/>
      <c r="AL224" s="331"/>
    </row>
    <row r="225" ht="15.75" customHeight="1">
      <c r="A225" s="331"/>
      <c r="B225" s="331"/>
      <c r="C225" s="331"/>
      <c r="D225" s="331"/>
      <c r="E225" s="331"/>
      <c r="F225" s="331"/>
      <c r="G225" s="331"/>
      <c r="H225" s="331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/>
      <c r="X225" s="331"/>
      <c r="Y225" s="331"/>
      <c r="Z225" s="331"/>
      <c r="AA225" s="331"/>
      <c r="AB225" s="331"/>
      <c r="AC225" s="331"/>
      <c r="AD225" s="331"/>
      <c r="AE225" s="331"/>
      <c r="AF225" s="331"/>
      <c r="AG225" s="331"/>
      <c r="AH225" s="331"/>
      <c r="AI225" s="331"/>
      <c r="AJ225" s="331"/>
      <c r="AK225" s="331"/>
      <c r="AL225" s="331"/>
    </row>
    <row r="226" ht="15.75" customHeight="1">
      <c r="A226" s="331"/>
      <c r="B226" s="331"/>
      <c r="C226" s="331"/>
      <c r="D226" s="331"/>
      <c r="E226" s="331"/>
      <c r="F226" s="331"/>
      <c r="G226" s="331"/>
      <c r="H226" s="331"/>
      <c r="I226" s="331"/>
      <c r="J226" s="331"/>
      <c r="K226" s="331"/>
      <c r="L226" s="331"/>
      <c r="M226" s="331"/>
      <c r="N226" s="331"/>
      <c r="O226" s="331"/>
      <c r="P226" s="331"/>
      <c r="Q226" s="331"/>
      <c r="R226" s="331"/>
      <c r="S226" s="331"/>
      <c r="T226" s="331"/>
      <c r="U226" s="331"/>
      <c r="V226" s="331"/>
      <c r="W226" s="331"/>
      <c r="X226" s="331"/>
      <c r="Y226" s="331"/>
      <c r="Z226" s="331"/>
      <c r="AA226" s="331"/>
      <c r="AB226" s="331"/>
      <c r="AC226" s="331"/>
      <c r="AD226" s="331"/>
      <c r="AE226" s="331"/>
      <c r="AF226" s="331"/>
      <c r="AG226" s="331"/>
      <c r="AH226" s="331"/>
      <c r="AI226" s="331"/>
      <c r="AJ226" s="331"/>
      <c r="AK226" s="331"/>
      <c r="AL226" s="331"/>
    </row>
    <row r="227" ht="15.75" customHeight="1">
      <c r="A227" s="331"/>
      <c r="B227" s="331"/>
      <c r="C227" s="331"/>
      <c r="D227" s="331"/>
      <c r="E227" s="331"/>
      <c r="F227" s="331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/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/>
      <c r="AK227" s="331"/>
      <c r="AL227" s="331"/>
    </row>
    <row r="228" ht="15.75" customHeight="1">
      <c r="A228" s="331"/>
      <c r="B228" s="331"/>
      <c r="C228" s="331"/>
      <c r="D228" s="331"/>
      <c r="E228" s="331"/>
      <c r="F228" s="331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/>
      <c r="Q228" s="331"/>
      <c r="R228" s="331"/>
      <c r="S228" s="331"/>
      <c r="T228" s="331"/>
      <c r="U228" s="331"/>
      <c r="V228" s="331"/>
      <c r="W228" s="331"/>
      <c r="X228" s="331"/>
      <c r="Y228" s="331"/>
      <c r="Z228" s="331"/>
      <c r="AA228" s="331"/>
      <c r="AB228" s="331"/>
      <c r="AC228" s="331"/>
      <c r="AD228" s="331"/>
      <c r="AE228" s="331"/>
      <c r="AF228" s="331"/>
      <c r="AG228" s="331"/>
      <c r="AH228" s="331"/>
      <c r="AI228" s="331"/>
      <c r="AJ228" s="331"/>
      <c r="AK228" s="331"/>
      <c r="AL228" s="331"/>
    </row>
    <row r="229" ht="15.75" customHeight="1">
      <c r="A229" s="331"/>
      <c r="B229" s="331"/>
      <c r="C229" s="331"/>
      <c r="D229" s="331"/>
      <c r="E229" s="331"/>
      <c r="F229" s="331"/>
      <c r="G229" s="331"/>
      <c r="H229" s="331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/>
      <c r="X229" s="331"/>
      <c r="Y229" s="331"/>
      <c r="Z229" s="331"/>
      <c r="AA229" s="331"/>
      <c r="AB229" s="331"/>
      <c r="AC229" s="331"/>
      <c r="AD229" s="331"/>
      <c r="AE229" s="331"/>
      <c r="AF229" s="331"/>
      <c r="AG229" s="331"/>
      <c r="AH229" s="331"/>
      <c r="AI229" s="331"/>
      <c r="AJ229" s="331"/>
      <c r="AK229" s="331"/>
      <c r="AL229" s="331"/>
    </row>
    <row r="230" ht="15.75" customHeight="1">
      <c r="A230" s="331"/>
      <c r="B230" s="331"/>
      <c r="C230" s="331"/>
      <c r="D230" s="331"/>
      <c r="E230" s="331"/>
      <c r="F230" s="331"/>
      <c r="G230" s="331"/>
      <c r="H230" s="331"/>
      <c r="I230" s="331"/>
      <c r="J230" s="331"/>
      <c r="K230" s="331"/>
      <c r="L230" s="331"/>
      <c r="M230" s="331"/>
      <c r="N230" s="331"/>
      <c r="O230" s="331"/>
      <c r="P230" s="331"/>
      <c r="Q230" s="331"/>
      <c r="R230" s="331"/>
      <c r="S230" s="331"/>
      <c r="T230" s="331"/>
      <c r="U230" s="331"/>
      <c r="V230" s="331"/>
      <c r="W230" s="331"/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/>
      <c r="AK230" s="331"/>
      <c r="AL230" s="331"/>
    </row>
    <row r="231" ht="15.75" customHeight="1">
      <c r="A231" s="331"/>
      <c r="B231" s="331"/>
      <c r="C231" s="331"/>
      <c r="D231" s="331"/>
      <c r="E231" s="331"/>
      <c r="F231" s="331"/>
      <c r="G231" s="331"/>
      <c r="H231" s="331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/>
      <c r="X231" s="331"/>
      <c r="Y231" s="331"/>
      <c r="Z231" s="331"/>
      <c r="AA231" s="331"/>
      <c r="AB231" s="331"/>
      <c r="AC231" s="331"/>
      <c r="AD231" s="331"/>
      <c r="AE231" s="331"/>
      <c r="AF231" s="331"/>
      <c r="AG231" s="331"/>
      <c r="AH231" s="331"/>
      <c r="AI231" s="331"/>
      <c r="AJ231" s="331"/>
      <c r="AK231" s="331"/>
      <c r="AL231" s="331"/>
    </row>
    <row r="232" ht="15.75" customHeight="1">
      <c r="A232" s="331"/>
      <c r="B232" s="331"/>
      <c r="C232" s="331"/>
      <c r="D232" s="331"/>
      <c r="E232" s="331"/>
      <c r="F232" s="331"/>
      <c r="G232" s="331"/>
      <c r="H232" s="331"/>
      <c r="I232" s="331"/>
      <c r="J232" s="331"/>
      <c r="K232" s="331"/>
      <c r="L232" s="331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</row>
    <row r="233" ht="15.75" customHeight="1">
      <c r="A233" s="331"/>
      <c r="B233" s="331"/>
      <c r="C233" s="331"/>
      <c r="D233" s="331"/>
      <c r="E233" s="331"/>
      <c r="F233" s="331"/>
      <c r="G233" s="331"/>
      <c r="H233" s="331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</row>
    <row r="234" ht="15.75" customHeight="1">
      <c r="A234" s="331"/>
      <c r="B234" s="331"/>
      <c r="C234" s="331"/>
      <c r="D234" s="331"/>
      <c r="E234" s="331"/>
      <c r="F234" s="331"/>
      <c r="G234" s="331"/>
      <c r="H234" s="331"/>
      <c r="I234" s="331"/>
      <c r="J234" s="331"/>
      <c r="K234" s="331"/>
      <c r="L234" s="331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</row>
    <row r="235" ht="15.75" customHeight="1">
      <c r="A235" s="331"/>
      <c r="B235" s="331"/>
      <c r="C235" s="331"/>
      <c r="D235" s="331"/>
      <c r="E235" s="331"/>
      <c r="F235" s="331"/>
      <c r="G235" s="331"/>
      <c r="H235" s="331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</row>
    <row r="236" ht="15.75" customHeight="1">
      <c r="A236" s="331"/>
      <c r="B236" s="331"/>
      <c r="C236" s="331"/>
      <c r="D236" s="331"/>
      <c r="E236" s="331"/>
      <c r="F236" s="331"/>
      <c r="G236" s="331"/>
      <c r="H236" s="331"/>
      <c r="I236" s="331"/>
      <c r="J236" s="331"/>
      <c r="K236" s="331"/>
      <c r="L236" s="331"/>
      <c r="M236" s="331"/>
      <c r="N236" s="331"/>
      <c r="O236" s="331"/>
      <c r="P236" s="331"/>
      <c r="Q236" s="331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</row>
    <row r="237" ht="15.75" customHeight="1">
      <c r="A237" s="331"/>
      <c r="B237" s="331"/>
      <c r="C237" s="331"/>
      <c r="D237" s="331"/>
      <c r="E237" s="331"/>
      <c r="F237" s="331"/>
      <c r="G237" s="331"/>
      <c r="H237" s="331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</row>
    <row r="238" ht="15.75" customHeight="1">
      <c r="A238" s="331"/>
      <c r="B238" s="331"/>
      <c r="C238" s="331"/>
      <c r="D238" s="331"/>
      <c r="E238" s="331"/>
      <c r="F238" s="331"/>
      <c r="G238" s="331"/>
      <c r="H238" s="331"/>
      <c r="I238" s="331"/>
      <c r="J238" s="331"/>
      <c r="K238" s="331"/>
      <c r="L238" s="331"/>
      <c r="M238" s="331"/>
      <c r="N238" s="331"/>
      <c r="O238" s="331"/>
      <c r="P238" s="331"/>
      <c r="Q238" s="331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</row>
    <row r="239" ht="15.75" customHeight="1">
      <c r="A239" s="331"/>
      <c r="B239" s="331"/>
      <c r="C239" s="331"/>
      <c r="D239" s="331"/>
      <c r="E239" s="331"/>
      <c r="F239" s="331"/>
      <c r="G239" s="331"/>
      <c r="H239" s="331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</row>
    <row r="240" ht="15.75" customHeight="1">
      <c r="A240" s="331"/>
      <c r="B240" s="331"/>
      <c r="C240" s="331"/>
      <c r="D240" s="331"/>
      <c r="E240" s="331"/>
      <c r="F240" s="331"/>
      <c r="G240" s="331"/>
      <c r="H240" s="331"/>
      <c r="I240" s="331"/>
      <c r="J240" s="331"/>
      <c r="K240" s="331"/>
      <c r="L240" s="331"/>
      <c r="M240" s="331"/>
      <c r="N240" s="331"/>
      <c r="O240" s="331"/>
      <c r="P240" s="331"/>
      <c r="Q240" s="331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</row>
    <row r="241" ht="15.75" customHeight="1">
      <c r="A241" s="331"/>
      <c r="B241" s="331"/>
      <c r="C241" s="331"/>
      <c r="D241" s="331"/>
      <c r="E241" s="331"/>
      <c r="F241" s="331"/>
      <c r="G241" s="331"/>
      <c r="H241" s="331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</row>
    <row r="242" ht="15.75" customHeight="1">
      <c r="A242" s="331"/>
      <c r="B242" s="331"/>
      <c r="C242" s="331"/>
      <c r="D242" s="331"/>
      <c r="E242" s="331"/>
      <c r="F242" s="331"/>
      <c r="G242" s="331"/>
      <c r="H242" s="331"/>
      <c r="I242" s="331"/>
      <c r="J242" s="331"/>
      <c r="K242" s="331"/>
      <c r="L242" s="331"/>
      <c r="M242" s="331"/>
      <c r="N242" s="331"/>
      <c r="O242" s="331"/>
      <c r="P242" s="331"/>
      <c r="Q242" s="331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/>
      <c r="AK242" s="331"/>
      <c r="AL242" s="331"/>
    </row>
    <row r="243" ht="15.75" customHeight="1">
      <c r="A243" s="331"/>
      <c r="B243" s="331"/>
      <c r="C243" s="331"/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31"/>
      <c r="AD243" s="331"/>
      <c r="AE243" s="331"/>
      <c r="AF243" s="331"/>
      <c r="AG243" s="331"/>
      <c r="AH243" s="331"/>
      <c r="AI243" s="331"/>
      <c r="AJ243" s="331"/>
      <c r="AK243" s="331"/>
      <c r="AL243" s="331"/>
    </row>
    <row r="244" ht="15.75" customHeight="1">
      <c r="A244" s="331"/>
      <c r="B244" s="331"/>
      <c r="C244" s="331"/>
      <c r="D244" s="331"/>
      <c r="E244" s="331"/>
      <c r="F244" s="331"/>
      <c r="G244" s="331"/>
      <c r="H244" s="331"/>
      <c r="I244" s="331"/>
      <c r="J244" s="331"/>
      <c r="K244" s="331"/>
      <c r="L244" s="331"/>
      <c r="M244" s="331"/>
      <c r="N244" s="331"/>
      <c r="O244" s="331"/>
      <c r="P244" s="331"/>
      <c r="Q244" s="331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31"/>
      <c r="AD244" s="331"/>
      <c r="AE244" s="331"/>
      <c r="AF244" s="331"/>
      <c r="AG244" s="331"/>
      <c r="AH244" s="331"/>
      <c r="AI244" s="331"/>
      <c r="AJ244" s="331"/>
      <c r="AK244" s="331"/>
      <c r="AL244" s="331"/>
    </row>
    <row r="245" ht="15.75" customHeight="1">
      <c r="A245" s="331"/>
      <c r="B245" s="331"/>
      <c r="C245" s="331"/>
      <c r="D245" s="331"/>
      <c r="E245" s="331"/>
      <c r="F245" s="331"/>
      <c r="G245" s="331"/>
      <c r="H245" s="331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31"/>
      <c r="AD245" s="331"/>
      <c r="AE245" s="331"/>
      <c r="AF245" s="331"/>
      <c r="AG245" s="331"/>
      <c r="AH245" s="331"/>
      <c r="AI245" s="331"/>
      <c r="AJ245" s="331"/>
      <c r="AK245" s="331"/>
      <c r="AL245" s="331"/>
    </row>
    <row r="246" ht="15.75" customHeight="1">
      <c r="A246" s="331"/>
      <c r="B246" s="331"/>
      <c r="C246" s="331"/>
      <c r="D246" s="331"/>
      <c r="E246" s="331"/>
      <c r="F246" s="331"/>
      <c r="G246" s="331"/>
      <c r="H246" s="331"/>
      <c r="I246" s="331"/>
      <c r="J246" s="331"/>
      <c r="K246" s="331"/>
      <c r="L246" s="331"/>
      <c r="M246" s="331"/>
      <c r="N246" s="331"/>
      <c r="O246" s="331"/>
      <c r="P246" s="331"/>
      <c r="Q246" s="331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31"/>
      <c r="AD246" s="331"/>
      <c r="AE246" s="331"/>
      <c r="AF246" s="331"/>
      <c r="AG246" s="331"/>
      <c r="AH246" s="331"/>
      <c r="AI246" s="331"/>
      <c r="AJ246" s="331"/>
      <c r="AK246" s="331"/>
      <c r="AL246" s="331"/>
    </row>
    <row r="247" ht="15.75" customHeight="1">
      <c r="A247" s="331"/>
      <c r="B247" s="331"/>
      <c r="C247" s="331"/>
      <c r="D247" s="331"/>
      <c r="E247" s="331"/>
      <c r="F247" s="331"/>
      <c r="G247" s="331"/>
      <c r="H247" s="331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/>
      <c r="AK247" s="331"/>
      <c r="AL247" s="331"/>
    </row>
    <row r="248" ht="15.75" customHeight="1">
      <c r="A248" s="331"/>
      <c r="B248" s="331"/>
      <c r="C248" s="331"/>
      <c r="D248" s="331"/>
      <c r="E248" s="331"/>
      <c r="F248" s="331"/>
      <c r="G248" s="331"/>
      <c r="H248" s="331"/>
      <c r="I248" s="331"/>
      <c r="J248" s="331"/>
      <c r="K248" s="331"/>
      <c r="L248" s="331"/>
      <c r="M248" s="331"/>
      <c r="N248" s="331"/>
      <c r="O248" s="331"/>
      <c r="P248" s="331"/>
      <c r="Q248" s="331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31"/>
      <c r="AD248" s="331"/>
      <c r="AE248" s="331"/>
      <c r="AF248" s="331"/>
      <c r="AG248" s="331"/>
      <c r="AH248" s="331"/>
      <c r="AI248" s="331"/>
      <c r="AJ248" s="331"/>
      <c r="AK248" s="331"/>
      <c r="AL248" s="331"/>
    </row>
    <row r="249" ht="15.75" customHeight="1">
      <c r="A249" s="331"/>
      <c r="B249" s="331"/>
      <c r="C249" s="331"/>
      <c r="D249" s="331"/>
      <c r="E249" s="331"/>
      <c r="F249" s="331"/>
      <c r="G249" s="331"/>
      <c r="H249" s="331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31"/>
      <c r="AD249" s="331"/>
      <c r="AE249" s="331"/>
      <c r="AF249" s="331"/>
      <c r="AG249" s="331"/>
      <c r="AH249" s="331"/>
      <c r="AI249" s="331"/>
      <c r="AJ249" s="331"/>
      <c r="AK249" s="331"/>
      <c r="AL249" s="331"/>
    </row>
    <row r="250" ht="15.75" customHeight="1">
      <c r="A250" s="331"/>
      <c r="B250" s="331"/>
      <c r="C250" s="331"/>
      <c r="D250" s="331"/>
      <c r="E250" s="331"/>
      <c r="F250" s="331"/>
      <c r="G250" s="331"/>
      <c r="H250" s="331"/>
      <c r="I250" s="331"/>
      <c r="J250" s="331"/>
      <c r="K250" s="331"/>
      <c r="L250" s="331"/>
      <c r="M250" s="331"/>
      <c r="N250" s="331"/>
      <c r="O250" s="331"/>
      <c r="P250" s="331"/>
      <c r="Q250" s="331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31"/>
      <c r="AD250" s="331"/>
      <c r="AE250" s="331"/>
      <c r="AF250" s="331"/>
      <c r="AG250" s="331"/>
      <c r="AH250" s="331"/>
      <c r="AI250" s="331"/>
      <c r="AJ250" s="331"/>
      <c r="AK250" s="331"/>
      <c r="AL250" s="331"/>
    </row>
    <row r="251" ht="15.75" customHeight="1">
      <c r="A251" s="331"/>
      <c r="B251" s="331"/>
      <c r="C251" s="331"/>
      <c r="D251" s="331"/>
      <c r="E251" s="331"/>
      <c r="F251" s="331"/>
      <c r="G251" s="331"/>
      <c r="H251" s="331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31"/>
      <c r="AD251" s="331"/>
      <c r="AE251" s="331"/>
      <c r="AF251" s="331"/>
      <c r="AG251" s="331"/>
      <c r="AH251" s="331"/>
      <c r="AI251" s="331"/>
      <c r="AJ251" s="331"/>
      <c r="AK251" s="331"/>
      <c r="AL251" s="331"/>
    </row>
    <row r="252" ht="15.75" customHeight="1">
      <c r="A252" s="331"/>
      <c r="B252" s="331"/>
      <c r="C252" s="331"/>
      <c r="D252" s="331"/>
      <c r="E252" s="331"/>
      <c r="F252" s="331"/>
      <c r="G252" s="331"/>
      <c r="H252" s="331"/>
      <c r="I252" s="331"/>
      <c r="J252" s="331"/>
      <c r="K252" s="331"/>
      <c r="L252" s="331"/>
      <c r="M252" s="331"/>
      <c r="N252" s="331"/>
      <c r="O252" s="331"/>
      <c r="P252" s="331"/>
      <c r="Q252" s="331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31"/>
      <c r="AD252" s="331"/>
      <c r="AE252" s="331"/>
      <c r="AF252" s="331"/>
      <c r="AG252" s="331"/>
      <c r="AH252" s="331"/>
      <c r="AI252" s="331"/>
      <c r="AJ252" s="331"/>
      <c r="AK252" s="331"/>
      <c r="AL252" s="331"/>
    </row>
    <row r="253" ht="15.75" customHeight="1">
      <c r="A253" s="331"/>
      <c r="B253" s="331"/>
      <c r="C253" s="331"/>
      <c r="D253" s="331"/>
      <c r="E253" s="331"/>
      <c r="F253" s="331"/>
      <c r="G253" s="331"/>
      <c r="H253" s="331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31"/>
      <c r="AD253" s="331"/>
      <c r="AE253" s="331"/>
      <c r="AF253" s="331"/>
      <c r="AG253" s="331"/>
      <c r="AH253" s="331"/>
      <c r="AI253" s="331"/>
      <c r="AJ253" s="331"/>
      <c r="AK253" s="331"/>
      <c r="AL253" s="331"/>
    </row>
    <row r="254" ht="15.75" customHeight="1">
      <c r="A254" s="331"/>
      <c r="B254" s="331"/>
      <c r="C254" s="331"/>
      <c r="D254" s="331"/>
      <c r="E254" s="331"/>
      <c r="F254" s="331"/>
      <c r="G254" s="331"/>
      <c r="H254" s="331"/>
      <c r="I254" s="331"/>
      <c r="J254" s="331"/>
      <c r="K254" s="331"/>
      <c r="L254" s="331"/>
      <c r="M254" s="331"/>
      <c r="N254" s="331"/>
      <c r="O254" s="331"/>
      <c r="P254" s="331"/>
      <c r="Q254" s="331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31"/>
      <c r="AD254" s="331"/>
      <c r="AE254" s="331"/>
      <c r="AF254" s="331"/>
      <c r="AG254" s="331"/>
      <c r="AH254" s="331"/>
      <c r="AI254" s="331"/>
      <c r="AJ254" s="331"/>
      <c r="AK254" s="331"/>
      <c r="AL254" s="331"/>
    </row>
    <row r="255" ht="15.75" customHeight="1">
      <c r="A255" s="331"/>
      <c r="B255" s="331"/>
      <c r="C255" s="331"/>
      <c r="D255" s="331"/>
      <c r="E255" s="331"/>
      <c r="F255" s="331"/>
      <c r="G255" s="331"/>
      <c r="H255" s="331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31"/>
      <c r="AD255" s="331"/>
      <c r="AE255" s="331"/>
      <c r="AF255" s="331"/>
      <c r="AG255" s="331"/>
      <c r="AH255" s="331"/>
      <c r="AI255" s="331"/>
      <c r="AJ255" s="331"/>
      <c r="AK255" s="331"/>
      <c r="AL255" s="331"/>
    </row>
    <row r="256" ht="15.75" customHeight="1">
      <c r="A256" s="331"/>
      <c r="B256" s="331"/>
      <c r="C256" s="331"/>
      <c r="D256" s="331"/>
      <c r="E256" s="331"/>
      <c r="F256" s="331"/>
      <c r="G256" s="331"/>
      <c r="H256" s="331"/>
      <c r="I256" s="331"/>
      <c r="J256" s="331"/>
      <c r="K256" s="331"/>
      <c r="L256" s="331"/>
      <c r="M256" s="331"/>
      <c r="N256" s="331"/>
      <c r="O256" s="331"/>
      <c r="P256" s="331"/>
      <c r="Q256" s="331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31"/>
      <c r="AD256" s="331"/>
      <c r="AE256" s="331"/>
      <c r="AF256" s="331"/>
      <c r="AG256" s="331"/>
      <c r="AH256" s="331"/>
      <c r="AI256" s="331"/>
      <c r="AJ256" s="331"/>
      <c r="AK256" s="331"/>
      <c r="AL256" s="331"/>
    </row>
    <row r="257" ht="15.75" customHeight="1">
      <c r="A257" s="331"/>
      <c r="B257" s="331"/>
      <c r="C257" s="331"/>
      <c r="D257" s="331"/>
      <c r="E257" s="331"/>
      <c r="F257" s="331"/>
      <c r="G257" s="331"/>
      <c r="H257" s="331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31"/>
      <c r="AD257" s="331"/>
      <c r="AE257" s="331"/>
      <c r="AF257" s="331"/>
      <c r="AG257" s="331"/>
      <c r="AH257" s="331"/>
      <c r="AI257" s="331"/>
      <c r="AJ257" s="331"/>
      <c r="AK257" s="331"/>
      <c r="AL257" s="331"/>
    </row>
    <row r="258" ht="15.75" customHeight="1">
      <c r="A258" s="331"/>
      <c r="B258" s="331"/>
      <c r="C258" s="331"/>
      <c r="D258" s="331"/>
      <c r="E258" s="331"/>
      <c r="F258" s="331"/>
      <c r="G258" s="331"/>
      <c r="H258" s="331"/>
      <c r="I258" s="331"/>
      <c r="J258" s="331"/>
      <c r="K258" s="331"/>
      <c r="L258" s="331"/>
      <c r="M258" s="331"/>
      <c r="N258" s="331"/>
      <c r="O258" s="331"/>
      <c r="P258" s="331"/>
      <c r="Q258" s="331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31"/>
      <c r="AD258" s="331"/>
      <c r="AE258" s="331"/>
      <c r="AF258" s="331"/>
      <c r="AG258" s="331"/>
      <c r="AH258" s="331"/>
      <c r="AI258" s="331"/>
      <c r="AJ258" s="331"/>
      <c r="AK258" s="331"/>
      <c r="AL258" s="331"/>
    </row>
    <row r="259" ht="15.75" customHeight="1">
      <c r="A259" s="331"/>
      <c r="B259" s="331"/>
      <c r="C259" s="331"/>
      <c r="D259" s="331"/>
      <c r="E259" s="331"/>
      <c r="F259" s="331"/>
      <c r="G259" s="331"/>
      <c r="H259" s="331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31"/>
      <c r="AD259" s="331"/>
      <c r="AE259" s="331"/>
      <c r="AF259" s="331"/>
      <c r="AG259" s="331"/>
      <c r="AH259" s="331"/>
      <c r="AI259" s="331"/>
      <c r="AJ259" s="331"/>
      <c r="AK259" s="331"/>
      <c r="AL259" s="331"/>
    </row>
    <row r="260" ht="15.75" customHeight="1">
      <c r="A260" s="331"/>
      <c r="B260" s="331"/>
      <c r="C260" s="331"/>
      <c r="D260" s="331"/>
      <c r="E260" s="331"/>
      <c r="F260" s="331"/>
      <c r="G260" s="331"/>
      <c r="H260" s="331"/>
      <c r="I260" s="331"/>
      <c r="J260" s="331"/>
      <c r="K260" s="331"/>
      <c r="L260" s="331"/>
      <c r="M260" s="331"/>
      <c r="N260" s="331"/>
      <c r="O260" s="331"/>
      <c r="P260" s="331"/>
      <c r="Q260" s="331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31"/>
      <c r="AD260" s="331"/>
      <c r="AE260" s="331"/>
      <c r="AF260" s="331"/>
      <c r="AG260" s="331"/>
      <c r="AH260" s="331"/>
      <c r="AI260" s="331"/>
      <c r="AJ260" s="331"/>
      <c r="AK260" s="331"/>
      <c r="AL260" s="331"/>
    </row>
    <row r="261" ht="15.75" customHeight="1">
      <c r="A261" s="331"/>
      <c r="B261" s="331"/>
      <c r="C261" s="331"/>
      <c r="D261" s="331"/>
      <c r="E261" s="331"/>
      <c r="F261" s="331"/>
      <c r="G261" s="331"/>
      <c r="H261" s="331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31"/>
      <c r="AD261" s="331"/>
      <c r="AE261" s="331"/>
      <c r="AF261" s="331"/>
      <c r="AG261" s="331"/>
      <c r="AH261" s="331"/>
      <c r="AI261" s="331"/>
      <c r="AJ261" s="331"/>
      <c r="AK261" s="331"/>
      <c r="AL261" s="331"/>
    </row>
    <row r="262" ht="15.75" customHeight="1">
      <c r="A262" s="331"/>
      <c r="B262" s="331"/>
      <c r="C262" s="331"/>
      <c r="D262" s="331"/>
      <c r="E262" s="331"/>
      <c r="F262" s="331"/>
      <c r="G262" s="331"/>
      <c r="H262" s="331"/>
      <c r="I262" s="331"/>
      <c r="J262" s="331"/>
      <c r="K262" s="331"/>
      <c r="L262" s="331"/>
      <c r="M262" s="331"/>
      <c r="N262" s="331"/>
      <c r="O262" s="331"/>
      <c r="P262" s="331"/>
      <c r="Q262" s="331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31"/>
      <c r="AD262" s="331"/>
      <c r="AE262" s="331"/>
      <c r="AF262" s="331"/>
      <c r="AG262" s="331"/>
      <c r="AH262" s="331"/>
      <c r="AI262" s="331"/>
      <c r="AJ262" s="331"/>
      <c r="AK262" s="331"/>
      <c r="AL262" s="331"/>
    </row>
    <row r="263" ht="15.75" customHeight="1">
      <c r="A263" s="331"/>
      <c r="B263" s="331"/>
      <c r="C263" s="331"/>
      <c r="D263" s="331"/>
      <c r="E263" s="331"/>
      <c r="F263" s="331"/>
      <c r="G263" s="331"/>
      <c r="H263" s="331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  <c r="AD263" s="331"/>
      <c r="AE263" s="331"/>
      <c r="AF263" s="331"/>
      <c r="AG263" s="331"/>
      <c r="AH263" s="331"/>
      <c r="AI263" s="331"/>
      <c r="AJ263" s="331"/>
      <c r="AK263" s="331"/>
      <c r="AL263" s="331"/>
    </row>
    <row r="264" ht="15.75" customHeight="1">
      <c r="A264" s="331"/>
      <c r="B264" s="331"/>
      <c r="C264" s="331"/>
      <c r="D264" s="331"/>
      <c r="E264" s="331"/>
      <c r="F264" s="331"/>
      <c r="G264" s="331"/>
      <c r="H264" s="331"/>
      <c r="I264" s="331"/>
      <c r="J264" s="331"/>
      <c r="K264" s="331"/>
      <c r="L264" s="331"/>
      <c r="M264" s="331"/>
      <c r="N264" s="331"/>
      <c r="O264" s="331"/>
      <c r="P264" s="331"/>
      <c r="Q264" s="331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  <c r="AD264" s="331"/>
      <c r="AE264" s="331"/>
      <c r="AF264" s="331"/>
      <c r="AG264" s="331"/>
      <c r="AH264" s="331"/>
      <c r="AI264" s="331"/>
      <c r="AJ264" s="331"/>
      <c r="AK264" s="331"/>
      <c r="AL264" s="331"/>
    </row>
    <row r="265" ht="15.75" customHeight="1">
      <c r="A265" s="331"/>
      <c r="B265" s="331"/>
      <c r="C265" s="331"/>
      <c r="D265" s="331"/>
      <c r="E265" s="331"/>
      <c r="F265" s="331"/>
      <c r="G265" s="331"/>
      <c r="H265" s="331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31"/>
      <c r="AF265" s="331"/>
      <c r="AG265" s="331"/>
      <c r="AH265" s="331"/>
      <c r="AI265" s="331"/>
      <c r="AJ265" s="331"/>
      <c r="AK265" s="331"/>
      <c r="AL265" s="331"/>
    </row>
    <row r="266" ht="15.75" customHeight="1">
      <c r="A266" s="331"/>
      <c r="B266" s="331"/>
      <c r="C266" s="331"/>
      <c r="D266" s="331"/>
      <c r="E266" s="331"/>
      <c r="F266" s="331"/>
      <c r="G266" s="331"/>
      <c r="H266" s="331"/>
      <c r="I266" s="331"/>
      <c r="J266" s="331"/>
      <c r="K266" s="331"/>
      <c r="L266" s="331"/>
      <c r="M266" s="331"/>
      <c r="N266" s="331"/>
      <c r="O266" s="331"/>
      <c r="P266" s="331"/>
      <c r="Q266" s="331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  <c r="AD266" s="331"/>
      <c r="AE266" s="331"/>
      <c r="AF266" s="331"/>
      <c r="AG266" s="331"/>
      <c r="AH266" s="331"/>
      <c r="AI266" s="331"/>
      <c r="AJ266" s="331"/>
      <c r="AK266" s="331"/>
      <c r="AL266" s="331"/>
    </row>
    <row r="267" ht="15.75" customHeight="1">
      <c r="A267" s="331"/>
      <c r="B267" s="331"/>
      <c r="C267" s="331"/>
      <c r="D267" s="331"/>
      <c r="E267" s="331"/>
      <c r="F267" s="331"/>
      <c r="G267" s="331"/>
      <c r="H267" s="331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  <c r="AD267" s="331"/>
      <c r="AE267" s="331"/>
      <c r="AF267" s="331"/>
      <c r="AG267" s="331"/>
      <c r="AH267" s="331"/>
      <c r="AI267" s="331"/>
      <c r="AJ267" s="331"/>
      <c r="AK267" s="331"/>
      <c r="AL267" s="331"/>
    </row>
    <row r="268" ht="15.75" customHeight="1">
      <c r="A268" s="331"/>
      <c r="B268" s="331"/>
      <c r="C268" s="331"/>
      <c r="D268" s="331"/>
      <c r="E268" s="331"/>
      <c r="F268" s="331"/>
      <c r="G268" s="331"/>
      <c r="H268" s="331"/>
      <c r="I268" s="331"/>
      <c r="J268" s="331"/>
      <c r="K268" s="331"/>
      <c r="L268" s="331"/>
      <c r="M268" s="331"/>
      <c r="N268" s="331"/>
      <c r="O268" s="331"/>
      <c r="P268" s="331"/>
      <c r="Q268" s="331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  <c r="AD268" s="331"/>
      <c r="AE268" s="331"/>
      <c r="AF268" s="331"/>
      <c r="AG268" s="331"/>
      <c r="AH268" s="331"/>
      <c r="AI268" s="331"/>
      <c r="AJ268" s="331"/>
      <c r="AK268" s="331"/>
      <c r="AL268" s="331"/>
    </row>
    <row r="269" ht="15.75" customHeight="1">
      <c r="A269" s="331"/>
      <c r="B269" s="331"/>
      <c r="C269" s="331"/>
      <c r="D269" s="331"/>
      <c r="E269" s="331"/>
      <c r="F269" s="331"/>
      <c r="G269" s="331"/>
      <c r="H269" s="331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  <c r="AD269" s="331"/>
      <c r="AE269" s="331"/>
      <c r="AF269" s="331"/>
      <c r="AG269" s="331"/>
      <c r="AH269" s="331"/>
      <c r="AI269" s="331"/>
      <c r="AJ269" s="331"/>
      <c r="AK269" s="331"/>
      <c r="AL269" s="331"/>
    </row>
    <row r="270" ht="15.75" customHeight="1">
      <c r="A270" s="331"/>
      <c r="B270" s="331"/>
      <c r="C270" s="331"/>
      <c r="D270" s="331"/>
      <c r="E270" s="331"/>
      <c r="F270" s="331"/>
      <c r="G270" s="331"/>
      <c r="H270" s="331"/>
      <c r="I270" s="331"/>
      <c r="J270" s="331"/>
      <c r="K270" s="331"/>
      <c r="L270" s="331"/>
      <c r="M270" s="331"/>
      <c r="N270" s="331"/>
      <c r="O270" s="331"/>
      <c r="P270" s="331"/>
      <c r="Q270" s="331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  <c r="AD270" s="331"/>
      <c r="AE270" s="331"/>
      <c r="AF270" s="331"/>
      <c r="AG270" s="331"/>
      <c r="AH270" s="331"/>
      <c r="AI270" s="331"/>
      <c r="AJ270" s="331"/>
      <c r="AK270" s="331"/>
      <c r="AL270" s="331"/>
    </row>
    <row r="271" ht="15.75" customHeight="1">
      <c r="A271" s="331"/>
      <c r="B271" s="331"/>
      <c r="C271" s="331"/>
      <c r="D271" s="331"/>
      <c r="E271" s="331"/>
      <c r="F271" s="331"/>
      <c r="G271" s="331"/>
      <c r="H271" s="331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/>
      <c r="AK271" s="331"/>
      <c r="AL271" s="331"/>
    </row>
    <row r="272" ht="15.75" customHeight="1">
      <c r="A272" s="331"/>
      <c r="B272" s="331"/>
      <c r="C272" s="331"/>
      <c r="D272" s="331"/>
      <c r="E272" s="331"/>
      <c r="F272" s="331"/>
      <c r="G272" s="331"/>
      <c r="H272" s="331"/>
      <c r="I272" s="331"/>
      <c r="J272" s="331"/>
      <c r="K272" s="331"/>
      <c r="L272" s="331"/>
      <c r="M272" s="331"/>
      <c r="N272" s="331"/>
      <c r="O272" s="331"/>
      <c r="P272" s="331"/>
      <c r="Q272" s="331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  <c r="AD272" s="331"/>
      <c r="AE272" s="331"/>
      <c r="AF272" s="331"/>
      <c r="AG272" s="331"/>
      <c r="AH272" s="331"/>
      <c r="AI272" s="331"/>
      <c r="AJ272" s="331"/>
      <c r="AK272" s="331"/>
      <c r="AL272" s="331"/>
    </row>
    <row r="273" ht="15.75" customHeight="1">
      <c r="A273" s="331"/>
      <c r="B273" s="331"/>
      <c r="C273" s="331"/>
      <c r="D273" s="331"/>
      <c r="E273" s="331"/>
      <c r="F273" s="331"/>
      <c r="G273" s="331"/>
      <c r="H273" s="331"/>
      <c r="I273" s="331"/>
      <c r="J273" s="331"/>
      <c r="K273" s="331"/>
      <c r="L273" s="331"/>
      <c r="M273" s="331"/>
      <c r="N273" s="331"/>
      <c r="O273" s="331"/>
      <c r="P273" s="331"/>
      <c r="Q273" s="331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  <c r="AD273" s="331"/>
      <c r="AE273" s="331"/>
      <c r="AF273" s="331"/>
      <c r="AG273" s="331"/>
      <c r="AH273" s="331"/>
      <c r="AI273" s="331"/>
      <c r="AJ273" s="331"/>
      <c r="AK273" s="331"/>
      <c r="AL273" s="331"/>
    </row>
    <row r="274" ht="15.75" customHeight="1">
      <c r="A274" s="331"/>
      <c r="B274" s="331"/>
      <c r="C274" s="331"/>
      <c r="D274" s="331"/>
      <c r="E274" s="331"/>
      <c r="F274" s="331"/>
      <c r="G274" s="331"/>
      <c r="H274" s="331"/>
      <c r="I274" s="331"/>
      <c r="J274" s="331"/>
      <c r="K274" s="331"/>
      <c r="L274" s="331"/>
      <c r="M274" s="331"/>
      <c r="N274" s="331"/>
      <c r="O274" s="331"/>
      <c r="P274" s="331"/>
      <c r="Q274" s="331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/>
      <c r="AK274" s="331"/>
      <c r="AL274" s="331"/>
    </row>
    <row r="275" ht="15.75" customHeight="1">
      <c r="A275" s="331"/>
      <c r="B275" s="331"/>
      <c r="C275" s="331"/>
      <c r="D275" s="331"/>
      <c r="E275" s="331"/>
      <c r="F275" s="331"/>
      <c r="G275" s="331"/>
      <c r="H275" s="331"/>
      <c r="I275" s="331"/>
      <c r="J275" s="331"/>
      <c r="K275" s="331"/>
      <c r="L275" s="331"/>
      <c r="M275" s="331"/>
      <c r="N275" s="331"/>
      <c r="O275" s="331"/>
      <c r="P275" s="331"/>
      <c r="Q275" s="331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  <c r="AD275" s="331"/>
      <c r="AE275" s="331"/>
      <c r="AF275" s="331"/>
      <c r="AG275" s="331"/>
      <c r="AH275" s="331"/>
      <c r="AI275" s="331"/>
      <c r="AJ275" s="331"/>
      <c r="AK275" s="331"/>
      <c r="AL275" s="331"/>
    </row>
    <row r="276" ht="15.75" customHeight="1">
      <c r="A276" s="331"/>
      <c r="B276" s="331"/>
      <c r="C276" s="331"/>
      <c r="D276" s="331"/>
      <c r="E276" s="331"/>
      <c r="F276" s="331"/>
      <c r="G276" s="331"/>
      <c r="H276" s="331"/>
      <c r="I276" s="331"/>
      <c r="J276" s="331"/>
      <c r="K276" s="331"/>
      <c r="L276" s="331"/>
      <c r="M276" s="331"/>
      <c r="N276" s="331"/>
      <c r="O276" s="331"/>
      <c r="P276" s="331"/>
      <c r="Q276" s="331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  <c r="AD276" s="331"/>
      <c r="AE276" s="331"/>
      <c r="AF276" s="331"/>
      <c r="AG276" s="331"/>
      <c r="AH276" s="331"/>
      <c r="AI276" s="331"/>
      <c r="AJ276" s="331"/>
      <c r="AK276" s="331"/>
      <c r="AL276" s="331"/>
    </row>
    <row r="277" ht="15.75" customHeight="1">
      <c r="A277" s="331"/>
      <c r="B277" s="331"/>
      <c r="C277" s="331"/>
      <c r="D277" s="331"/>
      <c r="E277" s="331"/>
      <c r="F277" s="331"/>
      <c r="G277" s="331"/>
      <c r="H277" s="331"/>
      <c r="I277" s="331"/>
      <c r="J277" s="331"/>
      <c r="K277" s="331"/>
      <c r="L277" s="331"/>
      <c r="M277" s="331"/>
      <c r="N277" s="331"/>
      <c r="O277" s="331"/>
      <c r="P277" s="331"/>
      <c r="Q277" s="331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  <c r="AD277" s="331"/>
      <c r="AE277" s="331"/>
      <c r="AF277" s="331"/>
      <c r="AG277" s="331"/>
      <c r="AH277" s="331"/>
      <c r="AI277" s="331"/>
      <c r="AJ277" s="331"/>
      <c r="AK277" s="331"/>
      <c r="AL277" s="331"/>
    </row>
    <row r="278" ht="15.75" customHeight="1">
      <c r="A278" s="331"/>
      <c r="B278" s="331"/>
      <c r="C278" s="331"/>
      <c r="D278" s="331"/>
      <c r="E278" s="331"/>
      <c r="F278" s="331"/>
      <c r="G278" s="331"/>
      <c r="H278" s="331"/>
      <c r="I278" s="331"/>
      <c r="J278" s="331"/>
      <c r="K278" s="331"/>
      <c r="L278" s="331"/>
      <c r="M278" s="331"/>
      <c r="N278" s="331"/>
      <c r="O278" s="331"/>
      <c r="P278" s="331"/>
      <c r="Q278" s="331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  <c r="AD278" s="331"/>
      <c r="AE278" s="331"/>
      <c r="AF278" s="331"/>
      <c r="AG278" s="331"/>
      <c r="AH278" s="331"/>
      <c r="AI278" s="331"/>
      <c r="AJ278" s="331"/>
      <c r="AK278" s="331"/>
      <c r="AL278" s="331"/>
    </row>
    <row r="279" ht="15.75" customHeight="1">
      <c r="A279" s="331"/>
      <c r="B279" s="331"/>
      <c r="C279" s="331"/>
      <c r="D279" s="331"/>
      <c r="E279" s="331"/>
      <c r="F279" s="331"/>
      <c r="G279" s="331"/>
      <c r="H279" s="331"/>
      <c r="I279" s="331"/>
      <c r="J279" s="331"/>
      <c r="K279" s="331"/>
      <c r="L279" s="331"/>
      <c r="M279" s="331"/>
      <c r="N279" s="331"/>
      <c r="O279" s="331"/>
      <c r="P279" s="331"/>
      <c r="Q279" s="331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  <c r="AD279" s="331"/>
      <c r="AE279" s="331"/>
      <c r="AF279" s="331"/>
      <c r="AG279" s="331"/>
      <c r="AH279" s="331"/>
      <c r="AI279" s="331"/>
      <c r="AJ279" s="331"/>
      <c r="AK279" s="331"/>
      <c r="AL279" s="331"/>
    </row>
    <row r="280" ht="15.75" customHeight="1">
      <c r="A280" s="331"/>
      <c r="B280" s="331"/>
      <c r="C280" s="331"/>
      <c r="D280" s="331"/>
      <c r="E280" s="331"/>
      <c r="F280" s="331"/>
      <c r="G280" s="331"/>
      <c r="H280" s="331"/>
      <c r="I280" s="331"/>
      <c r="J280" s="331"/>
      <c r="K280" s="331"/>
      <c r="L280" s="331"/>
      <c r="M280" s="331"/>
      <c r="N280" s="331"/>
      <c r="O280" s="331"/>
      <c r="P280" s="331"/>
      <c r="Q280" s="331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  <c r="AD280" s="331"/>
      <c r="AE280" s="331"/>
      <c r="AF280" s="331"/>
      <c r="AG280" s="331"/>
      <c r="AH280" s="331"/>
      <c r="AI280" s="331"/>
      <c r="AJ280" s="331"/>
      <c r="AK280" s="331"/>
      <c r="AL280" s="331"/>
    </row>
    <row r="281" ht="15.75" customHeight="1">
      <c r="A281" s="331"/>
      <c r="B281" s="331"/>
      <c r="C281" s="331"/>
      <c r="D281" s="331"/>
      <c r="E281" s="331"/>
      <c r="F281" s="331"/>
      <c r="G281" s="331"/>
      <c r="H281" s="331"/>
      <c r="I281" s="331"/>
      <c r="J281" s="331"/>
      <c r="K281" s="331"/>
      <c r="L281" s="331"/>
      <c r="M281" s="331"/>
      <c r="N281" s="331"/>
      <c r="O281" s="331"/>
      <c r="P281" s="331"/>
      <c r="Q281" s="331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  <c r="AD281" s="331"/>
      <c r="AE281" s="331"/>
      <c r="AF281" s="331"/>
      <c r="AG281" s="331"/>
      <c r="AH281" s="331"/>
      <c r="AI281" s="331"/>
      <c r="AJ281" s="331"/>
      <c r="AK281" s="331"/>
      <c r="AL281" s="331"/>
    </row>
    <row r="282" ht="15.75" customHeight="1">
      <c r="A282" s="331"/>
      <c r="B282" s="331"/>
      <c r="C282" s="331"/>
      <c r="D282" s="331"/>
      <c r="E282" s="331"/>
      <c r="F282" s="331"/>
      <c r="G282" s="331"/>
      <c r="H282" s="331"/>
      <c r="I282" s="331"/>
      <c r="J282" s="331"/>
      <c r="K282" s="331"/>
      <c r="L282" s="331"/>
      <c r="M282" s="331"/>
      <c r="N282" s="331"/>
      <c r="O282" s="331"/>
      <c r="P282" s="331"/>
      <c r="Q282" s="331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  <c r="AD282" s="331"/>
      <c r="AE282" s="331"/>
      <c r="AF282" s="331"/>
      <c r="AG282" s="331"/>
      <c r="AH282" s="331"/>
      <c r="AI282" s="331"/>
      <c r="AJ282" s="331"/>
      <c r="AK282" s="331"/>
      <c r="AL282" s="331"/>
    </row>
    <row r="283" ht="15.75" customHeight="1">
      <c r="A283" s="331"/>
      <c r="B283" s="331"/>
      <c r="C283" s="331"/>
      <c r="D283" s="331"/>
      <c r="E283" s="331"/>
      <c r="F283" s="331"/>
      <c r="G283" s="331"/>
      <c r="H283" s="331"/>
      <c r="I283" s="331"/>
      <c r="J283" s="331"/>
      <c r="K283" s="331"/>
      <c r="L283" s="331"/>
      <c r="M283" s="331"/>
      <c r="N283" s="331"/>
      <c r="O283" s="331"/>
      <c r="P283" s="331"/>
      <c r="Q283" s="331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  <c r="AD283" s="331"/>
      <c r="AE283" s="331"/>
      <c r="AF283" s="331"/>
      <c r="AG283" s="331"/>
      <c r="AH283" s="331"/>
      <c r="AI283" s="331"/>
      <c r="AJ283" s="331"/>
      <c r="AK283" s="331"/>
      <c r="AL283" s="331"/>
    </row>
    <row r="284" ht="15.75" customHeight="1">
      <c r="A284" s="331"/>
      <c r="B284" s="331"/>
      <c r="C284" s="331"/>
      <c r="D284" s="331"/>
      <c r="E284" s="331"/>
      <c r="F284" s="331"/>
      <c r="G284" s="331"/>
      <c r="H284" s="331"/>
      <c r="I284" s="331"/>
      <c r="J284" s="331"/>
      <c r="K284" s="331"/>
      <c r="L284" s="331"/>
      <c r="M284" s="331"/>
      <c r="N284" s="331"/>
      <c r="O284" s="331"/>
      <c r="P284" s="331"/>
      <c r="Q284" s="331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  <c r="AD284" s="331"/>
      <c r="AE284" s="331"/>
      <c r="AF284" s="331"/>
      <c r="AG284" s="331"/>
      <c r="AH284" s="331"/>
      <c r="AI284" s="331"/>
      <c r="AJ284" s="331"/>
      <c r="AK284" s="331"/>
      <c r="AL284" s="331"/>
    </row>
    <row r="285" ht="15.75" customHeight="1">
      <c r="A285" s="331"/>
      <c r="B285" s="331"/>
      <c r="C285" s="331"/>
      <c r="D285" s="331"/>
      <c r="E285" s="331"/>
      <c r="F285" s="331"/>
      <c r="G285" s="331"/>
      <c r="H285" s="331"/>
      <c r="I285" s="331"/>
      <c r="J285" s="331"/>
      <c r="K285" s="331"/>
      <c r="L285" s="331"/>
      <c r="M285" s="331"/>
      <c r="N285" s="331"/>
      <c r="O285" s="331"/>
      <c r="P285" s="331"/>
      <c r="Q285" s="331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  <c r="AD285" s="331"/>
      <c r="AE285" s="331"/>
      <c r="AF285" s="331"/>
      <c r="AG285" s="331"/>
      <c r="AH285" s="331"/>
      <c r="AI285" s="331"/>
      <c r="AJ285" s="331"/>
      <c r="AK285" s="331"/>
      <c r="AL285" s="331"/>
    </row>
    <row r="286" ht="15.75" customHeight="1">
      <c r="A286" s="331"/>
      <c r="B286" s="331"/>
      <c r="C286" s="331"/>
      <c r="D286" s="331"/>
      <c r="E286" s="331"/>
      <c r="F286" s="331"/>
      <c r="G286" s="331"/>
      <c r="H286" s="331"/>
      <c r="I286" s="331"/>
      <c r="J286" s="331"/>
      <c r="K286" s="331"/>
      <c r="L286" s="331"/>
      <c r="M286" s="331"/>
      <c r="N286" s="331"/>
      <c r="O286" s="331"/>
      <c r="P286" s="331"/>
      <c r="Q286" s="331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  <c r="AD286" s="331"/>
      <c r="AE286" s="331"/>
      <c r="AF286" s="331"/>
      <c r="AG286" s="331"/>
      <c r="AH286" s="331"/>
      <c r="AI286" s="331"/>
      <c r="AJ286" s="331"/>
      <c r="AK286" s="331"/>
      <c r="AL286" s="331"/>
    </row>
    <row r="287" ht="15.75" customHeight="1">
      <c r="A287" s="331"/>
      <c r="B287" s="331"/>
      <c r="C287" s="331"/>
      <c r="D287" s="331"/>
      <c r="E287" s="331"/>
      <c r="F287" s="331"/>
      <c r="G287" s="331"/>
      <c r="H287" s="331"/>
      <c r="I287" s="331"/>
      <c r="J287" s="331"/>
      <c r="K287" s="331"/>
      <c r="L287" s="331"/>
      <c r="M287" s="331"/>
      <c r="N287" s="331"/>
      <c r="O287" s="331"/>
      <c r="P287" s="331"/>
      <c r="Q287" s="331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331"/>
    </row>
    <row r="288" ht="15.75" customHeight="1">
      <c r="A288" s="331"/>
      <c r="B288" s="331"/>
      <c r="C288" s="331"/>
      <c r="D288" s="331"/>
      <c r="E288" s="331"/>
      <c r="F288" s="331"/>
      <c r="G288" s="331"/>
      <c r="H288" s="331"/>
      <c r="I288" s="331"/>
      <c r="J288" s="331"/>
      <c r="K288" s="331"/>
      <c r="L288" s="331"/>
      <c r="M288" s="331"/>
      <c r="N288" s="331"/>
      <c r="O288" s="331"/>
      <c r="P288" s="331"/>
      <c r="Q288" s="331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/>
      <c r="AK288" s="331"/>
      <c r="AL288" s="331"/>
    </row>
    <row r="289" ht="15.75" customHeight="1">
      <c r="A289" s="331"/>
      <c r="B289" s="331"/>
      <c r="C289" s="331"/>
      <c r="D289" s="331"/>
      <c r="E289" s="331"/>
      <c r="F289" s="331"/>
      <c r="G289" s="331"/>
      <c r="H289" s="331"/>
      <c r="I289" s="331"/>
      <c r="J289" s="331"/>
      <c r="K289" s="331"/>
      <c r="L289" s="331"/>
      <c r="M289" s="331"/>
      <c r="N289" s="331"/>
      <c r="O289" s="331"/>
      <c r="P289" s="331"/>
      <c r="Q289" s="331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  <c r="AD289" s="331"/>
      <c r="AE289" s="331"/>
      <c r="AF289" s="331"/>
      <c r="AG289" s="331"/>
      <c r="AH289" s="331"/>
      <c r="AI289" s="331"/>
      <c r="AJ289" s="331"/>
      <c r="AK289" s="331"/>
      <c r="AL289" s="331"/>
    </row>
    <row r="290" ht="15.75" customHeight="1">
      <c r="A290" s="331"/>
      <c r="B290" s="331"/>
      <c r="C290" s="331"/>
      <c r="D290" s="331"/>
      <c r="E290" s="331"/>
      <c r="F290" s="331"/>
      <c r="G290" s="331"/>
      <c r="H290" s="331"/>
      <c r="I290" s="331"/>
      <c r="J290" s="331"/>
      <c r="K290" s="331"/>
      <c r="L290" s="331"/>
      <c r="M290" s="331"/>
      <c r="N290" s="331"/>
      <c r="O290" s="331"/>
      <c r="P290" s="331"/>
      <c r="Q290" s="331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  <c r="AD290" s="331"/>
      <c r="AE290" s="331"/>
      <c r="AF290" s="331"/>
      <c r="AG290" s="331"/>
      <c r="AH290" s="331"/>
      <c r="AI290" s="331"/>
      <c r="AJ290" s="331"/>
      <c r="AK290" s="331"/>
      <c r="AL290" s="331"/>
    </row>
    <row r="291" ht="15.75" customHeight="1">
      <c r="A291" s="331"/>
      <c r="B291" s="331"/>
      <c r="C291" s="331"/>
      <c r="D291" s="331"/>
      <c r="E291" s="331"/>
      <c r="F291" s="331"/>
      <c r="G291" s="331"/>
      <c r="H291" s="331"/>
      <c r="I291" s="331"/>
      <c r="J291" s="331"/>
      <c r="K291" s="331"/>
      <c r="L291" s="331"/>
      <c r="M291" s="331"/>
      <c r="N291" s="331"/>
      <c r="O291" s="331"/>
      <c r="P291" s="331"/>
      <c r="Q291" s="331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  <c r="AD291" s="331"/>
      <c r="AE291" s="331"/>
      <c r="AF291" s="331"/>
      <c r="AG291" s="331"/>
      <c r="AH291" s="331"/>
      <c r="AI291" s="331"/>
      <c r="AJ291" s="331"/>
      <c r="AK291" s="331"/>
      <c r="AL291" s="331"/>
    </row>
    <row r="292" ht="15.75" customHeight="1">
      <c r="A292" s="331"/>
      <c r="B292" s="331"/>
      <c r="C292" s="331"/>
      <c r="D292" s="331"/>
      <c r="E292" s="331"/>
      <c r="F292" s="331"/>
      <c r="G292" s="331"/>
      <c r="H292" s="331"/>
      <c r="I292" s="331"/>
      <c r="J292" s="331"/>
      <c r="K292" s="331"/>
      <c r="L292" s="331"/>
      <c r="M292" s="331"/>
      <c r="N292" s="331"/>
      <c r="O292" s="331"/>
      <c r="P292" s="331"/>
      <c r="Q292" s="331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  <c r="AD292" s="331"/>
      <c r="AE292" s="331"/>
      <c r="AF292" s="331"/>
      <c r="AG292" s="331"/>
      <c r="AH292" s="331"/>
      <c r="AI292" s="331"/>
      <c r="AJ292" s="331"/>
      <c r="AK292" s="331"/>
      <c r="AL292" s="331"/>
    </row>
    <row r="293" ht="15.75" customHeight="1">
      <c r="A293" s="331"/>
      <c r="B293" s="331"/>
      <c r="C293" s="331"/>
      <c r="D293" s="331"/>
      <c r="E293" s="331"/>
      <c r="F293" s="331"/>
      <c r="G293" s="331"/>
      <c r="H293" s="331"/>
      <c r="I293" s="331"/>
      <c r="J293" s="331"/>
      <c r="K293" s="331"/>
      <c r="L293" s="331"/>
      <c r="M293" s="331"/>
      <c r="N293" s="331"/>
      <c r="O293" s="331"/>
      <c r="P293" s="331"/>
      <c r="Q293" s="331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  <c r="AD293" s="331"/>
      <c r="AE293" s="331"/>
      <c r="AF293" s="331"/>
      <c r="AG293" s="331"/>
      <c r="AH293" s="331"/>
      <c r="AI293" s="331"/>
      <c r="AJ293" s="331"/>
      <c r="AK293" s="331"/>
      <c r="AL293" s="331"/>
    </row>
    <row r="294" ht="15.75" customHeight="1">
      <c r="A294" s="331"/>
      <c r="B294" s="331"/>
      <c r="C294" s="331"/>
      <c r="D294" s="331"/>
      <c r="E294" s="331"/>
      <c r="F294" s="331"/>
      <c r="G294" s="331"/>
      <c r="H294" s="331"/>
      <c r="I294" s="331"/>
      <c r="J294" s="331"/>
      <c r="K294" s="331"/>
      <c r="L294" s="331"/>
      <c r="M294" s="331"/>
      <c r="N294" s="331"/>
      <c r="O294" s="331"/>
      <c r="P294" s="331"/>
      <c r="Q294" s="331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  <c r="AD294" s="331"/>
      <c r="AE294" s="331"/>
      <c r="AF294" s="331"/>
      <c r="AG294" s="331"/>
      <c r="AH294" s="331"/>
      <c r="AI294" s="331"/>
      <c r="AJ294" s="331"/>
      <c r="AK294" s="331"/>
      <c r="AL294" s="331"/>
    </row>
    <row r="295" ht="15.75" customHeight="1">
      <c r="A295" s="331"/>
      <c r="B295" s="331"/>
      <c r="C295" s="331"/>
      <c r="D295" s="331"/>
      <c r="E295" s="331"/>
      <c r="F295" s="331"/>
      <c r="G295" s="331"/>
      <c r="H295" s="331"/>
      <c r="I295" s="331"/>
      <c r="J295" s="331"/>
      <c r="K295" s="331"/>
      <c r="L295" s="331"/>
      <c r="M295" s="331"/>
      <c r="N295" s="331"/>
      <c r="O295" s="331"/>
      <c r="P295" s="331"/>
      <c r="Q295" s="331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  <c r="AD295" s="331"/>
      <c r="AE295" s="331"/>
      <c r="AF295" s="331"/>
      <c r="AG295" s="331"/>
      <c r="AH295" s="331"/>
      <c r="AI295" s="331"/>
      <c r="AJ295" s="331"/>
      <c r="AK295" s="331"/>
      <c r="AL295" s="331"/>
    </row>
    <row r="296" ht="15.75" customHeight="1">
      <c r="A296" s="331"/>
      <c r="B296" s="331"/>
      <c r="C296" s="331"/>
      <c r="D296" s="331"/>
      <c r="E296" s="331"/>
      <c r="F296" s="331"/>
      <c r="G296" s="331"/>
      <c r="H296" s="331"/>
      <c r="I296" s="331"/>
      <c r="J296" s="331"/>
      <c r="K296" s="331"/>
      <c r="L296" s="331"/>
      <c r="M296" s="331"/>
      <c r="N296" s="331"/>
      <c r="O296" s="331"/>
      <c r="P296" s="331"/>
      <c r="Q296" s="331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  <c r="AD296" s="331"/>
      <c r="AE296" s="331"/>
      <c r="AF296" s="331"/>
      <c r="AG296" s="331"/>
      <c r="AH296" s="331"/>
      <c r="AI296" s="331"/>
      <c r="AJ296" s="331"/>
      <c r="AK296" s="331"/>
      <c r="AL296" s="331"/>
    </row>
    <row r="297" ht="15.75" customHeight="1">
      <c r="A297" s="331"/>
      <c r="B297" s="331"/>
      <c r="C297" s="331"/>
      <c r="D297" s="331"/>
      <c r="E297" s="331"/>
      <c r="F297" s="331"/>
      <c r="G297" s="331"/>
      <c r="H297" s="331"/>
      <c r="I297" s="331"/>
      <c r="J297" s="331"/>
      <c r="K297" s="331"/>
      <c r="L297" s="331"/>
      <c r="M297" s="331"/>
      <c r="N297" s="331"/>
      <c r="O297" s="331"/>
      <c r="P297" s="331"/>
      <c r="Q297" s="331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  <c r="AD297" s="331"/>
      <c r="AE297" s="331"/>
      <c r="AF297" s="331"/>
      <c r="AG297" s="331"/>
      <c r="AH297" s="331"/>
      <c r="AI297" s="331"/>
      <c r="AJ297" s="331"/>
      <c r="AK297" s="331"/>
      <c r="AL297" s="331"/>
    </row>
    <row r="298" ht="15.75" customHeight="1">
      <c r="A298" s="331"/>
      <c r="B298" s="331"/>
      <c r="C298" s="331"/>
      <c r="D298" s="331"/>
      <c r="E298" s="331"/>
      <c r="F298" s="331"/>
      <c r="G298" s="331"/>
      <c r="H298" s="331"/>
      <c r="I298" s="331"/>
      <c r="J298" s="331"/>
      <c r="K298" s="331"/>
      <c r="L298" s="331"/>
      <c r="M298" s="331"/>
      <c r="N298" s="331"/>
      <c r="O298" s="331"/>
      <c r="P298" s="331"/>
      <c r="Q298" s="331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  <c r="AD298" s="331"/>
      <c r="AE298" s="331"/>
      <c r="AF298" s="331"/>
      <c r="AG298" s="331"/>
      <c r="AH298" s="331"/>
      <c r="AI298" s="331"/>
      <c r="AJ298" s="331"/>
      <c r="AK298" s="331"/>
      <c r="AL298" s="331"/>
    </row>
    <row r="299" ht="15.75" customHeight="1">
      <c r="A299" s="331"/>
      <c r="B299" s="331"/>
      <c r="C299" s="331"/>
      <c r="D299" s="331"/>
      <c r="E299" s="331"/>
      <c r="F299" s="331"/>
      <c r="G299" s="331"/>
      <c r="H299" s="331"/>
      <c r="I299" s="331"/>
      <c r="J299" s="331"/>
      <c r="K299" s="331"/>
      <c r="L299" s="331"/>
      <c r="M299" s="331"/>
      <c r="N299" s="331"/>
      <c r="O299" s="331"/>
      <c r="P299" s="331"/>
      <c r="Q299" s="331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  <c r="AD299" s="331"/>
      <c r="AE299" s="331"/>
      <c r="AF299" s="331"/>
      <c r="AG299" s="331"/>
      <c r="AH299" s="331"/>
      <c r="AI299" s="331"/>
      <c r="AJ299" s="331"/>
      <c r="AK299" s="331"/>
      <c r="AL299" s="331"/>
    </row>
    <row r="300" ht="15.75" customHeight="1">
      <c r="A300" s="331"/>
      <c r="B300" s="331"/>
      <c r="C300" s="331"/>
      <c r="D300" s="331"/>
      <c r="E300" s="331"/>
      <c r="F300" s="331"/>
      <c r="G300" s="331"/>
      <c r="H300" s="331"/>
      <c r="I300" s="331"/>
      <c r="J300" s="331"/>
      <c r="K300" s="331"/>
      <c r="L300" s="331"/>
      <c r="M300" s="331"/>
      <c r="N300" s="331"/>
      <c r="O300" s="331"/>
      <c r="P300" s="331"/>
      <c r="Q300" s="331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  <c r="AD300" s="331"/>
      <c r="AE300" s="331"/>
      <c r="AF300" s="331"/>
      <c r="AG300" s="331"/>
      <c r="AH300" s="331"/>
      <c r="AI300" s="331"/>
      <c r="AJ300" s="331"/>
      <c r="AK300" s="331"/>
      <c r="AL300" s="331"/>
    </row>
    <row r="301" ht="15.75" customHeight="1">
      <c r="A301" s="331"/>
      <c r="B301" s="331"/>
      <c r="C301" s="331"/>
      <c r="D301" s="331"/>
      <c r="E301" s="331"/>
      <c r="F301" s="331"/>
      <c r="G301" s="331"/>
      <c r="H301" s="331"/>
      <c r="I301" s="331"/>
      <c r="J301" s="331"/>
      <c r="K301" s="331"/>
      <c r="L301" s="331"/>
      <c r="M301" s="331"/>
      <c r="N301" s="331"/>
      <c r="O301" s="331"/>
      <c r="P301" s="331"/>
      <c r="Q301" s="331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  <c r="AD301" s="331"/>
      <c r="AE301" s="331"/>
      <c r="AF301" s="331"/>
      <c r="AG301" s="331"/>
      <c r="AH301" s="331"/>
      <c r="AI301" s="331"/>
      <c r="AJ301" s="331"/>
      <c r="AK301" s="331"/>
      <c r="AL301" s="331"/>
    </row>
    <row r="302" ht="15.75" customHeight="1">
      <c r="A302" s="331"/>
      <c r="B302" s="331"/>
      <c r="C302" s="331"/>
      <c r="D302" s="331"/>
      <c r="E302" s="331"/>
      <c r="F302" s="331"/>
      <c r="G302" s="331"/>
      <c r="H302" s="331"/>
      <c r="I302" s="331"/>
      <c r="J302" s="331"/>
      <c r="K302" s="331"/>
      <c r="L302" s="331"/>
      <c r="M302" s="331"/>
      <c r="N302" s="331"/>
      <c r="O302" s="331"/>
      <c r="P302" s="331"/>
      <c r="Q302" s="331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  <c r="AD302" s="331"/>
      <c r="AE302" s="331"/>
      <c r="AF302" s="331"/>
      <c r="AG302" s="331"/>
      <c r="AH302" s="331"/>
      <c r="AI302" s="331"/>
      <c r="AJ302" s="331"/>
      <c r="AK302" s="331"/>
      <c r="AL302" s="331"/>
    </row>
    <row r="303" ht="15.75" customHeight="1">
      <c r="A303" s="331"/>
      <c r="B303" s="331"/>
      <c r="C303" s="331"/>
      <c r="D303" s="331"/>
      <c r="E303" s="331"/>
      <c r="F303" s="331"/>
      <c r="G303" s="331"/>
      <c r="H303" s="331"/>
      <c r="I303" s="331"/>
      <c r="J303" s="331"/>
      <c r="K303" s="331"/>
      <c r="L303" s="331"/>
      <c r="M303" s="331"/>
      <c r="N303" s="331"/>
      <c r="O303" s="331"/>
      <c r="P303" s="331"/>
      <c r="Q303" s="331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  <c r="AD303" s="331"/>
      <c r="AE303" s="331"/>
      <c r="AF303" s="331"/>
      <c r="AG303" s="331"/>
      <c r="AH303" s="331"/>
      <c r="AI303" s="331"/>
      <c r="AJ303" s="331"/>
      <c r="AK303" s="331"/>
      <c r="AL303" s="331"/>
    </row>
    <row r="304" ht="15.75" customHeight="1">
      <c r="A304" s="331"/>
      <c r="B304" s="331"/>
      <c r="C304" s="331"/>
      <c r="D304" s="331"/>
      <c r="E304" s="331"/>
      <c r="F304" s="331"/>
      <c r="G304" s="331"/>
      <c r="H304" s="331"/>
      <c r="I304" s="331"/>
      <c r="J304" s="331"/>
      <c r="K304" s="331"/>
      <c r="L304" s="331"/>
      <c r="M304" s="331"/>
      <c r="N304" s="331"/>
      <c r="O304" s="331"/>
      <c r="P304" s="331"/>
      <c r="Q304" s="331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  <c r="AD304" s="331"/>
      <c r="AE304" s="331"/>
      <c r="AF304" s="331"/>
      <c r="AG304" s="331"/>
      <c r="AH304" s="331"/>
      <c r="AI304" s="331"/>
      <c r="AJ304" s="331"/>
      <c r="AK304" s="331"/>
      <c r="AL304" s="331"/>
    </row>
    <row r="305" ht="15.75" customHeight="1">
      <c r="A305" s="331"/>
      <c r="B305" s="331"/>
      <c r="C305" s="331"/>
      <c r="D305" s="331"/>
      <c r="E305" s="331"/>
      <c r="F305" s="331"/>
      <c r="G305" s="331"/>
      <c r="H305" s="331"/>
      <c r="I305" s="331"/>
      <c r="J305" s="331"/>
      <c r="K305" s="331"/>
      <c r="L305" s="331"/>
      <c r="M305" s="331"/>
      <c r="N305" s="331"/>
      <c r="O305" s="331"/>
      <c r="P305" s="331"/>
      <c r="Q305" s="331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  <c r="AD305" s="331"/>
      <c r="AE305" s="331"/>
      <c r="AF305" s="331"/>
      <c r="AG305" s="331"/>
      <c r="AH305" s="331"/>
      <c r="AI305" s="331"/>
      <c r="AJ305" s="331"/>
      <c r="AK305" s="331"/>
      <c r="AL305" s="331"/>
    </row>
    <row r="306" ht="15.75" customHeight="1">
      <c r="A306" s="331"/>
      <c r="B306" s="331"/>
      <c r="C306" s="331"/>
      <c r="D306" s="331"/>
      <c r="E306" s="331"/>
      <c r="F306" s="331"/>
      <c r="G306" s="331"/>
      <c r="H306" s="331"/>
      <c r="I306" s="331"/>
      <c r="J306" s="331"/>
      <c r="K306" s="331"/>
      <c r="L306" s="331"/>
      <c r="M306" s="331"/>
      <c r="N306" s="331"/>
      <c r="O306" s="331"/>
      <c r="P306" s="331"/>
      <c r="Q306" s="331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  <c r="AD306" s="331"/>
      <c r="AE306" s="331"/>
      <c r="AF306" s="331"/>
      <c r="AG306" s="331"/>
      <c r="AH306" s="331"/>
      <c r="AI306" s="331"/>
      <c r="AJ306" s="331"/>
      <c r="AK306" s="331"/>
      <c r="AL306" s="331"/>
    </row>
    <row r="307" ht="15.75" customHeight="1">
      <c r="A307" s="331"/>
      <c r="B307" s="331"/>
      <c r="C307" s="331"/>
      <c r="D307" s="331"/>
      <c r="E307" s="331"/>
      <c r="F307" s="331"/>
      <c r="G307" s="331"/>
      <c r="H307" s="331"/>
      <c r="I307" s="331"/>
      <c r="J307" s="331"/>
      <c r="K307" s="331"/>
      <c r="L307" s="331"/>
      <c r="M307" s="331"/>
      <c r="N307" s="331"/>
      <c r="O307" s="331"/>
      <c r="P307" s="331"/>
      <c r="Q307" s="331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  <c r="AD307" s="331"/>
      <c r="AE307" s="331"/>
      <c r="AF307" s="331"/>
      <c r="AG307" s="331"/>
      <c r="AH307" s="331"/>
      <c r="AI307" s="331"/>
      <c r="AJ307" s="331"/>
      <c r="AK307" s="331"/>
      <c r="AL307" s="331"/>
    </row>
    <row r="308" ht="15.75" customHeight="1">
      <c r="A308" s="331"/>
      <c r="B308" s="331"/>
      <c r="C308" s="331"/>
      <c r="D308" s="331"/>
      <c r="E308" s="331"/>
      <c r="F308" s="331"/>
      <c r="G308" s="331"/>
      <c r="H308" s="331"/>
      <c r="I308" s="331"/>
      <c r="J308" s="331"/>
      <c r="K308" s="331"/>
      <c r="L308" s="331"/>
      <c r="M308" s="331"/>
      <c r="N308" s="331"/>
      <c r="O308" s="331"/>
      <c r="P308" s="331"/>
      <c r="Q308" s="331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  <c r="AD308" s="331"/>
      <c r="AE308" s="331"/>
      <c r="AF308" s="331"/>
      <c r="AG308" s="331"/>
      <c r="AH308" s="331"/>
      <c r="AI308" s="331"/>
      <c r="AJ308" s="331"/>
      <c r="AK308" s="331"/>
      <c r="AL308" s="331"/>
    </row>
    <row r="309" ht="15.75" customHeight="1">
      <c r="A309" s="331"/>
      <c r="B309" s="331"/>
      <c r="C309" s="331"/>
      <c r="D309" s="331"/>
      <c r="E309" s="331"/>
      <c r="F309" s="331"/>
      <c r="G309" s="331"/>
      <c r="H309" s="331"/>
      <c r="I309" s="331"/>
      <c r="J309" s="331"/>
      <c r="K309" s="331"/>
      <c r="L309" s="331"/>
      <c r="M309" s="331"/>
      <c r="N309" s="331"/>
      <c r="O309" s="331"/>
      <c r="P309" s="331"/>
      <c r="Q309" s="331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  <c r="AD309" s="331"/>
      <c r="AE309" s="331"/>
      <c r="AF309" s="331"/>
      <c r="AG309" s="331"/>
      <c r="AH309" s="331"/>
      <c r="AI309" s="331"/>
      <c r="AJ309" s="331"/>
      <c r="AK309" s="331"/>
      <c r="AL309" s="331"/>
    </row>
    <row r="310" ht="15.75" customHeight="1">
      <c r="A310" s="331"/>
      <c r="B310" s="331"/>
      <c r="C310" s="331"/>
      <c r="D310" s="331"/>
      <c r="E310" s="331"/>
      <c r="F310" s="331"/>
      <c r="G310" s="331"/>
      <c r="H310" s="331"/>
      <c r="I310" s="331"/>
      <c r="J310" s="331"/>
      <c r="K310" s="331"/>
      <c r="L310" s="331"/>
      <c r="M310" s="331"/>
      <c r="N310" s="331"/>
      <c r="O310" s="331"/>
      <c r="P310" s="331"/>
      <c r="Q310" s="331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  <c r="AD310" s="331"/>
      <c r="AE310" s="331"/>
      <c r="AF310" s="331"/>
      <c r="AG310" s="331"/>
      <c r="AH310" s="331"/>
      <c r="AI310" s="331"/>
      <c r="AJ310" s="331"/>
      <c r="AK310" s="331"/>
      <c r="AL310" s="331"/>
    </row>
    <row r="311" ht="15.75" customHeight="1">
      <c r="A311" s="331"/>
      <c r="B311" s="331"/>
      <c r="C311" s="331"/>
      <c r="D311" s="331"/>
      <c r="E311" s="331"/>
      <c r="F311" s="331"/>
      <c r="G311" s="331"/>
      <c r="H311" s="331"/>
      <c r="I311" s="331"/>
      <c r="J311" s="331"/>
      <c r="K311" s="331"/>
      <c r="L311" s="331"/>
      <c r="M311" s="331"/>
      <c r="N311" s="331"/>
      <c r="O311" s="331"/>
      <c r="P311" s="331"/>
      <c r="Q311" s="331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  <c r="AD311" s="331"/>
      <c r="AE311" s="331"/>
      <c r="AF311" s="331"/>
      <c r="AG311" s="331"/>
      <c r="AH311" s="331"/>
      <c r="AI311" s="331"/>
      <c r="AJ311" s="331"/>
      <c r="AK311" s="331"/>
      <c r="AL311" s="331"/>
    </row>
    <row r="312" ht="15.75" customHeight="1">
      <c r="A312" s="331"/>
      <c r="B312" s="331"/>
      <c r="C312" s="331"/>
      <c r="D312" s="331"/>
      <c r="E312" s="331"/>
      <c r="F312" s="331"/>
      <c r="G312" s="331"/>
      <c r="H312" s="331"/>
      <c r="I312" s="331"/>
      <c r="J312" s="331"/>
      <c r="K312" s="331"/>
      <c r="L312" s="331"/>
      <c r="M312" s="331"/>
      <c r="N312" s="331"/>
      <c r="O312" s="331"/>
      <c r="P312" s="331"/>
      <c r="Q312" s="331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  <c r="AD312" s="331"/>
      <c r="AE312" s="331"/>
      <c r="AF312" s="331"/>
      <c r="AG312" s="331"/>
      <c r="AH312" s="331"/>
      <c r="AI312" s="331"/>
      <c r="AJ312" s="331"/>
      <c r="AK312" s="331"/>
      <c r="AL312" s="331"/>
    </row>
    <row r="313" ht="15.75" customHeight="1">
      <c r="A313" s="331"/>
      <c r="B313" s="331"/>
      <c r="C313" s="331"/>
      <c r="D313" s="331"/>
      <c r="E313" s="331"/>
      <c r="F313" s="331"/>
      <c r="G313" s="331"/>
      <c r="H313" s="331"/>
      <c r="I313" s="331"/>
      <c r="J313" s="331"/>
      <c r="K313" s="331"/>
      <c r="L313" s="331"/>
      <c r="M313" s="331"/>
      <c r="N313" s="331"/>
      <c r="O313" s="331"/>
      <c r="P313" s="331"/>
      <c r="Q313" s="331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  <c r="AD313" s="331"/>
      <c r="AE313" s="331"/>
      <c r="AF313" s="331"/>
      <c r="AG313" s="331"/>
      <c r="AH313" s="331"/>
      <c r="AI313" s="331"/>
      <c r="AJ313" s="331"/>
      <c r="AK313" s="331"/>
      <c r="AL313" s="331"/>
    </row>
    <row r="314" ht="15.75" customHeight="1">
      <c r="A314" s="331"/>
      <c r="B314" s="331"/>
      <c r="C314" s="331"/>
      <c r="D314" s="331"/>
      <c r="E314" s="331"/>
      <c r="F314" s="331"/>
      <c r="G314" s="331"/>
      <c r="H314" s="331"/>
      <c r="I314" s="331"/>
      <c r="J314" s="331"/>
      <c r="K314" s="331"/>
      <c r="L314" s="331"/>
      <c r="M314" s="331"/>
      <c r="N314" s="331"/>
      <c r="O314" s="331"/>
      <c r="P314" s="331"/>
      <c r="Q314" s="331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  <c r="AD314" s="331"/>
      <c r="AE314" s="331"/>
      <c r="AF314" s="331"/>
      <c r="AG314" s="331"/>
      <c r="AH314" s="331"/>
      <c r="AI314" s="331"/>
      <c r="AJ314" s="331"/>
      <c r="AK314" s="331"/>
      <c r="AL314" s="331"/>
    </row>
    <row r="315" ht="15.75" customHeight="1">
      <c r="A315" s="331"/>
      <c r="B315" s="331"/>
      <c r="C315" s="331"/>
      <c r="D315" s="331"/>
      <c r="E315" s="331"/>
      <c r="F315" s="331"/>
      <c r="G315" s="331"/>
      <c r="H315" s="331"/>
      <c r="I315" s="331"/>
      <c r="J315" s="331"/>
      <c r="K315" s="331"/>
      <c r="L315" s="331"/>
      <c r="M315" s="331"/>
      <c r="N315" s="331"/>
      <c r="O315" s="331"/>
      <c r="P315" s="331"/>
      <c r="Q315" s="331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  <c r="AD315" s="331"/>
      <c r="AE315" s="331"/>
      <c r="AF315" s="331"/>
      <c r="AG315" s="331"/>
      <c r="AH315" s="331"/>
      <c r="AI315" s="331"/>
      <c r="AJ315" s="331"/>
      <c r="AK315" s="331"/>
      <c r="AL315" s="331"/>
    </row>
    <row r="316" ht="15.75" customHeight="1">
      <c r="A316" s="331"/>
      <c r="B316" s="331"/>
      <c r="C316" s="331"/>
      <c r="D316" s="331"/>
      <c r="E316" s="331"/>
      <c r="F316" s="331"/>
      <c r="G316" s="331"/>
      <c r="H316" s="331"/>
      <c r="I316" s="331"/>
      <c r="J316" s="331"/>
      <c r="K316" s="331"/>
      <c r="L316" s="331"/>
      <c r="M316" s="331"/>
      <c r="N316" s="331"/>
      <c r="O316" s="331"/>
      <c r="P316" s="331"/>
      <c r="Q316" s="331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  <c r="AD316" s="331"/>
      <c r="AE316" s="331"/>
      <c r="AF316" s="331"/>
      <c r="AG316" s="331"/>
      <c r="AH316" s="331"/>
      <c r="AI316" s="331"/>
      <c r="AJ316" s="331"/>
      <c r="AK316" s="331"/>
      <c r="AL316" s="331"/>
    </row>
    <row r="317" ht="15.75" customHeight="1">
      <c r="A317" s="331"/>
      <c r="B317" s="331"/>
      <c r="C317" s="331"/>
      <c r="D317" s="331"/>
      <c r="E317" s="331"/>
      <c r="F317" s="331"/>
      <c r="G317" s="331"/>
      <c r="H317" s="331"/>
      <c r="I317" s="331"/>
      <c r="J317" s="331"/>
      <c r="K317" s="331"/>
      <c r="L317" s="331"/>
      <c r="M317" s="331"/>
      <c r="N317" s="331"/>
      <c r="O317" s="331"/>
      <c r="P317" s="331"/>
      <c r="Q317" s="331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  <c r="AD317" s="331"/>
      <c r="AE317" s="331"/>
      <c r="AF317" s="331"/>
      <c r="AG317" s="331"/>
      <c r="AH317" s="331"/>
      <c r="AI317" s="331"/>
      <c r="AJ317" s="331"/>
      <c r="AK317" s="331"/>
      <c r="AL317" s="331"/>
    </row>
    <row r="318" ht="15.75" customHeight="1">
      <c r="A318" s="331"/>
      <c r="B318" s="331"/>
      <c r="C318" s="331"/>
      <c r="D318" s="331"/>
      <c r="E318" s="331"/>
      <c r="F318" s="331"/>
      <c r="G318" s="331"/>
      <c r="H318" s="331"/>
      <c r="I318" s="331"/>
      <c r="J318" s="331"/>
      <c r="K318" s="331"/>
      <c r="L318" s="331"/>
      <c r="M318" s="331"/>
      <c r="N318" s="331"/>
      <c r="O318" s="331"/>
      <c r="P318" s="331"/>
      <c r="Q318" s="331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  <c r="AD318" s="331"/>
      <c r="AE318" s="331"/>
      <c r="AF318" s="331"/>
      <c r="AG318" s="331"/>
      <c r="AH318" s="331"/>
      <c r="AI318" s="331"/>
      <c r="AJ318" s="331"/>
      <c r="AK318" s="331"/>
      <c r="AL318" s="331"/>
    </row>
    <row r="319" ht="15.75" customHeight="1">
      <c r="A319" s="331"/>
      <c r="B319" s="331"/>
      <c r="C319" s="331"/>
      <c r="D319" s="331"/>
      <c r="E319" s="331"/>
      <c r="F319" s="331"/>
      <c r="G319" s="331"/>
      <c r="H319" s="331"/>
      <c r="I319" s="331"/>
      <c r="J319" s="331"/>
      <c r="K319" s="331"/>
      <c r="L319" s="331"/>
      <c r="M319" s="331"/>
      <c r="N319" s="331"/>
      <c r="O319" s="331"/>
      <c r="P319" s="331"/>
      <c r="Q319" s="331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  <c r="AD319" s="331"/>
      <c r="AE319" s="331"/>
      <c r="AF319" s="331"/>
      <c r="AG319" s="331"/>
      <c r="AH319" s="331"/>
      <c r="AI319" s="331"/>
      <c r="AJ319" s="331"/>
      <c r="AK319" s="331"/>
      <c r="AL319" s="331"/>
    </row>
    <row r="320" ht="15.75" customHeight="1">
      <c r="A320" s="331"/>
      <c r="B320" s="331"/>
      <c r="C320" s="331"/>
      <c r="D320" s="331"/>
      <c r="E320" s="331"/>
      <c r="F320" s="331"/>
      <c r="G320" s="331"/>
      <c r="H320" s="331"/>
      <c r="I320" s="331"/>
      <c r="J320" s="331"/>
      <c r="K320" s="331"/>
      <c r="L320" s="331"/>
      <c r="M320" s="331"/>
      <c r="N320" s="331"/>
      <c r="O320" s="331"/>
      <c r="P320" s="331"/>
      <c r="Q320" s="331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  <c r="AD320" s="331"/>
      <c r="AE320" s="331"/>
      <c r="AF320" s="331"/>
      <c r="AG320" s="331"/>
      <c r="AH320" s="331"/>
      <c r="AI320" s="331"/>
      <c r="AJ320" s="331"/>
      <c r="AK320" s="331"/>
      <c r="AL320" s="331"/>
    </row>
    <row r="321" ht="15.75" customHeight="1">
      <c r="A321" s="331"/>
      <c r="B321" s="331"/>
      <c r="C321" s="331"/>
      <c r="D321" s="331"/>
      <c r="E321" s="331"/>
      <c r="F321" s="331"/>
      <c r="G321" s="331"/>
      <c r="H321" s="331"/>
      <c r="I321" s="331"/>
      <c r="J321" s="331"/>
      <c r="K321" s="331"/>
      <c r="L321" s="331"/>
      <c r="M321" s="331"/>
      <c r="N321" s="331"/>
      <c r="O321" s="331"/>
      <c r="P321" s="331"/>
      <c r="Q321" s="331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  <c r="AD321" s="331"/>
      <c r="AE321" s="331"/>
      <c r="AF321" s="331"/>
      <c r="AG321" s="331"/>
      <c r="AH321" s="331"/>
      <c r="AI321" s="331"/>
      <c r="AJ321" s="331"/>
      <c r="AK321" s="331"/>
      <c r="AL321" s="331"/>
    </row>
    <row r="322" ht="15.75" customHeight="1">
      <c r="A322" s="331"/>
      <c r="B322" s="331"/>
      <c r="C322" s="331"/>
      <c r="D322" s="331"/>
      <c r="E322" s="331"/>
      <c r="F322" s="331"/>
      <c r="G322" s="331"/>
      <c r="H322" s="331"/>
      <c r="I322" s="331"/>
      <c r="J322" s="331"/>
      <c r="K322" s="331"/>
      <c r="L322" s="331"/>
      <c r="M322" s="331"/>
      <c r="N322" s="331"/>
      <c r="O322" s="331"/>
      <c r="P322" s="331"/>
      <c r="Q322" s="331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  <c r="AD322" s="331"/>
      <c r="AE322" s="331"/>
      <c r="AF322" s="331"/>
      <c r="AG322" s="331"/>
      <c r="AH322" s="331"/>
      <c r="AI322" s="331"/>
      <c r="AJ322" s="331"/>
      <c r="AK322" s="331"/>
      <c r="AL322" s="331"/>
    </row>
    <row r="323" ht="15.75" customHeight="1">
      <c r="A323" s="331"/>
      <c r="B323" s="331"/>
      <c r="C323" s="331"/>
      <c r="D323" s="331"/>
      <c r="E323" s="331"/>
      <c r="F323" s="331"/>
      <c r="G323" s="331"/>
      <c r="H323" s="331"/>
      <c r="I323" s="331"/>
      <c r="J323" s="331"/>
      <c r="K323" s="331"/>
      <c r="L323" s="331"/>
      <c r="M323" s="331"/>
      <c r="N323" s="331"/>
      <c r="O323" s="331"/>
      <c r="P323" s="331"/>
      <c r="Q323" s="331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  <c r="AD323" s="331"/>
      <c r="AE323" s="331"/>
      <c r="AF323" s="331"/>
      <c r="AG323" s="331"/>
      <c r="AH323" s="331"/>
      <c r="AI323" s="331"/>
      <c r="AJ323" s="331"/>
      <c r="AK323" s="331"/>
      <c r="AL323" s="331"/>
    </row>
    <row r="324" ht="15.75" customHeight="1">
      <c r="A324" s="331"/>
      <c r="B324" s="331"/>
      <c r="C324" s="331"/>
      <c r="D324" s="331"/>
      <c r="E324" s="331"/>
      <c r="F324" s="331"/>
      <c r="G324" s="331"/>
      <c r="H324" s="331"/>
      <c r="I324" s="331"/>
      <c r="J324" s="331"/>
      <c r="K324" s="331"/>
      <c r="L324" s="331"/>
      <c r="M324" s="331"/>
      <c r="N324" s="331"/>
      <c r="O324" s="331"/>
      <c r="P324" s="331"/>
      <c r="Q324" s="331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  <c r="AD324" s="331"/>
      <c r="AE324" s="331"/>
      <c r="AF324" s="331"/>
      <c r="AG324" s="331"/>
      <c r="AH324" s="331"/>
      <c r="AI324" s="331"/>
      <c r="AJ324" s="331"/>
      <c r="AK324" s="331"/>
      <c r="AL324" s="331"/>
    </row>
    <row r="325" ht="15.75" customHeight="1">
      <c r="A325" s="331"/>
      <c r="B325" s="331"/>
      <c r="C325" s="331"/>
      <c r="D325" s="331"/>
      <c r="E325" s="331"/>
      <c r="F325" s="331"/>
      <c r="G325" s="331"/>
      <c r="H325" s="331"/>
      <c r="I325" s="331"/>
      <c r="J325" s="331"/>
      <c r="K325" s="331"/>
      <c r="L325" s="331"/>
      <c r="M325" s="331"/>
      <c r="N325" s="331"/>
      <c r="O325" s="331"/>
      <c r="P325" s="331"/>
      <c r="Q325" s="331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  <c r="AD325" s="331"/>
      <c r="AE325" s="331"/>
      <c r="AF325" s="331"/>
      <c r="AG325" s="331"/>
      <c r="AH325" s="331"/>
      <c r="AI325" s="331"/>
      <c r="AJ325" s="331"/>
      <c r="AK325" s="331"/>
      <c r="AL325" s="331"/>
    </row>
    <row r="326" ht="15.75" customHeight="1">
      <c r="A326" s="331"/>
      <c r="B326" s="331"/>
      <c r="C326" s="331"/>
      <c r="D326" s="331"/>
      <c r="E326" s="331"/>
      <c r="F326" s="331"/>
      <c r="G326" s="331"/>
      <c r="H326" s="331"/>
      <c r="I326" s="331"/>
      <c r="J326" s="331"/>
      <c r="K326" s="331"/>
      <c r="L326" s="331"/>
      <c r="M326" s="331"/>
      <c r="N326" s="331"/>
      <c r="O326" s="331"/>
      <c r="P326" s="331"/>
      <c r="Q326" s="331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  <c r="AD326" s="331"/>
      <c r="AE326" s="331"/>
      <c r="AF326" s="331"/>
      <c r="AG326" s="331"/>
      <c r="AH326" s="331"/>
      <c r="AI326" s="331"/>
      <c r="AJ326" s="331"/>
      <c r="AK326" s="331"/>
      <c r="AL326" s="331"/>
    </row>
    <row r="327" ht="15.75" customHeight="1">
      <c r="A327" s="331"/>
      <c r="B327" s="331"/>
      <c r="C327" s="331"/>
      <c r="D327" s="331"/>
      <c r="E327" s="331"/>
      <c r="F327" s="331"/>
      <c r="G327" s="331"/>
      <c r="H327" s="331"/>
      <c r="I327" s="331"/>
      <c r="J327" s="331"/>
      <c r="K327" s="331"/>
      <c r="L327" s="331"/>
      <c r="M327" s="331"/>
      <c r="N327" s="331"/>
      <c r="O327" s="331"/>
      <c r="P327" s="331"/>
      <c r="Q327" s="331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  <c r="AD327" s="331"/>
      <c r="AE327" s="331"/>
      <c r="AF327" s="331"/>
      <c r="AG327" s="331"/>
      <c r="AH327" s="331"/>
      <c r="AI327" s="331"/>
      <c r="AJ327" s="331"/>
      <c r="AK327" s="331"/>
      <c r="AL327" s="331"/>
    </row>
    <row r="328" ht="15.75" customHeight="1">
      <c r="A328" s="331"/>
      <c r="B328" s="331"/>
      <c r="C328" s="331"/>
      <c r="D328" s="331"/>
      <c r="E328" s="331"/>
      <c r="F328" s="331"/>
      <c r="G328" s="331"/>
      <c r="H328" s="331"/>
      <c r="I328" s="331"/>
      <c r="J328" s="331"/>
      <c r="K328" s="331"/>
      <c r="L328" s="331"/>
      <c r="M328" s="331"/>
      <c r="N328" s="331"/>
      <c r="O328" s="331"/>
      <c r="P328" s="331"/>
      <c r="Q328" s="331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  <c r="AD328" s="331"/>
      <c r="AE328" s="331"/>
      <c r="AF328" s="331"/>
      <c r="AG328" s="331"/>
      <c r="AH328" s="331"/>
      <c r="AI328" s="331"/>
      <c r="AJ328" s="331"/>
      <c r="AK328" s="331"/>
      <c r="AL328" s="331"/>
    </row>
    <row r="329" ht="15.75" customHeight="1">
      <c r="A329" s="331"/>
      <c r="B329" s="331"/>
      <c r="C329" s="331"/>
      <c r="D329" s="331"/>
      <c r="E329" s="331"/>
      <c r="F329" s="331"/>
      <c r="G329" s="331"/>
      <c r="H329" s="331"/>
      <c r="I329" s="331"/>
      <c r="J329" s="331"/>
      <c r="K329" s="331"/>
      <c r="L329" s="331"/>
      <c r="M329" s="331"/>
      <c r="N329" s="331"/>
      <c r="O329" s="331"/>
      <c r="P329" s="331"/>
      <c r="Q329" s="331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/>
      <c r="AK329" s="331"/>
      <c r="AL329" s="331"/>
    </row>
    <row r="330" ht="15.75" customHeight="1">
      <c r="A330" s="331"/>
      <c r="B330" s="331"/>
      <c r="C330" s="331"/>
      <c r="D330" s="331"/>
      <c r="E330" s="331"/>
      <c r="F330" s="331"/>
      <c r="G330" s="331"/>
      <c r="H330" s="331"/>
      <c r="I330" s="331"/>
      <c r="J330" s="331"/>
      <c r="K330" s="331"/>
      <c r="L330" s="331"/>
      <c r="M330" s="331"/>
      <c r="N330" s="331"/>
      <c r="O330" s="331"/>
      <c r="P330" s="331"/>
      <c r="Q330" s="331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  <c r="AD330" s="331"/>
      <c r="AE330" s="331"/>
      <c r="AF330" s="331"/>
      <c r="AG330" s="331"/>
      <c r="AH330" s="331"/>
      <c r="AI330" s="331"/>
      <c r="AJ330" s="331"/>
      <c r="AK330" s="331"/>
      <c r="AL330" s="331"/>
    </row>
    <row r="331" ht="15.75" customHeight="1">
      <c r="A331" s="331"/>
      <c r="B331" s="331"/>
      <c r="C331" s="331"/>
      <c r="D331" s="331"/>
      <c r="E331" s="331"/>
      <c r="F331" s="331"/>
      <c r="G331" s="331"/>
      <c r="H331" s="331"/>
      <c r="I331" s="331"/>
      <c r="J331" s="331"/>
      <c r="K331" s="331"/>
      <c r="L331" s="331"/>
      <c r="M331" s="331"/>
      <c r="N331" s="331"/>
      <c r="O331" s="331"/>
      <c r="P331" s="331"/>
      <c r="Q331" s="331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  <c r="AD331" s="331"/>
      <c r="AE331" s="331"/>
      <c r="AF331" s="331"/>
      <c r="AG331" s="331"/>
      <c r="AH331" s="331"/>
      <c r="AI331" s="331"/>
      <c r="AJ331" s="331"/>
      <c r="AK331" s="331"/>
      <c r="AL331" s="331"/>
    </row>
    <row r="332" ht="15.75" customHeight="1">
      <c r="A332" s="331"/>
      <c r="B332" s="331"/>
      <c r="C332" s="331"/>
      <c r="D332" s="331"/>
      <c r="E332" s="331"/>
      <c r="F332" s="331"/>
      <c r="G332" s="331"/>
      <c r="H332" s="331"/>
      <c r="I332" s="331"/>
      <c r="J332" s="331"/>
      <c r="K332" s="331"/>
      <c r="L332" s="331"/>
      <c r="M332" s="331"/>
      <c r="N332" s="331"/>
      <c r="O332" s="331"/>
      <c r="P332" s="331"/>
      <c r="Q332" s="331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  <c r="AD332" s="331"/>
      <c r="AE332" s="331"/>
      <c r="AF332" s="331"/>
      <c r="AG332" s="331"/>
      <c r="AH332" s="331"/>
      <c r="AI332" s="331"/>
      <c r="AJ332" s="331"/>
      <c r="AK332" s="331"/>
      <c r="AL332" s="331"/>
    </row>
    <row r="333" ht="15.75" customHeight="1">
      <c r="A333" s="331"/>
      <c r="B333" s="331"/>
      <c r="C333" s="331"/>
      <c r="D333" s="331"/>
      <c r="E333" s="331"/>
      <c r="F333" s="331"/>
      <c r="G333" s="331"/>
      <c r="H333" s="331"/>
      <c r="I333" s="331"/>
      <c r="J333" s="331"/>
      <c r="K333" s="331"/>
      <c r="L333" s="331"/>
      <c r="M333" s="331"/>
      <c r="N333" s="331"/>
      <c r="O333" s="331"/>
      <c r="P333" s="331"/>
      <c r="Q333" s="331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  <c r="AD333" s="331"/>
      <c r="AE333" s="331"/>
      <c r="AF333" s="331"/>
      <c r="AG333" s="331"/>
      <c r="AH333" s="331"/>
      <c r="AI333" s="331"/>
      <c r="AJ333" s="331"/>
      <c r="AK333" s="331"/>
      <c r="AL333" s="331"/>
    </row>
    <row r="334" ht="15.75" customHeight="1">
      <c r="A334" s="331"/>
      <c r="B334" s="331"/>
      <c r="C334" s="331"/>
      <c r="D334" s="331"/>
      <c r="E334" s="331"/>
      <c r="F334" s="331"/>
      <c r="G334" s="331"/>
      <c r="H334" s="331"/>
      <c r="I334" s="331"/>
      <c r="J334" s="331"/>
      <c r="K334" s="331"/>
      <c r="L334" s="331"/>
      <c r="M334" s="331"/>
      <c r="N334" s="331"/>
      <c r="O334" s="331"/>
      <c r="P334" s="331"/>
      <c r="Q334" s="331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  <c r="AD334" s="331"/>
      <c r="AE334" s="331"/>
      <c r="AF334" s="331"/>
      <c r="AG334" s="331"/>
      <c r="AH334" s="331"/>
      <c r="AI334" s="331"/>
      <c r="AJ334" s="331"/>
      <c r="AK334" s="331"/>
      <c r="AL334" s="331"/>
    </row>
    <row r="335" ht="15.75" customHeight="1">
      <c r="A335" s="331"/>
      <c r="B335" s="331"/>
      <c r="C335" s="331"/>
      <c r="D335" s="331"/>
      <c r="E335" s="331"/>
      <c r="F335" s="331"/>
      <c r="G335" s="331"/>
      <c r="H335" s="331"/>
      <c r="I335" s="331"/>
      <c r="J335" s="331"/>
      <c r="K335" s="331"/>
      <c r="L335" s="331"/>
      <c r="M335" s="331"/>
      <c r="N335" s="331"/>
      <c r="O335" s="331"/>
      <c r="P335" s="331"/>
      <c r="Q335" s="331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  <c r="AD335" s="331"/>
      <c r="AE335" s="331"/>
      <c r="AF335" s="331"/>
      <c r="AG335" s="331"/>
      <c r="AH335" s="331"/>
      <c r="AI335" s="331"/>
      <c r="AJ335" s="331"/>
      <c r="AK335" s="331"/>
      <c r="AL335" s="331"/>
    </row>
    <row r="336" ht="15.75" customHeight="1">
      <c r="A336" s="331"/>
      <c r="B336" s="331"/>
      <c r="C336" s="331"/>
      <c r="D336" s="331"/>
      <c r="E336" s="331"/>
      <c r="F336" s="331"/>
      <c r="G336" s="331"/>
      <c r="H336" s="331"/>
      <c r="I336" s="331"/>
      <c r="J336" s="331"/>
      <c r="K336" s="331"/>
      <c r="L336" s="331"/>
      <c r="M336" s="331"/>
      <c r="N336" s="331"/>
      <c r="O336" s="331"/>
      <c r="P336" s="331"/>
      <c r="Q336" s="331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  <c r="AD336" s="331"/>
      <c r="AE336" s="331"/>
      <c r="AF336" s="331"/>
      <c r="AG336" s="331"/>
      <c r="AH336" s="331"/>
      <c r="AI336" s="331"/>
      <c r="AJ336" s="331"/>
      <c r="AK336" s="331"/>
      <c r="AL336" s="331"/>
    </row>
    <row r="337" ht="15.75" customHeight="1">
      <c r="A337" s="331"/>
      <c r="B337" s="331"/>
      <c r="C337" s="331"/>
      <c r="D337" s="331"/>
      <c r="E337" s="331"/>
      <c r="F337" s="331"/>
      <c r="G337" s="331"/>
      <c r="H337" s="331"/>
      <c r="I337" s="331"/>
      <c r="J337" s="331"/>
      <c r="K337" s="331"/>
      <c r="L337" s="331"/>
      <c r="M337" s="331"/>
      <c r="N337" s="331"/>
      <c r="O337" s="331"/>
      <c r="P337" s="331"/>
      <c r="Q337" s="331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  <c r="AD337" s="331"/>
      <c r="AE337" s="331"/>
      <c r="AF337" s="331"/>
      <c r="AG337" s="331"/>
      <c r="AH337" s="331"/>
      <c r="AI337" s="331"/>
      <c r="AJ337" s="331"/>
      <c r="AK337" s="331"/>
      <c r="AL337" s="331"/>
    </row>
    <row r="338" ht="15.75" customHeight="1">
      <c r="A338" s="331"/>
      <c r="B338" s="331"/>
      <c r="C338" s="331"/>
      <c r="D338" s="331"/>
      <c r="E338" s="331"/>
      <c r="F338" s="331"/>
      <c r="G338" s="331"/>
      <c r="H338" s="331"/>
      <c r="I338" s="331"/>
      <c r="J338" s="331"/>
      <c r="K338" s="331"/>
      <c r="L338" s="331"/>
      <c r="M338" s="331"/>
      <c r="N338" s="331"/>
      <c r="O338" s="331"/>
      <c r="P338" s="331"/>
      <c r="Q338" s="331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/>
      <c r="AK338" s="331"/>
      <c r="AL338" s="331"/>
    </row>
    <row r="339" ht="15.75" customHeight="1">
      <c r="A339" s="331"/>
      <c r="B339" s="331"/>
      <c r="C339" s="331"/>
      <c r="D339" s="331"/>
      <c r="E339" s="331"/>
      <c r="F339" s="331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331"/>
      <c r="AJ339" s="331"/>
      <c r="AK339" s="331"/>
      <c r="AL339" s="331"/>
    </row>
    <row r="340" ht="15.75" customHeight="1">
      <c r="A340" s="331"/>
      <c r="B340" s="331"/>
      <c r="C340" s="331"/>
      <c r="D340" s="331"/>
      <c r="E340" s="331"/>
      <c r="F340" s="331"/>
      <c r="G340" s="331"/>
      <c r="H340" s="331"/>
      <c r="I340" s="331"/>
      <c r="J340" s="331"/>
      <c r="K340" s="331"/>
      <c r="L340" s="331"/>
      <c r="M340" s="331"/>
      <c r="N340" s="331"/>
      <c r="O340" s="331"/>
      <c r="P340" s="331"/>
      <c r="Q340" s="331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  <c r="AD340" s="331"/>
      <c r="AE340" s="331"/>
      <c r="AF340" s="331"/>
      <c r="AG340" s="331"/>
      <c r="AH340" s="331"/>
      <c r="AI340" s="331"/>
      <c r="AJ340" s="331"/>
      <c r="AK340" s="331"/>
      <c r="AL340" s="331"/>
    </row>
    <row r="341" ht="15.75" customHeight="1">
      <c r="A341" s="331"/>
      <c r="B341" s="331"/>
      <c r="C341" s="331"/>
      <c r="D341" s="331"/>
      <c r="E341" s="331"/>
      <c r="F341" s="331"/>
      <c r="G341" s="331"/>
      <c r="H341" s="331"/>
      <c r="I341" s="331"/>
      <c r="J341" s="331"/>
      <c r="K341" s="331"/>
      <c r="L341" s="331"/>
      <c r="M341" s="331"/>
      <c r="N341" s="331"/>
      <c r="O341" s="331"/>
      <c r="P341" s="331"/>
      <c r="Q341" s="331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  <c r="AD341" s="331"/>
      <c r="AE341" s="331"/>
      <c r="AF341" s="331"/>
      <c r="AG341" s="331"/>
      <c r="AH341" s="331"/>
      <c r="AI341" s="331"/>
      <c r="AJ341" s="331"/>
      <c r="AK341" s="331"/>
      <c r="AL341" s="331"/>
    </row>
    <row r="342" ht="15.75" customHeight="1">
      <c r="A342" s="331"/>
      <c r="B342" s="331"/>
      <c r="C342" s="331"/>
      <c r="D342" s="331"/>
      <c r="E342" s="331"/>
      <c r="F342" s="331"/>
      <c r="G342" s="331"/>
      <c r="H342" s="331"/>
      <c r="I342" s="331"/>
      <c r="J342" s="331"/>
      <c r="K342" s="331"/>
      <c r="L342" s="331"/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  <c r="AD342" s="331"/>
      <c r="AE342" s="331"/>
      <c r="AF342" s="331"/>
      <c r="AG342" s="331"/>
      <c r="AH342" s="331"/>
      <c r="AI342" s="331"/>
      <c r="AJ342" s="331"/>
      <c r="AK342" s="331"/>
      <c r="AL342" s="331"/>
    </row>
    <row r="343" ht="15.75" customHeight="1">
      <c r="A343" s="331"/>
      <c r="B343" s="331"/>
      <c r="C343" s="331"/>
      <c r="D343" s="331"/>
      <c r="E343" s="331"/>
      <c r="F343" s="331"/>
      <c r="G343" s="331"/>
      <c r="H343" s="331"/>
      <c r="I343" s="331"/>
      <c r="J343" s="331"/>
      <c r="K343" s="331"/>
      <c r="L343" s="331"/>
      <c r="M343" s="331"/>
      <c r="N343" s="331"/>
      <c r="O343" s="331"/>
      <c r="P343" s="331"/>
      <c r="Q343" s="331"/>
      <c r="R343" s="331"/>
      <c r="S343" s="331"/>
      <c r="T343" s="331"/>
      <c r="U343" s="331"/>
      <c r="V343" s="331"/>
      <c r="W343" s="331"/>
      <c r="X343" s="331"/>
      <c r="Y343" s="331"/>
      <c r="Z343" s="331"/>
      <c r="AA343" s="331"/>
      <c r="AB343" s="331"/>
      <c r="AC343" s="331"/>
      <c r="AD343" s="331"/>
      <c r="AE343" s="331"/>
      <c r="AF343" s="331"/>
      <c r="AG343" s="331"/>
      <c r="AH343" s="331"/>
      <c r="AI343" s="331"/>
      <c r="AJ343" s="331"/>
      <c r="AK343" s="331"/>
      <c r="AL343" s="331"/>
    </row>
    <row r="344" ht="15.75" customHeight="1">
      <c r="A344" s="331"/>
      <c r="B344" s="331"/>
      <c r="C344" s="331"/>
      <c r="D344" s="331"/>
      <c r="E344" s="331"/>
      <c r="F344" s="331"/>
      <c r="G344" s="331"/>
      <c r="H344" s="331"/>
      <c r="I344" s="331"/>
      <c r="J344" s="331"/>
      <c r="K344" s="331"/>
      <c r="L344" s="331"/>
      <c r="M344" s="331"/>
      <c r="N344" s="331"/>
      <c r="O344" s="331"/>
      <c r="P344" s="331"/>
      <c r="Q344" s="331"/>
      <c r="R344" s="331"/>
      <c r="S344" s="331"/>
      <c r="T344" s="331"/>
      <c r="U344" s="331"/>
      <c r="V344" s="331"/>
      <c r="W344" s="331"/>
      <c r="X344" s="331"/>
      <c r="Y344" s="331"/>
      <c r="Z344" s="331"/>
      <c r="AA344" s="331"/>
      <c r="AB344" s="331"/>
      <c r="AC344" s="331"/>
      <c r="AD344" s="331"/>
      <c r="AE344" s="331"/>
      <c r="AF344" s="331"/>
      <c r="AG344" s="331"/>
      <c r="AH344" s="331"/>
      <c r="AI344" s="331"/>
      <c r="AJ344" s="331"/>
      <c r="AK344" s="331"/>
      <c r="AL344" s="331"/>
    </row>
    <row r="345" ht="15.75" customHeight="1">
      <c r="A345" s="331"/>
      <c r="B345" s="331"/>
      <c r="C345" s="331"/>
      <c r="D345" s="331"/>
      <c r="E345" s="331"/>
      <c r="F345" s="331"/>
      <c r="G345" s="331"/>
      <c r="H345" s="331"/>
      <c r="I345" s="331"/>
      <c r="J345" s="331"/>
      <c r="K345" s="331"/>
      <c r="L345" s="331"/>
      <c r="M345" s="331"/>
      <c r="N345" s="331"/>
      <c r="O345" s="331"/>
      <c r="P345" s="331"/>
      <c r="Q345" s="331"/>
      <c r="R345" s="331"/>
      <c r="S345" s="331"/>
      <c r="T345" s="331"/>
      <c r="U345" s="331"/>
      <c r="V345" s="331"/>
      <c r="W345" s="331"/>
      <c r="X345" s="331"/>
      <c r="Y345" s="331"/>
      <c r="Z345" s="331"/>
      <c r="AA345" s="331"/>
      <c r="AB345" s="331"/>
      <c r="AC345" s="331"/>
      <c r="AD345" s="331"/>
      <c r="AE345" s="331"/>
      <c r="AF345" s="331"/>
      <c r="AG345" s="331"/>
      <c r="AH345" s="331"/>
      <c r="AI345" s="331"/>
      <c r="AJ345" s="331"/>
      <c r="AK345" s="331"/>
      <c r="AL345" s="331"/>
    </row>
    <row r="346" ht="15.75" customHeight="1">
      <c r="A346" s="331"/>
      <c r="B346" s="331"/>
      <c r="C346" s="331"/>
      <c r="D346" s="331"/>
      <c r="E346" s="331"/>
      <c r="F346" s="331"/>
      <c r="G346" s="331"/>
      <c r="H346" s="331"/>
      <c r="I346" s="331"/>
      <c r="J346" s="331"/>
      <c r="K346" s="331"/>
      <c r="L346" s="331"/>
      <c r="M346" s="331"/>
      <c r="N346" s="331"/>
      <c r="O346" s="331"/>
      <c r="P346" s="331"/>
      <c r="Q346" s="331"/>
      <c r="R346" s="331"/>
      <c r="S346" s="331"/>
      <c r="T346" s="331"/>
      <c r="U346" s="331"/>
      <c r="V346" s="331"/>
      <c r="W346" s="331"/>
      <c r="X346" s="331"/>
      <c r="Y346" s="331"/>
      <c r="Z346" s="331"/>
      <c r="AA346" s="331"/>
      <c r="AB346" s="331"/>
      <c r="AC346" s="331"/>
      <c r="AD346" s="331"/>
      <c r="AE346" s="331"/>
      <c r="AF346" s="331"/>
      <c r="AG346" s="331"/>
      <c r="AH346" s="331"/>
      <c r="AI346" s="331"/>
      <c r="AJ346" s="331"/>
      <c r="AK346" s="331"/>
      <c r="AL346" s="331"/>
    </row>
    <row r="347" ht="15.75" customHeight="1">
      <c r="A347" s="331"/>
      <c r="B347" s="331"/>
      <c r="C347" s="331"/>
      <c r="D347" s="331"/>
      <c r="E347" s="331"/>
      <c r="F347" s="331"/>
      <c r="G347" s="331"/>
      <c r="H347" s="331"/>
      <c r="I347" s="331"/>
      <c r="J347" s="331"/>
      <c r="K347" s="331"/>
      <c r="L347" s="331"/>
      <c r="M347" s="331"/>
      <c r="N347" s="331"/>
      <c r="O347" s="331"/>
      <c r="P347" s="331"/>
      <c r="Q347" s="331"/>
      <c r="R347" s="331"/>
      <c r="S347" s="331"/>
      <c r="T347" s="331"/>
      <c r="U347" s="331"/>
      <c r="V347" s="331"/>
      <c r="W347" s="331"/>
      <c r="X347" s="331"/>
      <c r="Y347" s="331"/>
      <c r="Z347" s="331"/>
      <c r="AA347" s="331"/>
      <c r="AB347" s="331"/>
      <c r="AC347" s="331"/>
      <c r="AD347" s="331"/>
      <c r="AE347" s="331"/>
      <c r="AF347" s="331"/>
      <c r="AG347" s="331"/>
      <c r="AH347" s="331"/>
      <c r="AI347" s="331"/>
      <c r="AJ347" s="331"/>
      <c r="AK347" s="331"/>
      <c r="AL347" s="331"/>
    </row>
    <row r="348" ht="15.75" customHeight="1">
      <c r="A348" s="331"/>
      <c r="B348" s="331"/>
      <c r="C348" s="331"/>
      <c r="D348" s="331"/>
      <c r="E348" s="331"/>
      <c r="F348" s="331"/>
      <c r="G348" s="331"/>
      <c r="H348" s="331"/>
      <c r="I348" s="331"/>
      <c r="J348" s="331"/>
      <c r="K348" s="331"/>
      <c r="L348" s="331"/>
      <c r="M348" s="331"/>
      <c r="N348" s="331"/>
      <c r="O348" s="331"/>
      <c r="P348" s="331"/>
      <c r="Q348" s="331"/>
      <c r="R348" s="331"/>
      <c r="S348" s="331"/>
      <c r="T348" s="331"/>
      <c r="U348" s="331"/>
      <c r="V348" s="331"/>
      <c r="W348" s="331"/>
      <c r="X348" s="331"/>
      <c r="Y348" s="331"/>
      <c r="Z348" s="331"/>
      <c r="AA348" s="331"/>
      <c r="AB348" s="331"/>
      <c r="AC348" s="331"/>
      <c r="AD348" s="331"/>
      <c r="AE348" s="331"/>
      <c r="AF348" s="331"/>
      <c r="AG348" s="331"/>
      <c r="AH348" s="331"/>
      <c r="AI348" s="331"/>
      <c r="AJ348" s="331"/>
      <c r="AK348" s="331"/>
      <c r="AL348" s="331"/>
    </row>
    <row r="349" ht="15.75" customHeight="1">
      <c r="A349" s="331"/>
      <c r="B349" s="331"/>
      <c r="C349" s="331"/>
      <c r="D349" s="331"/>
      <c r="E349" s="331"/>
      <c r="F349" s="331"/>
      <c r="G349" s="331"/>
      <c r="H349" s="331"/>
      <c r="I349" s="331"/>
      <c r="J349" s="331"/>
      <c r="K349" s="331"/>
      <c r="L349" s="331"/>
      <c r="M349" s="331"/>
      <c r="N349" s="331"/>
      <c r="O349" s="331"/>
      <c r="P349" s="331"/>
      <c r="Q349" s="331"/>
      <c r="R349" s="331"/>
      <c r="S349" s="331"/>
      <c r="T349" s="331"/>
      <c r="U349" s="331"/>
      <c r="V349" s="331"/>
      <c r="W349" s="331"/>
      <c r="X349" s="331"/>
      <c r="Y349" s="331"/>
      <c r="Z349" s="331"/>
      <c r="AA349" s="331"/>
      <c r="AB349" s="331"/>
      <c r="AC349" s="331"/>
      <c r="AD349" s="331"/>
      <c r="AE349" s="331"/>
      <c r="AF349" s="331"/>
      <c r="AG349" s="331"/>
      <c r="AH349" s="331"/>
      <c r="AI349" s="331"/>
      <c r="AJ349" s="331"/>
      <c r="AK349" s="331"/>
      <c r="AL349" s="331"/>
    </row>
    <row r="350" ht="15.75" customHeight="1">
      <c r="A350" s="331"/>
      <c r="B350" s="331"/>
      <c r="C350" s="331"/>
      <c r="D350" s="331"/>
      <c r="E350" s="331"/>
      <c r="F350" s="331"/>
      <c r="G350" s="331"/>
      <c r="H350" s="331"/>
      <c r="I350" s="331"/>
      <c r="J350" s="331"/>
      <c r="K350" s="331"/>
      <c r="L350" s="331"/>
      <c r="M350" s="331"/>
      <c r="N350" s="331"/>
      <c r="O350" s="331"/>
      <c r="P350" s="331"/>
      <c r="Q350" s="331"/>
      <c r="R350" s="331"/>
      <c r="S350" s="331"/>
      <c r="T350" s="331"/>
      <c r="U350" s="331"/>
      <c r="V350" s="331"/>
      <c r="W350" s="331"/>
      <c r="X350" s="331"/>
      <c r="Y350" s="331"/>
      <c r="Z350" s="331"/>
      <c r="AA350" s="331"/>
      <c r="AB350" s="331"/>
      <c r="AC350" s="331"/>
      <c r="AD350" s="331"/>
      <c r="AE350" s="331"/>
      <c r="AF350" s="331"/>
      <c r="AG350" s="331"/>
      <c r="AH350" s="331"/>
      <c r="AI350" s="331"/>
      <c r="AJ350" s="331"/>
      <c r="AK350" s="331"/>
      <c r="AL350" s="331"/>
    </row>
    <row r="351" ht="15.75" customHeight="1">
      <c r="A351" s="331"/>
      <c r="B351" s="331"/>
      <c r="C351" s="331"/>
      <c r="D351" s="331"/>
      <c r="E351" s="331"/>
      <c r="F351" s="331"/>
      <c r="G351" s="331"/>
      <c r="H351" s="331"/>
      <c r="I351" s="331"/>
      <c r="J351" s="331"/>
      <c r="K351" s="331"/>
      <c r="L351" s="331"/>
      <c r="M351" s="331"/>
      <c r="N351" s="331"/>
      <c r="O351" s="331"/>
      <c r="P351" s="331"/>
      <c r="Q351" s="331"/>
      <c r="R351" s="331"/>
      <c r="S351" s="331"/>
      <c r="T351" s="331"/>
      <c r="U351" s="331"/>
      <c r="V351" s="331"/>
      <c r="W351" s="331"/>
      <c r="X351" s="331"/>
      <c r="Y351" s="331"/>
      <c r="Z351" s="331"/>
      <c r="AA351" s="331"/>
      <c r="AB351" s="331"/>
      <c r="AC351" s="331"/>
      <c r="AD351" s="331"/>
      <c r="AE351" s="331"/>
      <c r="AF351" s="331"/>
      <c r="AG351" s="331"/>
      <c r="AH351" s="331"/>
      <c r="AI351" s="331"/>
      <c r="AJ351" s="331"/>
      <c r="AK351" s="331"/>
      <c r="AL351" s="331"/>
    </row>
    <row r="352" ht="15.75" customHeight="1">
      <c r="A352" s="331"/>
      <c r="B352" s="331"/>
      <c r="C352" s="331"/>
      <c r="D352" s="331"/>
      <c r="E352" s="331"/>
      <c r="F352" s="331"/>
      <c r="G352" s="331"/>
      <c r="H352" s="331"/>
      <c r="I352" s="331"/>
      <c r="J352" s="331"/>
      <c r="K352" s="331"/>
      <c r="L352" s="331"/>
      <c r="M352" s="331"/>
      <c r="N352" s="331"/>
      <c r="O352" s="331"/>
      <c r="P352" s="331"/>
      <c r="Q352" s="331"/>
      <c r="R352" s="331"/>
      <c r="S352" s="331"/>
      <c r="T352" s="331"/>
      <c r="U352" s="331"/>
      <c r="V352" s="331"/>
      <c r="W352" s="331"/>
      <c r="X352" s="331"/>
      <c r="Y352" s="331"/>
      <c r="Z352" s="331"/>
      <c r="AA352" s="331"/>
      <c r="AB352" s="331"/>
      <c r="AC352" s="331"/>
      <c r="AD352" s="331"/>
      <c r="AE352" s="331"/>
      <c r="AF352" s="331"/>
      <c r="AG352" s="331"/>
      <c r="AH352" s="331"/>
      <c r="AI352" s="331"/>
      <c r="AJ352" s="331"/>
      <c r="AK352" s="331"/>
      <c r="AL352" s="331"/>
    </row>
    <row r="353" ht="15.75" customHeight="1">
      <c r="A353" s="331"/>
      <c r="B353" s="331"/>
      <c r="C353" s="331"/>
      <c r="D353" s="331"/>
      <c r="E353" s="331"/>
      <c r="F353" s="331"/>
      <c r="G353" s="331"/>
      <c r="H353" s="331"/>
      <c r="I353" s="331"/>
      <c r="J353" s="331"/>
      <c r="K353" s="331"/>
      <c r="L353" s="331"/>
      <c r="M353" s="331"/>
      <c r="N353" s="331"/>
      <c r="O353" s="331"/>
      <c r="P353" s="331"/>
      <c r="Q353" s="331"/>
      <c r="R353" s="331"/>
      <c r="S353" s="331"/>
      <c r="T353" s="331"/>
      <c r="U353" s="331"/>
      <c r="V353" s="331"/>
      <c r="W353" s="331"/>
      <c r="X353" s="331"/>
      <c r="Y353" s="331"/>
      <c r="Z353" s="331"/>
      <c r="AA353" s="331"/>
      <c r="AB353" s="331"/>
      <c r="AC353" s="331"/>
      <c r="AD353" s="331"/>
      <c r="AE353" s="331"/>
      <c r="AF353" s="331"/>
      <c r="AG353" s="331"/>
      <c r="AH353" s="331"/>
      <c r="AI353" s="331"/>
      <c r="AJ353" s="331"/>
      <c r="AK353" s="331"/>
      <c r="AL353" s="331"/>
    </row>
    <row r="354" ht="15.75" customHeight="1">
      <c r="A354" s="331"/>
      <c r="B354" s="331"/>
      <c r="C354" s="331"/>
      <c r="D354" s="331"/>
      <c r="E354" s="331"/>
      <c r="F354" s="331"/>
      <c r="G354" s="331"/>
      <c r="H354" s="331"/>
      <c r="I354" s="331"/>
      <c r="J354" s="331"/>
      <c r="K354" s="331"/>
      <c r="L354" s="331"/>
      <c r="M354" s="331"/>
      <c r="N354" s="331"/>
      <c r="O354" s="331"/>
      <c r="P354" s="331"/>
      <c r="Q354" s="331"/>
      <c r="R354" s="331"/>
      <c r="S354" s="331"/>
      <c r="T354" s="331"/>
      <c r="U354" s="331"/>
      <c r="V354" s="331"/>
      <c r="W354" s="331"/>
      <c r="X354" s="331"/>
      <c r="Y354" s="331"/>
      <c r="Z354" s="331"/>
      <c r="AA354" s="331"/>
      <c r="AB354" s="331"/>
      <c r="AC354" s="331"/>
      <c r="AD354" s="331"/>
      <c r="AE354" s="331"/>
      <c r="AF354" s="331"/>
      <c r="AG354" s="331"/>
      <c r="AH354" s="331"/>
      <c r="AI354" s="331"/>
      <c r="AJ354" s="331"/>
      <c r="AK354" s="331"/>
      <c r="AL354" s="331"/>
    </row>
    <row r="355" ht="15.75" customHeight="1">
      <c r="A355" s="331"/>
      <c r="B355" s="331"/>
      <c r="C355" s="331"/>
      <c r="D355" s="331"/>
      <c r="E355" s="331"/>
      <c r="F355" s="331"/>
      <c r="G355" s="331"/>
      <c r="H355" s="331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/>
      <c r="X355" s="331"/>
      <c r="Y355" s="331"/>
      <c r="Z355" s="331"/>
      <c r="AA355" s="331"/>
      <c r="AB355" s="331"/>
      <c r="AC355" s="331"/>
      <c r="AD355" s="331"/>
      <c r="AE355" s="331"/>
      <c r="AF355" s="331"/>
      <c r="AG355" s="331"/>
      <c r="AH355" s="331"/>
      <c r="AI355" s="331"/>
      <c r="AJ355" s="331"/>
      <c r="AK355" s="331"/>
      <c r="AL355" s="331"/>
    </row>
    <row r="356" ht="15.75" customHeight="1">
      <c r="A356" s="331"/>
      <c r="B356" s="331"/>
      <c r="C356" s="331"/>
      <c r="D356" s="331"/>
      <c r="E356" s="331"/>
      <c r="F356" s="331"/>
      <c r="G356" s="331"/>
      <c r="H356" s="331"/>
      <c r="I356" s="331"/>
      <c r="J356" s="331"/>
      <c r="K356" s="331"/>
      <c r="L356" s="331"/>
      <c r="M356" s="331"/>
      <c r="N356" s="331"/>
      <c r="O356" s="331"/>
      <c r="P356" s="331"/>
      <c r="Q356" s="331"/>
      <c r="R356" s="331"/>
      <c r="S356" s="331"/>
      <c r="T356" s="331"/>
      <c r="U356" s="331"/>
      <c r="V356" s="331"/>
      <c r="W356" s="331"/>
      <c r="X356" s="331"/>
      <c r="Y356" s="331"/>
      <c r="Z356" s="331"/>
      <c r="AA356" s="331"/>
      <c r="AB356" s="331"/>
      <c r="AC356" s="331"/>
      <c r="AD356" s="331"/>
      <c r="AE356" s="331"/>
      <c r="AF356" s="331"/>
      <c r="AG356" s="331"/>
      <c r="AH356" s="331"/>
      <c r="AI356" s="331"/>
      <c r="AJ356" s="331"/>
      <c r="AK356" s="331"/>
      <c r="AL356" s="331"/>
    </row>
    <row r="357" ht="15.75" customHeight="1">
      <c r="A357" s="331"/>
      <c r="B357" s="331"/>
      <c r="C357" s="331"/>
      <c r="D357" s="331"/>
      <c r="E357" s="331"/>
      <c r="F357" s="331"/>
      <c r="G357" s="331"/>
      <c r="H357" s="331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/>
      <c r="X357" s="331"/>
      <c r="Y357" s="331"/>
      <c r="Z357" s="331"/>
      <c r="AA357" s="331"/>
      <c r="AB357" s="331"/>
      <c r="AC357" s="331"/>
      <c r="AD357" s="331"/>
      <c r="AE357" s="331"/>
      <c r="AF357" s="331"/>
      <c r="AG357" s="331"/>
      <c r="AH357" s="331"/>
      <c r="AI357" s="331"/>
      <c r="AJ357" s="331"/>
      <c r="AK357" s="331"/>
      <c r="AL357" s="331"/>
    </row>
    <row r="358" ht="15.75" customHeight="1">
      <c r="A358" s="331"/>
      <c r="B358" s="331"/>
      <c r="C358" s="331"/>
      <c r="D358" s="331"/>
      <c r="E358" s="331"/>
      <c r="F358" s="331"/>
      <c r="G358" s="331"/>
      <c r="H358" s="331"/>
      <c r="I358" s="331"/>
      <c r="J358" s="331"/>
      <c r="K358" s="331"/>
      <c r="L358" s="331"/>
      <c r="M358" s="331"/>
      <c r="N358" s="331"/>
      <c r="O358" s="331"/>
      <c r="P358" s="331"/>
      <c r="Q358" s="331"/>
      <c r="R358" s="331"/>
      <c r="S358" s="331"/>
      <c r="T358" s="331"/>
      <c r="U358" s="331"/>
      <c r="V358" s="331"/>
      <c r="W358" s="331"/>
      <c r="X358" s="331"/>
      <c r="Y358" s="331"/>
      <c r="Z358" s="331"/>
      <c r="AA358" s="331"/>
      <c r="AB358" s="331"/>
      <c r="AC358" s="331"/>
      <c r="AD358" s="331"/>
      <c r="AE358" s="331"/>
      <c r="AF358" s="331"/>
      <c r="AG358" s="331"/>
      <c r="AH358" s="331"/>
      <c r="AI358" s="331"/>
      <c r="AJ358" s="331"/>
      <c r="AK358" s="331"/>
      <c r="AL358" s="331"/>
    </row>
    <row r="359" ht="15.75" customHeight="1">
      <c r="A359" s="331"/>
      <c r="B359" s="331"/>
      <c r="C359" s="331"/>
      <c r="D359" s="331"/>
      <c r="E359" s="331"/>
      <c r="F359" s="331"/>
      <c r="G359" s="331"/>
      <c r="H359" s="331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/>
      <c r="X359" s="331"/>
      <c r="Y359" s="331"/>
      <c r="Z359" s="331"/>
      <c r="AA359" s="331"/>
      <c r="AB359" s="331"/>
      <c r="AC359" s="331"/>
      <c r="AD359" s="331"/>
      <c r="AE359" s="331"/>
      <c r="AF359" s="331"/>
      <c r="AG359" s="331"/>
      <c r="AH359" s="331"/>
      <c r="AI359" s="331"/>
      <c r="AJ359" s="331"/>
      <c r="AK359" s="331"/>
      <c r="AL359" s="331"/>
    </row>
    <row r="360" ht="15.75" customHeight="1">
      <c r="A360" s="331"/>
      <c r="B360" s="331"/>
      <c r="C360" s="331"/>
      <c r="D360" s="331"/>
      <c r="E360" s="331"/>
      <c r="F360" s="331"/>
      <c r="G360" s="331"/>
      <c r="H360" s="331"/>
      <c r="I360" s="331"/>
      <c r="J360" s="331"/>
      <c r="K360" s="331"/>
      <c r="L360" s="331"/>
      <c r="M360" s="331"/>
      <c r="N360" s="331"/>
      <c r="O360" s="331"/>
      <c r="P360" s="331"/>
      <c r="Q360" s="331"/>
      <c r="R360" s="331"/>
      <c r="S360" s="331"/>
      <c r="T360" s="331"/>
      <c r="U360" s="331"/>
      <c r="V360" s="331"/>
      <c r="W360" s="331"/>
      <c r="X360" s="331"/>
      <c r="Y360" s="331"/>
      <c r="Z360" s="331"/>
      <c r="AA360" s="331"/>
      <c r="AB360" s="331"/>
      <c r="AC360" s="331"/>
      <c r="AD360" s="331"/>
      <c r="AE360" s="331"/>
      <c r="AF360" s="331"/>
      <c r="AG360" s="331"/>
      <c r="AH360" s="331"/>
      <c r="AI360" s="331"/>
      <c r="AJ360" s="331"/>
      <c r="AK360" s="331"/>
      <c r="AL360" s="331"/>
    </row>
    <row r="361" ht="15.75" customHeight="1">
      <c r="A361" s="331"/>
      <c r="B361" s="331"/>
      <c r="C361" s="331"/>
      <c r="D361" s="331"/>
      <c r="E361" s="331"/>
      <c r="F361" s="331"/>
      <c r="G361" s="331"/>
      <c r="H361" s="331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/>
      <c r="X361" s="331"/>
      <c r="Y361" s="331"/>
      <c r="Z361" s="331"/>
      <c r="AA361" s="331"/>
      <c r="AB361" s="331"/>
      <c r="AC361" s="331"/>
      <c r="AD361" s="331"/>
      <c r="AE361" s="331"/>
      <c r="AF361" s="331"/>
      <c r="AG361" s="331"/>
      <c r="AH361" s="331"/>
      <c r="AI361" s="331"/>
      <c r="AJ361" s="331"/>
      <c r="AK361" s="331"/>
      <c r="AL361" s="331"/>
    </row>
    <row r="362" ht="15.75" customHeight="1">
      <c r="A362" s="331"/>
      <c r="B362" s="331"/>
      <c r="C362" s="331"/>
      <c r="D362" s="331"/>
      <c r="E362" s="331"/>
      <c r="F362" s="331"/>
      <c r="G362" s="331"/>
      <c r="H362" s="331"/>
      <c r="I362" s="331"/>
      <c r="J362" s="331"/>
      <c r="K362" s="331"/>
      <c r="L362" s="331"/>
      <c r="M362" s="331"/>
      <c r="N362" s="331"/>
      <c r="O362" s="331"/>
      <c r="P362" s="331"/>
      <c r="Q362" s="331"/>
      <c r="R362" s="331"/>
      <c r="S362" s="331"/>
      <c r="T362" s="331"/>
      <c r="U362" s="331"/>
      <c r="V362" s="331"/>
      <c r="W362" s="331"/>
      <c r="X362" s="331"/>
      <c r="Y362" s="331"/>
      <c r="Z362" s="331"/>
      <c r="AA362" s="331"/>
      <c r="AB362" s="331"/>
      <c r="AC362" s="331"/>
      <c r="AD362" s="331"/>
      <c r="AE362" s="331"/>
      <c r="AF362" s="331"/>
      <c r="AG362" s="331"/>
      <c r="AH362" s="331"/>
      <c r="AI362" s="331"/>
      <c r="AJ362" s="331"/>
      <c r="AK362" s="331"/>
      <c r="AL362" s="331"/>
    </row>
    <row r="363" ht="15.75" customHeight="1">
      <c r="A363" s="331"/>
      <c r="B363" s="331"/>
      <c r="C363" s="331"/>
      <c r="D363" s="331"/>
      <c r="E363" s="331"/>
      <c r="F363" s="331"/>
      <c r="G363" s="331"/>
      <c r="H363" s="331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/>
      <c r="X363" s="331"/>
      <c r="Y363" s="331"/>
      <c r="Z363" s="331"/>
      <c r="AA363" s="331"/>
      <c r="AB363" s="331"/>
      <c r="AC363" s="331"/>
      <c r="AD363" s="331"/>
      <c r="AE363" s="331"/>
      <c r="AF363" s="331"/>
      <c r="AG363" s="331"/>
      <c r="AH363" s="331"/>
      <c r="AI363" s="331"/>
      <c r="AJ363" s="331"/>
      <c r="AK363" s="331"/>
      <c r="AL363" s="331"/>
    </row>
    <row r="364" ht="15.75" customHeight="1">
      <c r="A364" s="331"/>
      <c r="B364" s="331"/>
      <c r="C364" s="331"/>
      <c r="D364" s="331"/>
      <c r="E364" s="331"/>
      <c r="F364" s="331"/>
      <c r="G364" s="331"/>
      <c r="H364" s="331"/>
      <c r="I364" s="331"/>
      <c r="J364" s="331"/>
      <c r="K364" s="331"/>
      <c r="L364" s="331"/>
      <c r="M364" s="331"/>
      <c r="N364" s="331"/>
      <c r="O364" s="331"/>
      <c r="P364" s="331"/>
      <c r="Q364" s="331"/>
      <c r="R364" s="331"/>
      <c r="S364" s="331"/>
      <c r="T364" s="331"/>
      <c r="U364" s="331"/>
      <c r="V364" s="331"/>
      <c r="W364" s="331"/>
      <c r="X364" s="331"/>
      <c r="Y364" s="331"/>
      <c r="Z364" s="331"/>
      <c r="AA364" s="331"/>
      <c r="AB364" s="331"/>
      <c r="AC364" s="331"/>
      <c r="AD364" s="331"/>
      <c r="AE364" s="331"/>
      <c r="AF364" s="331"/>
      <c r="AG364" s="331"/>
      <c r="AH364" s="331"/>
      <c r="AI364" s="331"/>
      <c r="AJ364" s="331"/>
      <c r="AK364" s="331"/>
      <c r="AL364" s="331"/>
    </row>
    <row r="365" ht="15.75" customHeight="1">
      <c r="A365" s="331"/>
      <c r="B365" s="331"/>
      <c r="C365" s="331"/>
      <c r="D365" s="331"/>
      <c r="E365" s="331"/>
      <c r="F365" s="331"/>
      <c r="G365" s="331"/>
      <c r="H365" s="331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/>
      <c r="X365" s="331"/>
      <c r="Y365" s="331"/>
      <c r="Z365" s="331"/>
      <c r="AA365" s="331"/>
      <c r="AB365" s="331"/>
      <c r="AC365" s="331"/>
      <c r="AD365" s="331"/>
      <c r="AE365" s="331"/>
      <c r="AF365" s="331"/>
      <c r="AG365" s="331"/>
      <c r="AH365" s="331"/>
      <c r="AI365" s="331"/>
      <c r="AJ365" s="331"/>
      <c r="AK365" s="331"/>
      <c r="AL365" s="331"/>
    </row>
    <row r="366" ht="15.75" customHeight="1">
      <c r="A366" s="331"/>
      <c r="B366" s="331"/>
      <c r="C366" s="331"/>
      <c r="D366" s="331"/>
      <c r="E366" s="331"/>
      <c r="F366" s="331"/>
      <c r="G366" s="331"/>
      <c r="H366" s="331"/>
      <c r="I366" s="331"/>
      <c r="J366" s="331"/>
      <c r="K366" s="331"/>
      <c r="L366" s="331"/>
      <c r="M366" s="331"/>
      <c r="N366" s="331"/>
      <c r="O366" s="331"/>
      <c r="P366" s="331"/>
      <c r="Q366" s="331"/>
      <c r="R366" s="331"/>
      <c r="S366" s="331"/>
      <c r="T366" s="331"/>
      <c r="U366" s="331"/>
      <c r="V366" s="331"/>
      <c r="W366" s="331"/>
      <c r="X366" s="331"/>
      <c r="Y366" s="331"/>
      <c r="Z366" s="331"/>
      <c r="AA366" s="331"/>
      <c r="AB366" s="331"/>
      <c r="AC366" s="331"/>
      <c r="AD366" s="331"/>
      <c r="AE366" s="331"/>
      <c r="AF366" s="331"/>
      <c r="AG366" s="331"/>
      <c r="AH366" s="331"/>
      <c r="AI366" s="331"/>
      <c r="AJ366" s="331"/>
      <c r="AK366" s="331"/>
      <c r="AL366" s="331"/>
    </row>
    <row r="367" ht="15.75" customHeight="1">
      <c r="A367" s="331"/>
      <c r="B367" s="331"/>
      <c r="C367" s="331"/>
      <c r="D367" s="331"/>
      <c r="E367" s="331"/>
      <c r="F367" s="331"/>
      <c r="G367" s="331"/>
      <c r="H367" s="331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/>
      <c r="X367" s="331"/>
      <c r="Y367" s="331"/>
      <c r="Z367" s="331"/>
      <c r="AA367" s="331"/>
      <c r="AB367" s="331"/>
      <c r="AC367" s="331"/>
      <c r="AD367" s="331"/>
      <c r="AE367" s="331"/>
      <c r="AF367" s="331"/>
      <c r="AG367" s="331"/>
      <c r="AH367" s="331"/>
      <c r="AI367" s="331"/>
      <c r="AJ367" s="331"/>
      <c r="AK367" s="331"/>
      <c r="AL367" s="331"/>
    </row>
    <row r="368" ht="15.75" customHeight="1">
      <c r="A368" s="331"/>
      <c r="B368" s="331"/>
      <c r="C368" s="331"/>
      <c r="D368" s="331"/>
      <c r="E368" s="331"/>
      <c r="F368" s="331"/>
      <c r="G368" s="331"/>
      <c r="H368" s="331"/>
      <c r="I368" s="331"/>
      <c r="J368" s="331"/>
      <c r="K368" s="331"/>
      <c r="L368" s="331"/>
      <c r="M368" s="331"/>
      <c r="N368" s="331"/>
      <c r="O368" s="331"/>
      <c r="P368" s="331"/>
      <c r="Q368" s="331"/>
      <c r="R368" s="331"/>
      <c r="S368" s="331"/>
      <c r="T368" s="331"/>
      <c r="U368" s="331"/>
      <c r="V368" s="331"/>
      <c r="W368" s="331"/>
      <c r="X368" s="331"/>
      <c r="Y368" s="331"/>
      <c r="Z368" s="331"/>
      <c r="AA368" s="331"/>
      <c r="AB368" s="331"/>
      <c r="AC368" s="331"/>
      <c r="AD368" s="331"/>
      <c r="AE368" s="331"/>
      <c r="AF368" s="331"/>
      <c r="AG368" s="331"/>
      <c r="AH368" s="331"/>
      <c r="AI368" s="331"/>
      <c r="AJ368" s="331"/>
      <c r="AK368" s="331"/>
      <c r="AL368" s="331"/>
    </row>
    <row r="369" ht="15.75" customHeight="1">
      <c r="A369" s="331"/>
      <c r="B369" s="331"/>
      <c r="C369" s="331"/>
      <c r="D369" s="331"/>
      <c r="E369" s="331"/>
      <c r="F369" s="331"/>
      <c r="G369" s="331"/>
      <c r="H369" s="331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/>
      <c r="X369" s="331"/>
      <c r="Y369" s="331"/>
      <c r="Z369" s="331"/>
      <c r="AA369" s="331"/>
      <c r="AB369" s="331"/>
      <c r="AC369" s="331"/>
      <c r="AD369" s="331"/>
      <c r="AE369" s="331"/>
      <c r="AF369" s="331"/>
      <c r="AG369" s="331"/>
      <c r="AH369" s="331"/>
      <c r="AI369" s="331"/>
      <c r="AJ369" s="331"/>
      <c r="AK369" s="331"/>
      <c r="AL369" s="331"/>
    </row>
    <row r="370" ht="15.75" customHeight="1">
      <c r="A370" s="331"/>
      <c r="B370" s="331"/>
      <c r="C370" s="331"/>
      <c r="D370" s="331"/>
      <c r="E370" s="331"/>
      <c r="F370" s="331"/>
      <c r="G370" s="331"/>
      <c r="H370" s="331"/>
      <c r="I370" s="331"/>
      <c r="J370" s="331"/>
      <c r="K370" s="331"/>
      <c r="L370" s="331"/>
      <c r="M370" s="331"/>
      <c r="N370" s="331"/>
      <c r="O370" s="331"/>
      <c r="P370" s="331"/>
      <c r="Q370" s="331"/>
      <c r="R370" s="331"/>
      <c r="S370" s="331"/>
      <c r="T370" s="331"/>
      <c r="U370" s="331"/>
      <c r="V370" s="331"/>
      <c r="W370" s="331"/>
      <c r="X370" s="331"/>
      <c r="Y370" s="331"/>
      <c r="Z370" s="331"/>
      <c r="AA370" s="331"/>
      <c r="AB370" s="331"/>
      <c r="AC370" s="331"/>
      <c r="AD370" s="331"/>
      <c r="AE370" s="331"/>
      <c r="AF370" s="331"/>
      <c r="AG370" s="331"/>
      <c r="AH370" s="331"/>
      <c r="AI370" s="331"/>
      <c r="AJ370" s="331"/>
      <c r="AK370" s="331"/>
      <c r="AL370" s="331"/>
    </row>
    <row r="371" ht="15.75" customHeight="1">
      <c r="A371" s="331"/>
      <c r="B371" s="331"/>
      <c r="C371" s="331"/>
      <c r="D371" s="331"/>
      <c r="E371" s="331"/>
      <c r="F371" s="331"/>
      <c r="G371" s="331"/>
      <c r="H371" s="331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31"/>
      <c r="Y371" s="331"/>
      <c r="Z371" s="331"/>
      <c r="AA371" s="331"/>
      <c r="AB371" s="331"/>
      <c r="AC371" s="331"/>
      <c r="AD371" s="331"/>
      <c r="AE371" s="331"/>
      <c r="AF371" s="331"/>
      <c r="AG371" s="331"/>
      <c r="AH371" s="331"/>
      <c r="AI371" s="331"/>
      <c r="AJ371" s="331"/>
      <c r="AK371" s="331"/>
      <c r="AL371" s="331"/>
    </row>
    <row r="372" ht="15.75" customHeight="1">
      <c r="A372" s="331"/>
      <c r="B372" s="331"/>
      <c r="C372" s="331"/>
      <c r="D372" s="331"/>
      <c r="E372" s="331"/>
      <c r="F372" s="331"/>
      <c r="G372" s="331"/>
      <c r="H372" s="331"/>
      <c r="I372" s="331"/>
      <c r="J372" s="331"/>
      <c r="K372" s="331"/>
      <c r="L372" s="331"/>
      <c r="M372" s="331"/>
      <c r="N372" s="331"/>
      <c r="O372" s="331"/>
      <c r="P372" s="331"/>
      <c r="Q372" s="331"/>
      <c r="R372" s="331"/>
      <c r="S372" s="331"/>
      <c r="T372" s="331"/>
      <c r="U372" s="331"/>
      <c r="V372" s="331"/>
      <c r="W372" s="331"/>
      <c r="X372" s="331"/>
      <c r="Y372" s="331"/>
      <c r="Z372" s="331"/>
      <c r="AA372" s="331"/>
      <c r="AB372" s="331"/>
      <c r="AC372" s="331"/>
      <c r="AD372" s="331"/>
      <c r="AE372" s="331"/>
      <c r="AF372" s="331"/>
      <c r="AG372" s="331"/>
      <c r="AH372" s="331"/>
      <c r="AI372" s="331"/>
      <c r="AJ372" s="331"/>
      <c r="AK372" s="331"/>
      <c r="AL372" s="331"/>
    </row>
    <row r="373" ht="15.75" customHeight="1">
      <c r="A373" s="331"/>
      <c r="B373" s="331"/>
      <c r="C373" s="331"/>
      <c r="D373" s="331"/>
      <c r="E373" s="331"/>
      <c r="F373" s="331"/>
      <c r="G373" s="331"/>
      <c r="H373" s="331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/>
      <c r="X373" s="331"/>
      <c r="Y373" s="331"/>
      <c r="Z373" s="331"/>
      <c r="AA373" s="331"/>
      <c r="AB373" s="331"/>
      <c r="AC373" s="331"/>
      <c r="AD373" s="331"/>
      <c r="AE373" s="331"/>
      <c r="AF373" s="331"/>
      <c r="AG373" s="331"/>
      <c r="AH373" s="331"/>
      <c r="AI373" s="331"/>
      <c r="AJ373" s="331"/>
      <c r="AK373" s="331"/>
      <c r="AL373" s="331"/>
    </row>
    <row r="374" ht="15.75" customHeight="1">
      <c r="A374" s="331"/>
      <c r="B374" s="331"/>
      <c r="C374" s="331"/>
      <c r="D374" s="331"/>
      <c r="E374" s="331"/>
      <c r="F374" s="331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  <c r="R374" s="331"/>
      <c r="S374" s="331"/>
      <c r="T374" s="331"/>
      <c r="U374" s="331"/>
      <c r="V374" s="331"/>
      <c r="W374" s="331"/>
      <c r="X374" s="331"/>
      <c r="Y374" s="331"/>
      <c r="Z374" s="331"/>
      <c r="AA374" s="331"/>
      <c r="AB374" s="331"/>
      <c r="AC374" s="331"/>
      <c r="AD374" s="331"/>
      <c r="AE374" s="331"/>
      <c r="AF374" s="331"/>
      <c r="AG374" s="331"/>
      <c r="AH374" s="331"/>
      <c r="AI374" s="331"/>
      <c r="AJ374" s="331"/>
      <c r="AK374" s="331"/>
      <c r="AL374" s="331"/>
    </row>
    <row r="375" ht="15.75" customHeight="1">
      <c r="A375" s="331"/>
      <c r="B375" s="331"/>
      <c r="C375" s="331"/>
      <c r="D375" s="331"/>
      <c r="E375" s="331"/>
      <c r="F375" s="331"/>
      <c r="G375" s="331"/>
      <c r="H375" s="331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/>
      <c r="X375" s="331"/>
      <c r="Y375" s="331"/>
      <c r="Z375" s="331"/>
      <c r="AA375" s="331"/>
      <c r="AB375" s="331"/>
      <c r="AC375" s="331"/>
      <c r="AD375" s="331"/>
      <c r="AE375" s="331"/>
      <c r="AF375" s="331"/>
      <c r="AG375" s="331"/>
      <c r="AH375" s="331"/>
      <c r="AI375" s="331"/>
      <c r="AJ375" s="331"/>
      <c r="AK375" s="331"/>
      <c r="AL375" s="331"/>
    </row>
    <row r="376" ht="15.75" customHeight="1">
      <c r="A376" s="331"/>
      <c r="B376" s="331"/>
      <c r="C376" s="331"/>
      <c r="D376" s="331"/>
      <c r="E376" s="331"/>
      <c r="F376" s="331"/>
      <c r="G376" s="331"/>
      <c r="H376" s="331"/>
      <c r="I376" s="331"/>
      <c r="J376" s="331"/>
      <c r="K376" s="331"/>
      <c r="L376" s="331"/>
      <c r="M376" s="331"/>
      <c r="N376" s="331"/>
      <c r="O376" s="331"/>
      <c r="P376" s="331"/>
      <c r="Q376" s="331"/>
      <c r="R376" s="331"/>
      <c r="S376" s="331"/>
      <c r="T376" s="331"/>
      <c r="U376" s="331"/>
      <c r="V376" s="331"/>
      <c r="W376" s="331"/>
      <c r="X376" s="331"/>
      <c r="Y376" s="331"/>
      <c r="Z376" s="331"/>
      <c r="AA376" s="331"/>
      <c r="AB376" s="331"/>
      <c r="AC376" s="331"/>
      <c r="AD376" s="331"/>
      <c r="AE376" s="331"/>
      <c r="AF376" s="331"/>
      <c r="AG376" s="331"/>
      <c r="AH376" s="331"/>
      <c r="AI376" s="331"/>
      <c r="AJ376" s="331"/>
      <c r="AK376" s="331"/>
      <c r="AL376" s="331"/>
    </row>
    <row r="377" ht="15.75" customHeight="1">
      <c r="A377" s="331"/>
      <c r="B377" s="331"/>
      <c r="C377" s="331"/>
      <c r="D377" s="331"/>
      <c r="E377" s="331"/>
      <c r="F377" s="331"/>
      <c r="G377" s="331"/>
      <c r="H377" s="331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/>
      <c r="X377" s="331"/>
      <c r="Y377" s="331"/>
      <c r="Z377" s="331"/>
      <c r="AA377" s="331"/>
      <c r="AB377" s="331"/>
      <c r="AC377" s="331"/>
      <c r="AD377" s="331"/>
      <c r="AE377" s="331"/>
      <c r="AF377" s="331"/>
      <c r="AG377" s="331"/>
      <c r="AH377" s="331"/>
      <c r="AI377" s="331"/>
      <c r="AJ377" s="331"/>
      <c r="AK377" s="331"/>
      <c r="AL377" s="331"/>
    </row>
    <row r="378" ht="15.75" customHeight="1">
      <c r="A378" s="331"/>
      <c r="B378" s="331"/>
      <c r="C378" s="331"/>
      <c r="D378" s="331"/>
      <c r="E378" s="331"/>
      <c r="F378" s="331"/>
      <c r="G378" s="331"/>
      <c r="H378" s="331"/>
      <c r="I378" s="331"/>
      <c r="J378" s="331"/>
      <c r="K378" s="331"/>
      <c r="L378" s="331"/>
      <c r="M378" s="331"/>
      <c r="N378" s="331"/>
      <c r="O378" s="331"/>
      <c r="P378" s="331"/>
      <c r="Q378" s="331"/>
      <c r="R378" s="331"/>
      <c r="S378" s="331"/>
      <c r="T378" s="331"/>
      <c r="U378" s="331"/>
      <c r="V378" s="331"/>
      <c r="W378" s="331"/>
      <c r="X378" s="331"/>
      <c r="Y378" s="331"/>
      <c r="Z378" s="331"/>
      <c r="AA378" s="331"/>
      <c r="AB378" s="331"/>
      <c r="AC378" s="331"/>
      <c r="AD378" s="331"/>
      <c r="AE378" s="331"/>
      <c r="AF378" s="331"/>
      <c r="AG378" s="331"/>
      <c r="AH378" s="331"/>
      <c r="AI378" s="331"/>
      <c r="AJ378" s="331"/>
      <c r="AK378" s="331"/>
      <c r="AL378" s="331"/>
    </row>
    <row r="379" ht="15.75" customHeight="1">
      <c r="A379" s="331"/>
      <c r="B379" s="331"/>
      <c r="C379" s="331"/>
      <c r="D379" s="331"/>
      <c r="E379" s="331"/>
      <c r="F379" s="331"/>
      <c r="G379" s="331"/>
      <c r="H379" s="331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/>
      <c r="X379" s="331"/>
      <c r="Y379" s="331"/>
      <c r="Z379" s="331"/>
      <c r="AA379" s="331"/>
      <c r="AB379" s="331"/>
      <c r="AC379" s="331"/>
      <c r="AD379" s="331"/>
      <c r="AE379" s="331"/>
      <c r="AF379" s="331"/>
      <c r="AG379" s="331"/>
      <c r="AH379" s="331"/>
      <c r="AI379" s="331"/>
      <c r="AJ379" s="331"/>
      <c r="AK379" s="331"/>
      <c r="AL379" s="331"/>
    </row>
    <row r="380" ht="15.75" customHeight="1">
      <c r="A380" s="331"/>
      <c r="B380" s="331"/>
      <c r="C380" s="331"/>
      <c r="D380" s="331"/>
      <c r="E380" s="331"/>
      <c r="F380" s="331"/>
      <c r="G380" s="331"/>
      <c r="H380" s="331"/>
      <c r="I380" s="331"/>
      <c r="J380" s="331"/>
      <c r="K380" s="331"/>
      <c r="L380" s="331"/>
      <c r="M380" s="331"/>
      <c r="N380" s="331"/>
      <c r="O380" s="331"/>
      <c r="P380" s="331"/>
      <c r="Q380" s="331"/>
      <c r="R380" s="331"/>
      <c r="S380" s="331"/>
      <c r="T380" s="331"/>
      <c r="U380" s="331"/>
      <c r="V380" s="331"/>
      <c r="W380" s="331"/>
      <c r="X380" s="331"/>
      <c r="Y380" s="331"/>
      <c r="Z380" s="331"/>
      <c r="AA380" s="331"/>
      <c r="AB380" s="331"/>
      <c r="AC380" s="331"/>
      <c r="AD380" s="331"/>
      <c r="AE380" s="331"/>
      <c r="AF380" s="331"/>
      <c r="AG380" s="331"/>
      <c r="AH380" s="331"/>
      <c r="AI380" s="331"/>
      <c r="AJ380" s="331"/>
      <c r="AK380" s="331"/>
      <c r="AL380" s="331"/>
    </row>
    <row r="381" ht="15.75" customHeight="1">
      <c r="A381" s="331"/>
      <c r="B381" s="331"/>
      <c r="C381" s="331"/>
      <c r="D381" s="331"/>
      <c r="E381" s="331"/>
      <c r="F381" s="331"/>
      <c r="G381" s="331"/>
      <c r="H381" s="331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/>
      <c r="X381" s="331"/>
      <c r="Y381" s="331"/>
      <c r="Z381" s="331"/>
      <c r="AA381" s="331"/>
      <c r="AB381" s="331"/>
      <c r="AC381" s="331"/>
      <c r="AD381" s="331"/>
      <c r="AE381" s="331"/>
      <c r="AF381" s="331"/>
      <c r="AG381" s="331"/>
      <c r="AH381" s="331"/>
      <c r="AI381" s="331"/>
      <c r="AJ381" s="331"/>
      <c r="AK381" s="331"/>
      <c r="AL381" s="331"/>
    </row>
    <row r="382" ht="15.75" customHeight="1">
      <c r="A382" s="331"/>
      <c r="B382" s="331"/>
      <c r="C382" s="331"/>
      <c r="D382" s="331"/>
      <c r="E382" s="331"/>
      <c r="F382" s="331"/>
      <c r="G382" s="331"/>
      <c r="H382" s="331"/>
      <c r="I382" s="331"/>
      <c r="J382" s="331"/>
      <c r="K382" s="331"/>
      <c r="L382" s="331"/>
      <c r="M382" s="331"/>
      <c r="N382" s="331"/>
      <c r="O382" s="331"/>
      <c r="P382" s="331"/>
      <c r="Q382" s="331"/>
      <c r="R382" s="331"/>
      <c r="S382" s="331"/>
      <c r="T382" s="331"/>
      <c r="U382" s="331"/>
      <c r="V382" s="331"/>
      <c r="W382" s="331"/>
      <c r="X382" s="331"/>
      <c r="Y382" s="331"/>
      <c r="Z382" s="331"/>
      <c r="AA382" s="331"/>
      <c r="AB382" s="331"/>
      <c r="AC382" s="331"/>
      <c r="AD382" s="331"/>
      <c r="AE382" s="331"/>
      <c r="AF382" s="331"/>
      <c r="AG382" s="331"/>
      <c r="AH382" s="331"/>
      <c r="AI382" s="331"/>
      <c r="AJ382" s="331"/>
      <c r="AK382" s="331"/>
      <c r="AL382" s="331"/>
    </row>
    <row r="383" ht="15.75" customHeight="1">
      <c r="A383" s="331"/>
      <c r="B383" s="331"/>
      <c r="C383" s="331"/>
      <c r="D383" s="331"/>
      <c r="E383" s="331"/>
      <c r="F383" s="331"/>
      <c r="G383" s="331"/>
      <c r="H383" s="331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/>
      <c r="X383" s="331"/>
      <c r="Y383" s="331"/>
      <c r="Z383" s="331"/>
      <c r="AA383" s="331"/>
      <c r="AB383" s="331"/>
      <c r="AC383" s="331"/>
      <c r="AD383" s="331"/>
      <c r="AE383" s="331"/>
      <c r="AF383" s="331"/>
      <c r="AG383" s="331"/>
      <c r="AH383" s="331"/>
      <c r="AI383" s="331"/>
      <c r="AJ383" s="331"/>
      <c r="AK383" s="331"/>
      <c r="AL383" s="331"/>
    </row>
    <row r="384" ht="15.75" customHeight="1">
      <c r="A384" s="331"/>
      <c r="B384" s="331"/>
      <c r="C384" s="331"/>
      <c r="D384" s="331"/>
      <c r="E384" s="331"/>
      <c r="F384" s="331"/>
      <c r="G384" s="331"/>
      <c r="H384" s="331"/>
      <c r="I384" s="331"/>
      <c r="J384" s="331"/>
      <c r="K384" s="331"/>
      <c r="L384" s="331"/>
      <c r="M384" s="331"/>
      <c r="N384" s="331"/>
      <c r="O384" s="331"/>
      <c r="P384" s="331"/>
      <c r="Q384" s="331"/>
      <c r="R384" s="331"/>
      <c r="S384" s="331"/>
      <c r="T384" s="331"/>
      <c r="U384" s="331"/>
      <c r="V384" s="331"/>
      <c r="W384" s="331"/>
      <c r="X384" s="331"/>
      <c r="Y384" s="331"/>
      <c r="Z384" s="331"/>
      <c r="AA384" s="331"/>
      <c r="AB384" s="331"/>
      <c r="AC384" s="331"/>
      <c r="AD384" s="331"/>
      <c r="AE384" s="331"/>
      <c r="AF384" s="331"/>
      <c r="AG384" s="331"/>
      <c r="AH384" s="331"/>
      <c r="AI384" s="331"/>
      <c r="AJ384" s="331"/>
      <c r="AK384" s="331"/>
      <c r="AL384" s="331"/>
    </row>
    <row r="385" ht="15.75" customHeight="1">
      <c r="A385" s="331"/>
      <c r="B385" s="331"/>
      <c r="C385" s="331"/>
      <c r="D385" s="331"/>
      <c r="E385" s="331"/>
      <c r="F385" s="331"/>
      <c r="G385" s="331"/>
      <c r="H385" s="331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31"/>
      <c r="Y385" s="331"/>
      <c r="Z385" s="331"/>
      <c r="AA385" s="331"/>
      <c r="AB385" s="331"/>
      <c r="AC385" s="331"/>
      <c r="AD385" s="331"/>
      <c r="AE385" s="331"/>
      <c r="AF385" s="331"/>
      <c r="AG385" s="331"/>
      <c r="AH385" s="331"/>
      <c r="AI385" s="331"/>
      <c r="AJ385" s="331"/>
      <c r="AK385" s="331"/>
      <c r="AL385" s="331"/>
    </row>
    <row r="386" ht="15.75" customHeight="1">
      <c r="A386" s="331"/>
      <c r="B386" s="331"/>
      <c r="C386" s="331"/>
      <c r="D386" s="331"/>
      <c r="E386" s="331"/>
      <c r="F386" s="331"/>
      <c r="G386" s="331"/>
      <c r="H386" s="331"/>
      <c r="I386" s="331"/>
      <c r="J386" s="331"/>
      <c r="K386" s="331"/>
      <c r="L386" s="331"/>
      <c r="M386" s="331"/>
      <c r="N386" s="331"/>
      <c r="O386" s="331"/>
      <c r="P386" s="331"/>
      <c r="Q386" s="331"/>
      <c r="R386" s="331"/>
      <c r="S386" s="331"/>
      <c r="T386" s="331"/>
      <c r="U386" s="331"/>
      <c r="V386" s="331"/>
      <c r="W386" s="331"/>
      <c r="X386" s="331"/>
      <c r="Y386" s="331"/>
      <c r="Z386" s="331"/>
      <c r="AA386" s="331"/>
      <c r="AB386" s="331"/>
      <c r="AC386" s="331"/>
      <c r="AD386" s="331"/>
      <c r="AE386" s="331"/>
      <c r="AF386" s="331"/>
      <c r="AG386" s="331"/>
      <c r="AH386" s="331"/>
      <c r="AI386" s="331"/>
      <c r="AJ386" s="331"/>
      <c r="AK386" s="331"/>
      <c r="AL386" s="331"/>
    </row>
    <row r="387" ht="15.75" customHeight="1">
      <c r="A387" s="331"/>
      <c r="B387" s="331"/>
      <c r="C387" s="331"/>
      <c r="D387" s="331"/>
      <c r="E387" s="331"/>
      <c r="F387" s="331"/>
      <c r="G387" s="331"/>
      <c r="H387" s="331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/>
      <c r="X387" s="331"/>
      <c r="Y387" s="331"/>
      <c r="Z387" s="331"/>
      <c r="AA387" s="331"/>
      <c r="AB387" s="331"/>
      <c r="AC387" s="331"/>
      <c r="AD387" s="331"/>
      <c r="AE387" s="331"/>
      <c r="AF387" s="331"/>
      <c r="AG387" s="331"/>
      <c r="AH387" s="331"/>
      <c r="AI387" s="331"/>
      <c r="AJ387" s="331"/>
      <c r="AK387" s="331"/>
      <c r="AL387" s="331"/>
    </row>
    <row r="388" ht="15.75" customHeight="1">
      <c r="A388" s="331"/>
      <c r="B388" s="331"/>
      <c r="C388" s="331"/>
      <c r="D388" s="331"/>
      <c r="E388" s="331"/>
      <c r="F388" s="331"/>
      <c r="G388" s="331"/>
      <c r="H388" s="331"/>
      <c r="I388" s="331"/>
      <c r="J388" s="331"/>
      <c r="K388" s="331"/>
      <c r="L388" s="331"/>
      <c r="M388" s="331"/>
      <c r="N388" s="331"/>
      <c r="O388" s="331"/>
      <c r="P388" s="331"/>
      <c r="Q388" s="331"/>
      <c r="R388" s="331"/>
      <c r="S388" s="331"/>
      <c r="T388" s="331"/>
      <c r="U388" s="331"/>
      <c r="V388" s="331"/>
      <c r="W388" s="331"/>
      <c r="X388" s="331"/>
      <c r="Y388" s="331"/>
      <c r="Z388" s="331"/>
      <c r="AA388" s="331"/>
      <c r="AB388" s="331"/>
      <c r="AC388" s="331"/>
      <c r="AD388" s="331"/>
      <c r="AE388" s="331"/>
      <c r="AF388" s="331"/>
      <c r="AG388" s="331"/>
      <c r="AH388" s="331"/>
      <c r="AI388" s="331"/>
      <c r="AJ388" s="331"/>
      <c r="AK388" s="331"/>
      <c r="AL388" s="331"/>
    </row>
    <row r="389" ht="15.75" customHeight="1">
      <c r="A389" s="331"/>
      <c r="B389" s="331"/>
      <c r="C389" s="331"/>
      <c r="D389" s="331"/>
      <c r="E389" s="331"/>
      <c r="F389" s="331"/>
      <c r="G389" s="331"/>
      <c r="H389" s="331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/>
      <c r="X389" s="331"/>
      <c r="Y389" s="331"/>
      <c r="Z389" s="331"/>
      <c r="AA389" s="331"/>
      <c r="AB389" s="331"/>
      <c r="AC389" s="331"/>
      <c r="AD389" s="331"/>
      <c r="AE389" s="331"/>
      <c r="AF389" s="331"/>
      <c r="AG389" s="331"/>
      <c r="AH389" s="331"/>
      <c r="AI389" s="331"/>
      <c r="AJ389" s="331"/>
      <c r="AK389" s="331"/>
      <c r="AL389" s="331"/>
    </row>
    <row r="390" ht="15.75" customHeight="1">
      <c r="A390" s="331"/>
      <c r="B390" s="331"/>
      <c r="C390" s="331"/>
      <c r="D390" s="331"/>
      <c r="E390" s="331"/>
      <c r="F390" s="331"/>
      <c r="G390" s="331"/>
      <c r="H390" s="331"/>
      <c r="I390" s="331"/>
      <c r="J390" s="331"/>
      <c r="K390" s="331"/>
      <c r="L390" s="331"/>
      <c r="M390" s="331"/>
      <c r="N390" s="331"/>
      <c r="O390" s="331"/>
      <c r="P390" s="331"/>
      <c r="Q390" s="331"/>
      <c r="R390" s="331"/>
      <c r="S390" s="331"/>
      <c r="T390" s="331"/>
      <c r="U390" s="331"/>
      <c r="V390" s="331"/>
      <c r="W390" s="331"/>
      <c r="X390" s="331"/>
      <c r="Y390" s="331"/>
      <c r="Z390" s="331"/>
      <c r="AA390" s="331"/>
      <c r="AB390" s="331"/>
      <c r="AC390" s="331"/>
      <c r="AD390" s="331"/>
      <c r="AE390" s="331"/>
      <c r="AF390" s="331"/>
      <c r="AG390" s="331"/>
      <c r="AH390" s="331"/>
      <c r="AI390" s="331"/>
      <c r="AJ390" s="331"/>
      <c r="AK390" s="331"/>
      <c r="AL390" s="331"/>
    </row>
    <row r="391" ht="15.75" customHeight="1">
      <c r="A391" s="331"/>
      <c r="B391" s="331"/>
      <c r="C391" s="331"/>
      <c r="D391" s="331"/>
      <c r="E391" s="331"/>
      <c r="F391" s="331"/>
      <c r="G391" s="331"/>
      <c r="H391" s="331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/>
      <c r="X391" s="331"/>
      <c r="Y391" s="331"/>
      <c r="Z391" s="331"/>
      <c r="AA391" s="331"/>
      <c r="AB391" s="331"/>
      <c r="AC391" s="331"/>
      <c r="AD391" s="331"/>
      <c r="AE391" s="331"/>
      <c r="AF391" s="331"/>
      <c r="AG391" s="331"/>
      <c r="AH391" s="331"/>
      <c r="AI391" s="331"/>
      <c r="AJ391" s="331"/>
      <c r="AK391" s="331"/>
      <c r="AL391" s="331"/>
    </row>
    <row r="392" ht="15.75" customHeight="1">
      <c r="A392" s="331"/>
      <c r="B392" s="331"/>
      <c r="C392" s="331"/>
      <c r="D392" s="331"/>
      <c r="E392" s="331"/>
      <c r="F392" s="331"/>
      <c r="G392" s="331"/>
      <c r="H392" s="331"/>
      <c r="I392" s="331"/>
      <c r="J392" s="331"/>
      <c r="K392" s="331"/>
      <c r="L392" s="331"/>
      <c r="M392" s="331"/>
      <c r="N392" s="331"/>
      <c r="O392" s="331"/>
      <c r="P392" s="331"/>
      <c r="Q392" s="331"/>
      <c r="R392" s="331"/>
      <c r="S392" s="331"/>
      <c r="T392" s="331"/>
      <c r="U392" s="331"/>
      <c r="V392" s="331"/>
      <c r="W392" s="331"/>
      <c r="X392" s="331"/>
      <c r="Y392" s="331"/>
      <c r="Z392" s="331"/>
      <c r="AA392" s="331"/>
      <c r="AB392" s="331"/>
      <c r="AC392" s="331"/>
      <c r="AD392" s="331"/>
      <c r="AE392" s="331"/>
      <c r="AF392" s="331"/>
      <c r="AG392" s="331"/>
      <c r="AH392" s="331"/>
      <c r="AI392" s="331"/>
      <c r="AJ392" s="331"/>
      <c r="AK392" s="331"/>
      <c r="AL392" s="331"/>
    </row>
    <row r="393" ht="15.75" customHeight="1">
      <c r="A393" s="331"/>
      <c r="B393" s="331"/>
      <c r="C393" s="331"/>
      <c r="D393" s="331"/>
      <c r="E393" s="331"/>
      <c r="F393" s="331"/>
      <c r="G393" s="331"/>
      <c r="H393" s="331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/>
      <c r="X393" s="331"/>
      <c r="Y393" s="331"/>
      <c r="Z393" s="331"/>
      <c r="AA393" s="331"/>
      <c r="AB393" s="331"/>
      <c r="AC393" s="331"/>
      <c r="AD393" s="331"/>
      <c r="AE393" s="331"/>
      <c r="AF393" s="331"/>
      <c r="AG393" s="331"/>
      <c r="AH393" s="331"/>
      <c r="AI393" s="331"/>
      <c r="AJ393" s="331"/>
      <c r="AK393" s="331"/>
      <c r="AL393" s="331"/>
    </row>
    <row r="394" ht="15.75" customHeight="1">
      <c r="A394" s="331"/>
      <c r="B394" s="331"/>
      <c r="C394" s="331"/>
      <c r="D394" s="331"/>
      <c r="E394" s="331"/>
      <c r="F394" s="331"/>
      <c r="G394" s="331"/>
      <c r="H394" s="331"/>
      <c r="I394" s="331"/>
      <c r="J394" s="331"/>
      <c r="K394" s="331"/>
      <c r="L394" s="331"/>
      <c r="M394" s="331"/>
      <c r="N394" s="331"/>
      <c r="O394" s="331"/>
      <c r="P394" s="331"/>
      <c r="Q394" s="331"/>
      <c r="R394" s="331"/>
      <c r="S394" s="331"/>
      <c r="T394" s="331"/>
      <c r="U394" s="331"/>
      <c r="V394" s="331"/>
      <c r="W394" s="331"/>
      <c r="X394" s="331"/>
      <c r="Y394" s="331"/>
      <c r="Z394" s="331"/>
      <c r="AA394" s="331"/>
      <c r="AB394" s="331"/>
      <c r="AC394" s="331"/>
      <c r="AD394" s="331"/>
      <c r="AE394" s="331"/>
      <c r="AF394" s="331"/>
      <c r="AG394" s="331"/>
      <c r="AH394" s="331"/>
      <c r="AI394" s="331"/>
      <c r="AJ394" s="331"/>
      <c r="AK394" s="331"/>
      <c r="AL394" s="331"/>
    </row>
    <row r="395" ht="15.75" customHeight="1">
      <c r="A395" s="331"/>
      <c r="B395" s="331"/>
      <c r="C395" s="331"/>
      <c r="D395" s="331"/>
      <c r="E395" s="331"/>
      <c r="F395" s="331"/>
      <c r="G395" s="331"/>
      <c r="H395" s="331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/>
      <c r="X395" s="331"/>
      <c r="Y395" s="331"/>
      <c r="Z395" s="331"/>
      <c r="AA395" s="331"/>
      <c r="AB395" s="331"/>
      <c r="AC395" s="331"/>
      <c r="AD395" s="331"/>
      <c r="AE395" s="331"/>
      <c r="AF395" s="331"/>
      <c r="AG395" s="331"/>
      <c r="AH395" s="331"/>
      <c r="AI395" s="331"/>
      <c r="AJ395" s="331"/>
      <c r="AK395" s="331"/>
      <c r="AL395" s="331"/>
    </row>
    <row r="396" ht="15.75" customHeight="1">
      <c r="A396" s="331"/>
      <c r="B396" s="331"/>
      <c r="C396" s="331"/>
      <c r="D396" s="331"/>
      <c r="E396" s="331"/>
      <c r="F396" s="331"/>
      <c r="G396" s="331"/>
      <c r="H396" s="331"/>
      <c r="I396" s="331"/>
      <c r="J396" s="331"/>
      <c r="K396" s="331"/>
      <c r="L396" s="331"/>
      <c r="M396" s="331"/>
      <c r="N396" s="331"/>
      <c r="O396" s="331"/>
      <c r="P396" s="331"/>
      <c r="Q396" s="331"/>
      <c r="R396" s="331"/>
      <c r="S396" s="331"/>
      <c r="T396" s="331"/>
      <c r="U396" s="331"/>
      <c r="V396" s="331"/>
      <c r="W396" s="331"/>
      <c r="X396" s="331"/>
      <c r="Y396" s="331"/>
      <c r="Z396" s="331"/>
      <c r="AA396" s="331"/>
      <c r="AB396" s="331"/>
      <c r="AC396" s="331"/>
      <c r="AD396" s="331"/>
      <c r="AE396" s="331"/>
      <c r="AF396" s="331"/>
      <c r="AG396" s="331"/>
      <c r="AH396" s="331"/>
      <c r="AI396" s="331"/>
      <c r="AJ396" s="331"/>
      <c r="AK396" s="331"/>
      <c r="AL396" s="331"/>
    </row>
    <row r="397" ht="15.75" customHeight="1">
      <c r="A397" s="331"/>
      <c r="B397" s="331"/>
      <c r="C397" s="331"/>
      <c r="D397" s="331"/>
      <c r="E397" s="331"/>
      <c r="F397" s="331"/>
      <c r="G397" s="331"/>
      <c r="H397" s="331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/>
      <c r="X397" s="331"/>
      <c r="Y397" s="331"/>
      <c r="Z397" s="331"/>
      <c r="AA397" s="331"/>
      <c r="AB397" s="331"/>
      <c r="AC397" s="331"/>
      <c r="AD397" s="331"/>
      <c r="AE397" s="331"/>
      <c r="AF397" s="331"/>
      <c r="AG397" s="331"/>
      <c r="AH397" s="331"/>
      <c r="AI397" s="331"/>
      <c r="AJ397" s="331"/>
      <c r="AK397" s="331"/>
      <c r="AL397" s="331"/>
    </row>
    <row r="398" ht="15.75" customHeight="1">
      <c r="A398" s="331"/>
      <c r="B398" s="331"/>
      <c r="C398" s="331"/>
      <c r="D398" s="331"/>
      <c r="E398" s="331"/>
      <c r="F398" s="331"/>
      <c r="G398" s="331"/>
      <c r="H398" s="331"/>
      <c r="I398" s="331"/>
      <c r="J398" s="331"/>
      <c r="K398" s="331"/>
      <c r="L398" s="331"/>
      <c r="M398" s="331"/>
      <c r="N398" s="331"/>
      <c r="O398" s="331"/>
      <c r="P398" s="331"/>
      <c r="Q398" s="331"/>
      <c r="R398" s="331"/>
      <c r="S398" s="331"/>
      <c r="T398" s="331"/>
      <c r="U398" s="331"/>
      <c r="V398" s="331"/>
      <c r="W398" s="331"/>
      <c r="X398" s="331"/>
      <c r="Y398" s="331"/>
      <c r="Z398" s="331"/>
      <c r="AA398" s="331"/>
      <c r="AB398" s="331"/>
      <c r="AC398" s="331"/>
      <c r="AD398" s="331"/>
      <c r="AE398" s="331"/>
      <c r="AF398" s="331"/>
      <c r="AG398" s="331"/>
      <c r="AH398" s="331"/>
      <c r="AI398" s="331"/>
      <c r="AJ398" s="331"/>
      <c r="AK398" s="331"/>
      <c r="AL398" s="331"/>
    </row>
    <row r="399" ht="15.75" customHeight="1">
      <c r="A399" s="331"/>
      <c r="B399" s="331"/>
      <c r="C399" s="331"/>
      <c r="D399" s="331"/>
      <c r="E399" s="331"/>
      <c r="F399" s="331"/>
      <c r="G399" s="331"/>
      <c r="H399" s="331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/>
      <c r="X399" s="331"/>
      <c r="Y399" s="331"/>
      <c r="Z399" s="331"/>
      <c r="AA399" s="331"/>
      <c r="AB399" s="331"/>
      <c r="AC399" s="331"/>
      <c r="AD399" s="331"/>
      <c r="AE399" s="331"/>
      <c r="AF399" s="331"/>
      <c r="AG399" s="331"/>
      <c r="AH399" s="331"/>
      <c r="AI399" s="331"/>
      <c r="AJ399" s="331"/>
      <c r="AK399" s="331"/>
      <c r="AL399" s="331"/>
    </row>
    <row r="400" ht="15.75" customHeight="1">
      <c r="A400" s="331"/>
      <c r="B400" s="331"/>
      <c r="C400" s="331"/>
      <c r="D400" s="331"/>
      <c r="E400" s="331"/>
      <c r="F400" s="331"/>
      <c r="G400" s="331"/>
      <c r="H400" s="331"/>
      <c r="I400" s="331"/>
      <c r="J400" s="331"/>
      <c r="K400" s="331"/>
      <c r="L400" s="331"/>
      <c r="M400" s="331"/>
      <c r="N400" s="331"/>
      <c r="O400" s="331"/>
      <c r="P400" s="331"/>
      <c r="Q400" s="331"/>
      <c r="R400" s="331"/>
      <c r="S400" s="331"/>
      <c r="T400" s="331"/>
      <c r="U400" s="331"/>
      <c r="V400" s="331"/>
      <c r="W400" s="331"/>
      <c r="X400" s="331"/>
      <c r="Y400" s="331"/>
      <c r="Z400" s="331"/>
      <c r="AA400" s="331"/>
      <c r="AB400" s="331"/>
      <c r="AC400" s="331"/>
      <c r="AD400" s="331"/>
      <c r="AE400" s="331"/>
      <c r="AF400" s="331"/>
      <c r="AG400" s="331"/>
      <c r="AH400" s="331"/>
      <c r="AI400" s="331"/>
      <c r="AJ400" s="331"/>
      <c r="AK400" s="331"/>
      <c r="AL400" s="331"/>
    </row>
    <row r="401" ht="15.75" customHeight="1">
      <c r="A401" s="331"/>
      <c r="B401" s="331"/>
      <c r="C401" s="331"/>
      <c r="D401" s="331"/>
      <c r="E401" s="331"/>
      <c r="F401" s="331"/>
      <c r="G401" s="331"/>
      <c r="H401" s="331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/>
      <c r="X401" s="331"/>
      <c r="Y401" s="331"/>
      <c r="Z401" s="331"/>
      <c r="AA401" s="331"/>
      <c r="AB401" s="331"/>
      <c r="AC401" s="331"/>
      <c r="AD401" s="331"/>
      <c r="AE401" s="331"/>
      <c r="AF401" s="331"/>
      <c r="AG401" s="331"/>
      <c r="AH401" s="331"/>
      <c r="AI401" s="331"/>
      <c r="AJ401" s="331"/>
      <c r="AK401" s="331"/>
      <c r="AL401" s="331"/>
    </row>
    <row r="402" ht="15.75" customHeight="1">
      <c r="A402" s="331"/>
      <c r="B402" s="331"/>
      <c r="C402" s="331"/>
      <c r="D402" s="331"/>
      <c r="E402" s="331"/>
      <c r="F402" s="331"/>
      <c r="G402" s="331"/>
      <c r="H402" s="331"/>
      <c r="I402" s="331"/>
      <c r="J402" s="331"/>
      <c r="K402" s="331"/>
      <c r="L402" s="331"/>
      <c r="M402" s="331"/>
      <c r="N402" s="331"/>
      <c r="O402" s="331"/>
      <c r="P402" s="331"/>
      <c r="Q402" s="331"/>
      <c r="R402" s="331"/>
      <c r="S402" s="331"/>
      <c r="T402" s="331"/>
      <c r="U402" s="331"/>
      <c r="V402" s="331"/>
      <c r="W402" s="331"/>
      <c r="X402" s="331"/>
      <c r="Y402" s="331"/>
      <c r="Z402" s="331"/>
      <c r="AA402" s="331"/>
      <c r="AB402" s="331"/>
      <c r="AC402" s="331"/>
      <c r="AD402" s="331"/>
      <c r="AE402" s="331"/>
      <c r="AF402" s="331"/>
      <c r="AG402" s="331"/>
      <c r="AH402" s="331"/>
      <c r="AI402" s="331"/>
      <c r="AJ402" s="331"/>
      <c r="AK402" s="331"/>
      <c r="AL402" s="331"/>
    </row>
    <row r="403" ht="15.75" customHeight="1">
      <c r="A403" s="331"/>
      <c r="B403" s="331"/>
      <c r="C403" s="331"/>
      <c r="D403" s="331"/>
      <c r="E403" s="331"/>
      <c r="F403" s="331"/>
      <c r="G403" s="331"/>
      <c r="H403" s="331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/>
      <c r="X403" s="331"/>
      <c r="Y403" s="331"/>
      <c r="Z403" s="331"/>
      <c r="AA403" s="331"/>
      <c r="AB403" s="331"/>
      <c r="AC403" s="331"/>
      <c r="AD403" s="331"/>
      <c r="AE403" s="331"/>
      <c r="AF403" s="331"/>
      <c r="AG403" s="331"/>
      <c r="AH403" s="331"/>
      <c r="AI403" s="331"/>
      <c r="AJ403" s="331"/>
      <c r="AK403" s="331"/>
      <c r="AL403" s="331"/>
    </row>
    <row r="404" ht="15.75" customHeight="1">
      <c r="A404" s="331"/>
      <c r="B404" s="331"/>
      <c r="C404" s="331"/>
      <c r="D404" s="331"/>
      <c r="E404" s="331"/>
      <c r="F404" s="331"/>
      <c r="G404" s="331"/>
      <c r="H404" s="331"/>
      <c r="I404" s="331"/>
      <c r="J404" s="331"/>
      <c r="K404" s="331"/>
      <c r="L404" s="331"/>
      <c r="M404" s="331"/>
      <c r="N404" s="331"/>
      <c r="O404" s="331"/>
      <c r="P404" s="331"/>
      <c r="Q404" s="331"/>
      <c r="R404" s="331"/>
      <c r="S404" s="331"/>
      <c r="T404" s="331"/>
      <c r="U404" s="331"/>
      <c r="V404" s="331"/>
      <c r="W404" s="331"/>
      <c r="X404" s="331"/>
      <c r="Y404" s="331"/>
      <c r="Z404" s="331"/>
      <c r="AA404" s="331"/>
      <c r="AB404" s="331"/>
      <c r="AC404" s="331"/>
      <c r="AD404" s="331"/>
      <c r="AE404" s="331"/>
      <c r="AF404" s="331"/>
      <c r="AG404" s="331"/>
      <c r="AH404" s="331"/>
      <c r="AI404" s="331"/>
      <c r="AJ404" s="331"/>
      <c r="AK404" s="331"/>
      <c r="AL404" s="331"/>
    </row>
    <row r="405" ht="15.75" customHeight="1">
      <c r="A405" s="331"/>
      <c r="B405" s="331"/>
      <c r="C405" s="331"/>
      <c r="D405" s="331"/>
      <c r="E405" s="331"/>
      <c r="F405" s="331"/>
      <c r="G405" s="331"/>
      <c r="H405" s="331"/>
      <c r="I405" s="331"/>
      <c r="J405" s="331"/>
      <c r="K405" s="331"/>
      <c r="L405" s="331"/>
      <c r="M405" s="331"/>
      <c r="N405" s="331"/>
      <c r="O405" s="331"/>
      <c r="P405" s="331"/>
      <c r="Q405" s="331"/>
      <c r="R405" s="331"/>
      <c r="S405" s="331"/>
      <c r="T405" s="331"/>
      <c r="U405" s="331"/>
      <c r="V405" s="331"/>
      <c r="W405" s="331"/>
      <c r="X405" s="331"/>
      <c r="Y405" s="331"/>
      <c r="Z405" s="331"/>
      <c r="AA405" s="331"/>
      <c r="AB405" s="331"/>
      <c r="AC405" s="331"/>
      <c r="AD405" s="331"/>
      <c r="AE405" s="331"/>
      <c r="AF405" s="331"/>
      <c r="AG405" s="331"/>
      <c r="AH405" s="331"/>
      <c r="AI405" s="331"/>
      <c r="AJ405" s="331"/>
      <c r="AK405" s="331"/>
      <c r="AL405" s="331"/>
    </row>
    <row r="406" ht="15.75" customHeight="1">
      <c r="A406" s="331"/>
      <c r="B406" s="331"/>
      <c r="C406" s="331"/>
      <c r="D406" s="331"/>
      <c r="E406" s="331"/>
      <c r="F406" s="331"/>
      <c r="G406" s="331"/>
      <c r="H406" s="331"/>
      <c r="I406" s="331"/>
      <c r="J406" s="331"/>
      <c r="K406" s="331"/>
      <c r="L406" s="331"/>
      <c r="M406" s="331"/>
      <c r="N406" s="331"/>
      <c r="O406" s="331"/>
      <c r="P406" s="331"/>
      <c r="Q406" s="331"/>
      <c r="R406" s="331"/>
      <c r="S406" s="331"/>
      <c r="T406" s="331"/>
      <c r="U406" s="331"/>
      <c r="V406" s="331"/>
      <c r="W406" s="331"/>
      <c r="X406" s="331"/>
      <c r="Y406" s="331"/>
      <c r="Z406" s="331"/>
      <c r="AA406" s="331"/>
      <c r="AB406" s="331"/>
      <c r="AC406" s="331"/>
      <c r="AD406" s="331"/>
      <c r="AE406" s="331"/>
      <c r="AF406" s="331"/>
      <c r="AG406" s="331"/>
      <c r="AH406" s="331"/>
      <c r="AI406" s="331"/>
      <c r="AJ406" s="331"/>
      <c r="AK406" s="331"/>
      <c r="AL406" s="331"/>
    </row>
    <row r="407" ht="15.75" customHeight="1">
      <c r="A407" s="331"/>
      <c r="B407" s="331"/>
      <c r="C407" s="331"/>
      <c r="D407" s="331"/>
      <c r="E407" s="331"/>
      <c r="F407" s="331"/>
      <c r="G407" s="331"/>
      <c r="H407" s="331"/>
      <c r="I407" s="331"/>
      <c r="J407" s="331"/>
      <c r="K407" s="331"/>
      <c r="L407" s="331"/>
      <c r="M407" s="331"/>
      <c r="N407" s="331"/>
      <c r="O407" s="331"/>
      <c r="P407" s="331"/>
      <c r="Q407" s="331"/>
      <c r="R407" s="331"/>
      <c r="S407" s="331"/>
      <c r="T407" s="331"/>
      <c r="U407" s="331"/>
      <c r="V407" s="331"/>
      <c r="W407" s="331"/>
      <c r="X407" s="331"/>
      <c r="Y407" s="331"/>
      <c r="Z407" s="331"/>
      <c r="AA407" s="331"/>
      <c r="AB407" s="331"/>
      <c r="AC407" s="331"/>
      <c r="AD407" s="331"/>
      <c r="AE407" s="331"/>
      <c r="AF407" s="331"/>
      <c r="AG407" s="331"/>
      <c r="AH407" s="331"/>
      <c r="AI407" s="331"/>
      <c r="AJ407" s="331"/>
      <c r="AK407" s="331"/>
      <c r="AL407" s="331"/>
    </row>
    <row r="408" ht="15.75" customHeight="1">
      <c r="A408" s="331"/>
      <c r="B408" s="331"/>
      <c r="C408" s="331"/>
      <c r="D408" s="331"/>
      <c r="E408" s="331"/>
      <c r="F408" s="331"/>
      <c r="G408" s="331"/>
      <c r="H408" s="331"/>
      <c r="I408" s="331"/>
      <c r="J408" s="331"/>
      <c r="K408" s="331"/>
      <c r="L408" s="331"/>
      <c r="M408" s="331"/>
      <c r="N408" s="331"/>
      <c r="O408" s="331"/>
      <c r="P408" s="331"/>
      <c r="Q408" s="331"/>
      <c r="R408" s="331"/>
      <c r="S408" s="331"/>
      <c r="T408" s="331"/>
      <c r="U408" s="331"/>
      <c r="V408" s="331"/>
      <c r="W408" s="331"/>
      <c r="X408" s="331"/>
      <c r="Y408" s="331"/>
      <c r="Z408" s="331"/>
      <c r="AA408" s="331"/>
      <c r="AB408" s="331"/>
      <c r="AC408" s="331"/>
      <c r="AD408" s="331"/>
      <c r="AE408" s="331"/>
      <c r="AF408" s="331"/>
      <c r="AG408" s="331"/>
      <c r="AH408" s="331"/>
      <c r="AI408" s="331"/>
      <c r="AJ408" s="331"/>
      <c r="AK408" s="331"/>
      <c r="AL408" s="331"/>
    </row>
    <row r="409" ht="15.75" customHeight="1">
      <c r="A409" s="331"/>
      <c r="B409" s="331"/>
      <c r="C409" s="331"/>
      <c r="D409" s="331"/>
      <c r="E409" s="331"/>
      <c r="F409" s="331"/>
      <c r="G409" s="331"/>
      <c r="H409" s="331"/>
      <c r="I409" s="331"/>
      <c r="J409" s="331"/>
      <c r="K409" s="331"/>
      <c r="L409" s="331"/>
      <c r="M409" s="331"/>
      <c r="N409" s="331"/>
      <c r="O409" s="331"/>
      <c r="P409" s="331"/>
      <c r="Q409" s="331"/>
      <c r="R409" s="331"/>
      <c r="S409" s="331"/>
      <c r="T409" s="331"/>
      <c r="U409" s="331"/>
      <c r="V409" s="331"/>
      <c r="W409" s="331"/>
      <c r="X409" s="331"/>
      <c r="Y409" s="331"/>
      <c r="Z409" s="331"/>
      <c r="AA409" s="331"/>
      <c r="AB409" s="331"/>
      <c r="AC409" s="331"/>
      <c r="AD409" s="331"/>
      <c r="AE409" s="331"/>
      <c r="AF409" s="331"/>
      <c r="AG409" s="331"/>
      <c r="AH409" s="331"/>
      <c r="AI409" s="331"/>
      <c r="AJ409" s="331"/>
      <c r="AK409" s="331"/>
      <c r="AL409" s="331"/>
    </row>
    <row r="410" ht="15.75" customHeight="1">
      <c r="A410" s="331"/>
      <c r="B410" s="331"/>
      <c r="C410" s="331"/>
      <c r="D410" s="331"/>
      <c r="E410" s="331"/>
      <c r="F410" s="331"/>
      <c r="G410" s="331"/>
      <c r="H410" s="331"/>
      <c r="I410" s="331"/>
      <c r="J410" s="331"/>
      <c r="K410" s="331"/>
      <c r="L410" s="331"/>
      <c r="M410" s="331"/>
      <c r="N410" s="331"/>
      <c r="O410" s="331"/>
      <c r="P410" s="331"/>
      <c r="Q410" s="331"/>
      <c r="R410" s="331"/>
      <c r="S410" s="331"/>
      <c r="T410" s="331"/>
      <c r="U410" s="331"/>
      <c r="V410" s="331"/>
      <c r="W410" s="331"/>
      <c r="X410" s="331"/>
      <c r="Y410" s="331"/>
      <c r="Z410" s="331"/>
      <c r="AA410" s="331"/>
      <c r="AB410" s="331"/>
      <c r="AC410" s="331"/>
      <c r="AD410" s="331"/>
      <c r="AE410" s="331"/>
      <c r="AF410" s="331"/>
      <c r="AG410" s="331"/>
      <c r="AH410" s="331"/>
      <c r="AI410" s="331"/>
      <c r="AJ410" s="331"/>
      <c r="AK410" s="331"/>
      <c r="AL410" s="331"/>
    </row>
    <row r="411" ht="15.75" customHeight="1">
      <c r="A411" s="331"/>
      <c r="B411" s="331"/>
      <c r="C411" s="331"/>
      <c r="D411" s="331"/>
      <c r="E411" s="331"/>
      <c r="F411" s="331"/>
      <c r="G411" s="331"/>
      <c r="H411" s="331"/>
      <c r="I411" s="331"/>
      <c r="J411" s="331"/>
      <c r="K411" s="331"/>
      <c r="L411" s="331"/>
      <c r="M411" s="331"/>
      <c r="N411" s="331"/>
      <c r="O411" s="331"/>
      <c r="P411" s="331"/>
      <c r="Q411" s="331"/>
      <c r="R411" s="331"/>
      <c r="S411" s="331"/>
      <c r="T411" s="331"/>
      <c r="U411" s="331"/>
      <c r="V411" s="331"/>
      <c r="W411" s="331"/>
      <c r="X411" s="331"/>
      <c r="Y411" s="331"/>
      <c r="Z411" s="331"/>
      <c r="AA411" s="331"/>
      <c r="AB411" s="331"/>
      <c r="AC411" s="331"/>
      <c r="AD411" s="331"/>
      <c r="AE411" s="331"/>
      <c r="AF411" s="331"/>
      <c r="AG411" s="331"/>
      <c r="AH411" s="331"/>
      <c r="AI411" s="331"/>
      <c r="AJ411" s="331"/>
      <c r="AK411" s="331"/>
      <c r="AL411" s="331"/>
    </row>
    <row r="412" ht="15.75" customHeight="1">
      <c r="A412" s="331"/>
      <c r="B412" s="331"/>
      <c r="C412" s="331"/>
      <c r="D412" s="331"/>
      <c r="E412" s="331"/>
      <c r="F412" s="331"/>
      <c r="G412" s="331"/>
      <c r="H412" s="331"/>
      <c r="I412" s="331"/>
      <c r="J412" s="331"/>
      <c r="K412" s="331"/>
      <c r="L412" s="331"/>
      <c r="M412" s="331"/>
      <c r="N412" s="331"/>
      <c r="O412" s="331"/>
      <c r="P412" s="331"/>
      <c r="Q412" s="331"/>
      <c r="R412" s="331"/>
      <c r="S412" s="331"/>
      <c r="T412" s="331"/>
      <c r="U412" s="331"/>
      <c r="V412" s="331"/>
      <c r="W412" s="331"/>
      <c r="X412" s="331"/>
      <c r="Y412" s="331"/>
      <c r="Z412" s="331"/>
      <c r="AA412" s="331"/>
      <c r="AB412" s="331"/>
      <c r="AC412" s="331"/>
      <c r="AD412" s="331"/>
      <c r="AE412" s="331"/>
      <c r="AF412" s="331"/>
      <c r="AG412" s="331"/>
      <c r="AH412" s="331"/>
      <c r="AI412" s="331"/>
      <c r="AJ412" s="331"/>
      <c r="AK412" s="331"/>
      <c r="AL412" s="331"/>
    </row>
    <row r="413" ht="15.75" customHeight="1">
      <c r="A413" s="331"/>
      <c r="B413" s="331"/>
      <c r="C413" s="331"/>
      <c r="D413" s="331"/>
      <c r="E413" s="331"/>
      <c r="F413" s="331"/>
      <c r="G413" s="331"/>
      <c r="H413" s="331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/>
      <c r="X413" s="331"/>
      <c r="Y413" s="331"/>
      <c r="Z413" s="331"/>
      <c r="AA413" s="331"/>
      <c r="AB413" s="331"/>
      <c r="AC413" s="331"/>
      <c r="AD413" s="331"/>
      <c r="AE413" s="331"/>
      <c r="AF413" s="331"/>
      <c r="AG413" s="331"/>
      <c r="AH413" s="331"/>
      <c r="AI413" s="331"/>
      <c r="AJ413" s="331"/>
      <c r="AK413" s="331"/>
      <c r="AL413" s="331"/>
    </row>
    <row r="414" ht="15.75" customHeight="1">
      <c r="A414" s="331"/>
      <c r="B414" s="331"/>
      <c r="C414" s="331"/>
      <c r="D414" s="331"/>
      <c r="E414" s="331"/>
      <c r="F414" s="331"/>
      <c r="G414" s="331"/>
      <c r="H414" s="331"/>
      <c r="I414" s="331"/>
      <c r="J414" s="331"/>
      <c r="K414" s="331"/>
      <c r="L414" s="331"/>
      <c r="M414" s="331"/>
      <c r="N414" s="331"/>
      <c r="O414" s="331"/>
      <c r="P414" s="331"/>
      <c r="Q414" s="331"/>
      <c r="R414" s="331"/>
      <c r="S414" s="331"/>
      <c r="T414" s="331"/>
      <c r="U414" s="331"/>
      <c r="V414" s="331"/>
      <c r="W414" s="331"/>
      <c r="X414" s="331"/>
      <c r="Y414" s="331"/>
      <c r="Z414" s="331"/>
      <c r="AA414" s="331"/>
      <c r="AB414" s="331"/>
      <c r="AC414" s="331"/>
      <c r="AD414" s="331"/>
      <c r="AE414" s="331"/>
      <c r="AF414" s="331"/>
      <c r="AG414" s="331"/>
      <c r="AH414" s="331"/>
      <c r="AI414" s="331"/>
      <c r="AJ414" s="331"/>
      <c r="AK414" s="331"/>
      <c r="AL414" s="331"/>
    </row>
    <row r="415" ht="15.75" customHeight="1">
      <c r="A415" s="331"/>
      <c r="B415" s="331"/>
      <c r="C415" s="331"/>
      <c r="D415" s="331"/>
      <c r="E415" s="331"/>
      <c r="F415" s="331"/>
      <c r="G415" s="331"/>
      <c r="H415" s="331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/>
      <c r="X415" s="331"/>
      <c r="Y415" s="331"/>
      <c r="Z415" s="331"/>
      <c r="AA415" s="331"/>
      <c r="AB415" s="331"/>
      <c r="AC415" s="331"/>
      <c r="AD415" s="331"/>
      <c r="AE415" s="331"/>
      <c r="AF415" s="331"/>
      <c r="AG415" s="331"/>
      <c r="AH415" s="331"/>
      <c r="AI415" s="331"/>
      <c r="AJ415" s="331"/>
      <c r="AK415" s="331"/>
      <c r="AL415" s="331"/>
    </row>
    <row r="416" ht="15.75" customHeight="1">
      <c r="A416" s="331"/>
      <c r="B416" s="331"/>
      <c r="C416" s="331"/>
      <c r="D416" s="331"/>
      <c r="E416" s="331"/>
      <c r="F416" s="331"/>
      <c r="G416" s="331"/>
      <c r="H416" s="331"/>
      <c r="I416" s="331"/>
      <c r="J416" s="331"/>
      <c r="K416" s="331"/>
      <c r="L416" s="331"/>
      <c r="M416" s="331"/>
      <c r="N416" s="331"/>
      <c r="O416" s="331"/>
      <c r="P416" s="331"/>
      <c r="Q416" s="331"/>
      <c r="R416" s="331"/>
      <c r="S416" s="331"/>
      <c r="T416" s="331"/>
      <c r="U416" s="331"/>
      <c r="V416" s="331"/>
      <c r="W416" s="331"/>
      <c r="X416" s="331"/>
      <c r="Y416" s="331"/>
      <c r="Z416" s="331"/>
      <c r="AA416" s="331"/>
      <c r="AB416" s="331"/>
      <c r="AC416" s="331"/>
      <c r="AD416" s="331"/>
      <c r="AE416" s="331"/>
      <c r="AF416" s="331"/>
      <c r="AG416" s="331"/>
      <c r="AH416" s="331"/>
      <c r="AI416" s="331"/>
      <c r="AJ416" s="331"/>
      <c r="AK416" s="331"/>
      <c r="AL416" s="331"/>
    </row>
    <row r="417" ht="15.75" customHeight="1">
      <c r="A417" s="331"/>
      <c r="B417" s="331"/>
      <c r="C417" s="331"/>
      <c r="D417" s="331"/>
      <c r="E417" s="331"/>
      <c r="F417" s="331"/>
      <c r="G417" s="331"/>
      <c r="H417" s="331"/>
      <c r="I417" s="331"/>
      <c r="J417" s="331"/>
      <c r="K417" s="331"/>
      <c r="L417" s="331"/>
      <c r="M417" s="331"/>
      <c r="N417" s="331"/>
      <c r="O417" s="331"/>
      <c r="P417" s="331"/>
      <c r="Q417" s="331"/>
      <c r="R417" s="331"/>
      <c r="S417" s="331"/>
      <c r="T417" s="331"/>
      <c r="U417" s="331"/>
      <c r="V417" s="331"/>
      <c r="W417" s="331"/>
      <c r="X417" s="331"/>
      <c r="Y417" s="331"/>
      <c r="Z417" s="331"/>
      <c r="AA417" s="331"/>
      <c r="AB417" s="331"/>
      <c r="AC417" s="331"/>
      <c r="AD417" s="331"/>
      <c r="AE417" s="331"/>
      <c r="AF417" s="331"/>
      <c r="AG417" s="331"/>
      <c r="AH417" s="331"/>
      <c r="AI417" s="331"/>
      <c r="AJ417" s="331"/>
      <c r="AK417" s="331"/>
      <c r="AL417" s="331"/>
    </row>
    <row r="418" ht="15.75" customHeight="1">
      <c r="A418" s="331"/>
      <c r="B418" s="331"/>
      <c r="C418" s="331"/>
      <c r="D418" s="331"/>
      <c r="E418" s="331"/>
      <c r="F418" s="331"/>
      <c r="G418" s="331"/>
      <c r="H418" s="331"/>
      <c r="I418" s="331"/>
      <c r="J418" s="331"/>
      <c r="K418" s="331"/>
      <c r="L418" s="331"/>
      <c r="M418" s="331"/>
      <c r="N418" s="331"/>
      <c r="O418" s="331"/>
      <c r="P418" s="331"/>
      <c r="Q418" s="331"/>
      <c r="R418" s="331"/>
      <c r="S418" s="331"/>
      <c r="T418" s="331"/>
      <c r="U418" s="331"/>
      <c r="V418" s="331"/>
      <c r="W418" s="331"/>
      <c r="X418" s="331"/>
      <c r="Y418" s="331"/>
      <c r="Z418" s="331"/>
      <c r="AA418" s="331"/>
      <c r="AB418" s="331"/>
      <c r="AC418" s="331"/>
      <c r="AD418" s="331"/>
      <c r="AE418" s="331"/>
      <c r="AF418" s="331"/>
      <c r="AG418" s="331"/>
      <c r="AH418" s="331"/>
      <c r="AI418" s="331"/>
      <c r="AJ418" s="331"/>
      <c r="AK418" s="331"/>
      <c r="AL418" s="331"/>
    </row>
    <row r="419" ht="15.75" customHeight="1">
      <c r="A419" s="331"/>
      <c r="B419" s="331"/>
      <c r="C419" s="331"/>
      <c r="D419" s="331"/>
      <c r="E419" s="331"/>
      <c r="F419" s="331"/>
      <c r="G419" s="331"/>
      <c r="H419" s="331"/>
      <c r="I419" s="331"/>
      <c r="J419" s="331"/>
      <c r="K419" s="331"/>
      <c r="L419" s="331"/>
      <c r="M419" s="331"/>
      <c r="N419" s="331"/>
      <c r="O419" s="331"/>
      <c r="P419" s="331"/>
      <c r="Q419" s="331"/>
      <c r="R419" s="331"/>
      <c r="S419" s="331"/>
      <c r="T419" s="331"/>
      <c r="U419" s="331"/>
      <c r="V419" s="331"/>
      <c r="W419" s="331"/>
      <c r="X419" s="331"/>
      <c r="Y419" s="331"/>
      <c r="Z419" s="331"/>
      <c r="AA419" s="331"/>
      <c r="AB419" s="331"/>
      <c r="AC419" s="331"/>
      <c r="AD419" s="331"/>
      <c r="AE419" s="331"/>
      <c r="AF419" s="331"/>
      <c r="AG419" s="331"/>
      <c r="AH419" s="331"/>
      <c r="AI419" s="331"/>
      <c r="AJ419" s="331"/>
      <c r="AK419" s="331"/>
      <c r="AL419" s="331"/>
    </row>
    <row r="420" ht="15.75" customHeight="1">
      <c r="A420" s="331"/>
      <c r="B420" s="331"/>
      <c r="C420" s="331"/>
      <c r="D420" s="331"/>
      <c r="E420" s="331"/>
      <c r="F420" s="331"/>
      <c r="G420" s="331"/>
      <c r="H420" s="331"/>
      <c r="I420" s="331"/>
      <c r="J420" s="331"/>
      <c r="K420" s="331"/>
      <c r="L420" s="331"/>
      <c r="M420" s="331"/>
      <c r="N420" s="331"/>
      <c r="O420" s="331"/>
      <c r="P420" s="331"/>
      <c r="Q420" s="331"/>
      <c r="R420" s="331"/>
      <c r="S420" s="331"/>
      <c r="T420" s="331"/>
      <c r="U420" s="331"/>
      <c r="V420" s="331"/>
      <c r="W420" s="331"/>
      <c r="X420" s="331"/>
      <c r="Y420" s="331"/>
      <c r="Z420" s="331"/>
      <c r="AA420" s="331"/>
      <c r="AB420" s="331"/>
      <c r="AC420" s="331"/>
      <c r="AD420" s="331"/>
      <c r="AE420" s="331"/>
      <c r="AF420" s="331"/>
      <c r="AG420" s="331"/>
      <c r="AH420" s="331"/>
      <c r="AI420" s="331"/>
      <c r="AJ420" s="331"/>
      <c r="AK420" s="331"/>
      <c r="AL420" s="331"/>
    </row>
    <row r="421" ht="15.75" customHeight="1">
      <c r="A421" s="331"/>
      <c r="B421" s="331"/>
      <c r="C421" s="331"/>
      <c r="D421" s="331"/>
      <c r="E421" s="331"/>
      <c r="F421" s="331"/>
      <c r="G421" s="331"/>
      <c r="H421" s="331"/>
      <c r="I421" s="331"/>
      <c r="J421" s="331"/>
      <c r="K421" s="331"/>
      <c r="L421" s="331"/>
      <c r="M421" s="331"/>
      <c r="N421" s="331"/>
      <c r="O421" s="331"/>
      <c r="P421" s="331"/>
      <c r="Q421" s="331"/>
      <c r="R421" s="331"/>
      <c r="S421" s="331"/>
      <c r="T421" s="331"/>
      <c r="U421" s="331"/>
      <c r="V421" s="331"/>
      <c r="W421" s="331"/>
      <c r="X421" s="331"/>
      <c r="Y421" s="331"/>
      <c r="Z421" s="331"/>
      <c r="AA421" s="331"/>
      <c r="AB421" s="331"/>
      <c r="AC421" s="331"/>
      <c r="AD421" s="331"/>
      <c r="AE421" s="331"/>
      <c r="AF421" s="331"/>
      <c r="AG421" s="331"/>
      <c r="AH421" s="331"/>
      <c r="AI421" s="331"/>
      <c r="AJ421" s="331"/>
      <c r="AK421" s="331"/>
      <c r="AL421" s="331"/>
    </row>
    <row r="422" ht="15.75" customHeight="1">
      <c r="A422" s="331"/>
      <c r="B422" s="331"/>
      <c r="C422" s="331"/>
      <c r="D422" s="331"/>
      <c r="E422" s="331"/>
      <c r="F422" s="331"/>
      <c r="G422" s="331"/>
      <c r="H422" s="331"/>
      <c r="I422" s="331"/>
      <c r="J422" s="331"/>
      <c r="K422" s="331"/>
      <c r="L422" s="331"/>
      <c r="M422" s="331"/>
      <c r="N422" s="331"/>
      <c r="O422" s="331"/>
      <c r="P422" s="331"/>
      <c r="Q422" s="331"/>
      <c r="R422" s="331"/>
      <c r="S422" s="331"/>
      <c r="T422" s="331"/>
      <c r="U422" s="331"/>
      <c r="V422" s="331"/>
      <c r="W422" s="331"/>
      <c r="X422" s="331"/>
      <c r="Y422" s="331"/>
      <c r="Z422" s="331"/>
      <c r="AA422" s="331"/>
      <c r="AB422" s="331"/>
      <c r="AC422" s="331"/>
      <c r="AD422" s="331"/>
      <c r="AE422" s="331"/>
      <c r="AF422" s="331"/>
      <c r="AG422" s="331"/>
      <c r="AH422" s="331"/>
      <c r="AI422" s="331"/>
      <c r="AJ422" s="331"/>
      <c r="AK422" s="331"/>
      <c r="AL422" s="331"/>
    </row>
    <row r="423" ht="15.75" customHeight="1">
      <c r="A423" s="331"/>
      <c r="B423" s="331"/>
      <c r="C423" s="331"/>
      <c r="D423" s="331"/>
      <c r="E423" s="331"/>
      <c r="F423" s="331"/>
      <c r="G423" s="331"/>
      <c r="H423" s="331"/>
      <c r="I423" s="331"/>
      <c r="J423" s="331"/>
      <c r="K423" s="331"/>
      <c r="L423" s="331"/>
      <c r="M423" s="331"/>
      <c r="N423" s="331"/>
      <c r="O423" s="331"/>
      <c r="P423" s="331"/>
      <c r="Q423" s="331"/>
      <c r="R423" s="331"/>
      <c r="S423" s="331"/>
      <c r="T423" s="331"/>
      <c r="U423" s="331"/>
      <c r="V423" s="331"/>
      <c r="W423" s="331"/>
      <c r="X423" s="331"/>
      <c r="Y423" s="331"/>
      <c r="Z423" s="331"/>
      <c r="AA423" s="331"/>
      <c r="AB423" s="331"/>
      <c r="AC423" s="331"/>
      <c r="AD423" s="331"/>
      <c r="AE423" s="331"/>
      <c r="AF423" s="331"/>
      <c r="AG423" s="331"/>
      <c r="AH423" s="331"/>
      <c r="AI423" s="331"/>
      <c r="AJ423" s="331"/>
      <c r="AK423" s="331"/>
      <c r="AL423" s="331"/>
    </row>
    <row r="424" ht="15.75" customHeight="1">
      <c r="A424" s="331"/>
      <c r="B424" s="331"/>
      <c r="C424" s="331"/>
      <c r="D424" s="331"/>
      <c r="E424" s="331"/>
      <c r="F424" s="331"/>
      <c r="G424" s="331"/>
      <c r="H424" s="331"/>
      <c r="I424" s="331"/>
      <c r="J424" s="331"/>
      <c r="K424" s="331"/>
      <c r="L424" s="331"/>
      <c r="M424" s="331"/>
      <c r="N424" s="331"/>
      <c r="O424" s="331"/>
      <c r="P424" s="331"/>
      <c r="Q424" s="331"/>
      <c r="R424" s="331"/>
      <c r="S424" s="331"/>
      <c r="T424" s="331"/>
      <c r="U424" s="331"/>
      <c r="V424" s="331"/>
      <c r="W424" s="331"/>
      <c r="X424" s="331"/>
      <c r="Y424" s="331"/>
      <c r="Z424" s="331"/>
      <c r="AA424" s="331"/>
      <c r="AB424" s="331"/>
      <c r="AC424" s="331"/>
      <c r="AD424" s="331"/>
      <c r="AE424" s="331"/>
      <c r="AF424" s="331"/>
      <c r="AG424" s="331"/>
      <c r="AH424" s="331"/>
      <c r="AI424" s="331"/>
      <c r="AJ424" s="331"/>
      <c r="AK424" s="331"/>
      <c r="AL424" s="331"/>
    </row>
    <row r="425" ht="15.75" customHeight="1">
      <c r="A425" s="331"/>
      <c r="B425" s="331"/>
      <c r="C425" s="331"/>
      <c r="D425" s="331"/>
      <c r="E425" s="331"/>
      <c r="F425" s="331"/>
      <c r="G425" s="331"/>
      <c r="H425" s="331"/>
      <c r="I425" s="331"/>
      <c r="J425" s="331"/>
      <c r="K425" s="331"/>
      <c r="L425" s="331"/>
      <c r="M425" s="331"/>
      <c r="N425" s="331"/>
      <c r="O425" s="331"/>
      <c r="P425" s="331"/>
      <c r="Q425" s="331"/>
      <c r="R425" s="331"/>
      <c r="S425" s="331"/>
      <c r="T425" s="331"/>
      <c r="U425" s="331"/>
      <c r="V425" s="331"/>
      <c r="W425" s="331"/>
      <c r="X425" s="331"/>
      <c r="Y425" s="331"/>
      <c r="Z425" s="331"/>
      <c r="AA425" s="331"/>
      <c r="AB425" s="331"/>
      <c r="AC425" s="331"/>
      <c r="AD425" s="331"/>
      <c r="AE425" s="331"/>
      <c r="AF425" s="331"/>
      <c r="AG425" s="331"/>
      <c r="AH425" s="331"/>
      <c r="AI425" s="331"/>
      <c r="AJ425" s="331"/>
      <c r="AK425" s="331"/>
      <c r="AL425" s="331"/>
    </row>
    <row r="426" ht="15.75" customHeight="1">
      <c r="A426" s="331"/>
      <c r="B426" s="331"/>
      <c r="C426" s="331"/>
      <c r="D426" s="331"/>
      <c r="E426" s="331"/>
      <c r="F426" s="331"/>
      <c r="G426" s="331"/>
      <c r="H426" s="331"/>
      <c r="I426" s="331"/>
      <c r="J426" s="331"/>
      <c r="K426" s="331"/>
      <c r="L426" s="331"/>
      <c r="M426" s="331"/>
      <c r="N426" s="331"/>
      <c r="O426" s="331"/>
      <c r="P426" s="331"/>
      <c r="Q426" s="331"/>
      <c r="R426" s="331"/>
      <c r="S426" s="331"/>
      <c r="T426" s="331"/>
      <c r="U426" s="331"/>
      <c r="V426" s="331"/>
      <c r="W426" s="331"/>
      <c r="X426" s="331"/>
      <c r="Y426" s="331"/>
      <c r="Z426" s="331"/>
      <c r="AA426" s="331"/>
      <c r="AB426" s="331"/>
      <c r="AC426" s="331"/>
      <c r="AD426" s="331"/>
      <c r="AE426" s="331"/>
      <c r="AF426" s="331"/>
      <c r="AG426" s="331"/>
      <c r="AH426" s="331"/>
      <c r="AI426" s="331"/>
      <c r="AJ426" s="331"/>
      <c r="AK426" s="331"/>
      <c r="AL426" s="331"/>
    </row>
    <row r="427" ht="15.75" customHeight="1">
      <c r="A427" s="331"/>
      <c r="B427" s="331"/>
      <c r="C427" s="331"/>
      <c r="D427" s="331"/>
      <c r="E427" s="331"/>
      <c r="F427" s="331"/>
      <c r="G427" s="331"/>
      <c r="H427" s="331"/>
      <c r="I427" s="331"/>
      <c r="J427" s="331"/>
      <c r="K427" s="331"/>
      <c r="L427" s="331"/>
      <c r="M427" s="331"/>
      <c r="N427" s="331"/>
      <c r="O427" s="331"/>
      <c r="P427" s="331"/>
      <c r="Q427" s="331"/>
      <c r="R427" s="331"/>
      <c r="S427" s="331"/>
      <c r="T427" s="331"/>
      <c r="U427" s="331"/>
      <c r="V427" s="331"/>
      <c r="W427" s="331"/>
      <c r="X427" s="331"/>
      <c r="Y427" s="331"/>
      <c r="Z427" s="331"/>
      <c r="AA427" s="331"/>
      <c r="AB427" s="331"/>
      <c r="AC427" s="331"/>
      <c r="AD427" s="331"/>
      <c r="AE427" s="331"/>
      <c r="AF427" s="331"/>
      <c r="AG427" s="331"/>
      <c r="AH427" s="331"/>
      <c r="AI427" s="331"/>
      <c r="AJ427" s="331"/>
      <c r="AK427" s="331"/>
      <c r="AL427" s="331"/>
    </row>
    <row r="428" ht="15.75" customHeight="1">
      <c r="A428" s="331"/>
      <c r="B428" s="331"/>
      <c r="C428" s="331"/>
      <c r="D428" s="331"/>
      <c r="E428" s="331"/>
      <c r="F428" s="331"/>
      <c r="G428" s="331"/>
      <c r="H428" s="331"/>
      <c r="I428" s="331"/>
      <c r="J428" s="331"/>
      <c r="K428" s="331"/>
      <c r="L428" s="331"/>
      <c r="M428" s="331"/>
      <c r="N428" s="331"/>
      <c r="O428" s="331"/>
      <c r="P428" s="331"/>
      <c r="Q428" s="331"/>
      <c r="R428" s="331"/>
      <c r="S428" s="331"/>
      <c r="T428" s="331"/>
      <c r="U428" s="331"/>
      <c r="V428" s="331"/>
      <c r="W428" s="331"/>
      <c r="X428" s="331"/>
      <c r="Y428" s="331"/>
      <c r="Z428" s="331"/>
      <c r="AA428" s="331"/>
      <c r="AB428" s="331"/>
      <c r="AC428" s="331"/>
      <c r="AD428" s="331"/>
      <c r="AE428" s="331"/>
      <c r="AF428" s="331"/>
      <c r="AG428" s="331"/>
      <c r="AH428" s="331"/>
      <c r="AI428" s="331"/>
      <c r="AJ428" s="331"/>
      <c r="AK428" s="331"/>
      <c r="AL428" s="331"/>
    </row>
    <row r="429" ht="15.75" customHeight="1">
      <c r="A429" s="331"/>
      <c r="B429" s="331"/>
      <c r="C429" s="331"/>
      <c r="D429" s="331"/>
      <c r="E429" s="331"/>
      <c r="F429" s="331"/>
      <c r="G429" s="331"/>
      <c r="H429" s="331"/>
      <c r="I429" s="331"/>
      <c r="J429" s="331"/>
      <c r="K429" s="331"/>
      <c r="L429" s="331"/>
      <c r="M429" s="331"/>
      <c r="N429" s="331"/>
      <c r="O429" s="331"/>
      <c r="P429" s="331"/>
      <c r="Q429" s="331"/>
      <c r="R429" s="331"/>
      <c r="S429" s="331"/>
      <c r="T429" s="331"/>
      <c r="U429" s="331"/>
      <c r="V429" s="331"/>
      <c r="W429" s="331"/>
      <c r="X429" s="331"/>
      <c r="Y429" s="331"/>
      <c r="Z429" s="331"/>
      <c r="AA429" s="331"/>
      <c r="AB429" s="331"/>
      <c r="AC429" s="331"/>
      <c r="AD429" s="331"/>
      <c r="AE429" s="331"/>
      <c r="AF429" s="331"/>
      <c r="AG429" s="331"/>
      <c r="AH429" s="331"/>
      <c r="AI429" s="331"/>
      <c r="AJ429" s="331"/>
      <c r="AK429" s="331"/>
      <c r="AL429" s="331"/>
    </row>
    <row r="430" ht="15.75" customHeight="1">
      <c r="A430" s="331"/>
      <c r="B430" s="331"/>
      <c r="C430" s="331"/>
      <c r="D430" s="331"/>
      <c r="E430" s="331"/>
      <c r="F430" s="331"/>
      <c r="G430" s="331"/>
      <c r="H430" s="331"/>
      <c r="I430" s="331"/>
      <c r="J430" s="331"/>
      <c r="K430" s="331"/>
      <c r="L430" s="331"/>
      <c r="M430" s="331"/>
      <c r="N430" s="331"/>
      <c r="O430" s="331"/>
      <c r="P430" s="331"/>
      <c r="Q430" s="331"/>
      <c r="R430" s="331"/>
      <c r="S430" s="331"/>
      <c r="T430" s="331"/>
      <c r="U430" s="331"/>
      <c r="V430" s="331"/>
      <c r="W430" s="331"/>
      <c r="X430" s="331"/>
      <c r="Y430" s="331"/>
      <c r="Z430" s="331"/>
      <c r="AA430" s="331"/>
      <c r="AB430" s="331"/>
      <c r="AC430" s="331"/>
      <c r="AD430" s="331"/>
      <c r="AE430" s="331"/>
      <c r="AF430" s="331"/>
      <c r="AG430" s="331"/>
      <c r="AH430" s="331"/>
      <c r="AI430" s="331"/>
      <c r="AJ430" s="331"/>
      <c r="AK430" s="331"/>
      <c r="AL430" s="331"/>
    </row>
    <row r="431" ht="15.75" customHeight="1">
      <c r="A431" s="331"/>
      <c r="B431" s="331"/>
      <c r="C431" s="331"/>
      <c r="D431" s="331"/>
      <c r="E431" s="331"/>
      <c r="F431" s="331"/>
      <c r="G431" s="331"/>
      <c r="H431" s="331"/>
      <c r="I431" s="331"/>
      <c r="J431" s="331"/>
      <c r="K431" s="331"/>
      <c r="L431" s="331"/>
      <c r="M431" s="331"/>
      <c r="N431" s="331"/>
      <c r="O431" s="331"/>
      <c r="P431" s="331"/>
      <c r="Q431" s="331"/>
      <c r="R431" s="331"/>
      <c r="S431" s="331"/>
      <c r="T431" s="331"/>
      <c r="U431" s="331"/>
      <c r="V431" s="331"/>
      <c r="W431" s="331"/>
      <c r="X431" s="331"/>
      <c r="Y431" s="331"/>
      <c r="Z431" s="331"/>
      <c r="AA431" s="331"/>
      <c r="AB431" s="331"/>
      <c r="AC431" s="331"/>
      <c r="AD431" s="331"/>
      <c r="AE431" s="331"/>
      <c r="AF431" s="331"/>
      <c r="AG431" s="331"/>
      <c r="AH431" s="331"/>
      <c r="AI431" s="331"/>
      <c r="AJ431" s="331"/>
      <c r="AK431" s="331"/>
      <c r="AL431" s="331"/>
    </row>
    <row r="432" ht="15.75" customHeight="1">
      <c r="A432" s="331"/>
      <c r="B432" s="331"/>
      <c r="C432" s="331"/>
      <c r="D432" s="331"/>
      <c r="E432" s="331"/>
      <c r="F432" s="331"/>
      <c r="G432" s="331"/>
      <c r="H432" s="331"/>
      <c r="I432" s="331"/>
      <c r="J432" s="331"/>
      <c r="K432" s="331"/>
      <c r="L432" s="331"/>
      <c r="M432" s="331"/>
      <c r="N432" s="331"/>
      <c r="O432" s="331"/>
      <c r="P432" s="331"/>
      <c r="Q432" s="331"/>
      <c r="R432" s="331"/>
      <c r="S432" s="331"/>
      <c r="T432" s="331"/>
      <c r="U432" s="331"/>
      <c r="V432" s="331"/>
      <c r="W432" s="331"/>
      <c r="X432" s="331"/>
      <c r="Y432" s="331"/>
      <c r="Z432" s="331"/>
      <c r="AA432" s="331"/>
      <c r="AB432" s="331"/>
      <c r="AC432" s="331"/>
      <c r="AD432" s="331"/>
      <c r="AE432" s="331"/>
      <c r="AF432" s="331"/>
      <c r="AG432" s="331"/>
      <c r="AH432" s="331"/>
      <c r="AI432" s="331"/>
      <c r="AJ432" s="331"/>
      <c r="AK432" s="331"/>
      <c r="AL432" s="331"/>
    </row>
    <row r="433" ht="15.75" customHeight="1">
      <c r="A433" s="331"/>
      <c r="B433" s="331"/>
      <c r="C433" s="331"/>
      <c r="D433" s="331"/>
      <c r="E433" s="331"/>
      <c r="F433" s="331"/>
      <c r="G433" s="331"/>
      <c r="H433" s="331"/>
      <c r="I433" s="331"/>
      <c r="J433" s="331"/>
      <c r="K433" s="331"/>
      <c r="L433" s="331"/>
      <c r="M433" s="331"/>
      <c r="N433" s="331"/>
      <c r="O433" s="331"/>
      <c r="P433" s="331"/>
      <c r="Q433" s="331"/>
      <c r="R433" s="331"/>
      <c r="S433" s="331"/>
      <c r="T433" s="331"/>
      <c r="U433" s="331"/>
      <c r="V433" s="331"/>
      <c r="W433" s="331"/>
      <c r="X433" s="331"/>
      <c r="Y433" s="331"/>
      <c r="Z433" s="331"/>
      <c r="AA433" s="331"/>
      <c r="AB433" s="331"/>
      <c r="AC433" s="331"/>
      <c r="AD433" s="331"/>
      <c r="AE433" s="331"/>
      <c r="AF433" s="331"/>
      <c r="AG433" s="331"/>
      <c r="AH433" s="331"/>
      <c r="AI433" s="331"/>
      <c r="AJ433" s="331"/>
      <c r="AK433" s="331"/>
      <c r="AL433" s="331"/>
    </row>
    <row r="434" ht="15.75" customHeight="1">
      <c r="A434" s="331"/>
      <c r="B434" s="331"/>
      <c r="C434" s="331"/>
      <c r="D434" s="331"/>
      <c r="E434" s="331"/>
      <c r="F434" s="331"/>
      <c r="G434" s="331"/>
      <c r="H434" s="331"/>
      <c r="I434" s="331"/>
      <c r="J434" s="331"/>
      <c r="K434" s="331"/>
      <c r="L434" s="331"/>
      <c r="M434" s="331"/>
      <c r="N434" s="331"/>
      <c r="O434" s="331"/>
      <c r="P434" s="331"/>
      <c r="Q434" s="331"/>
      <c r="R434" s="331"/>
      <c r="S434" s="331"/>
      <c r="T434" s="331"/>
      <c r="U434" s="331"/>
      <c r="V434" s="331"/>
      <c r="W434" s="331"/>
      <c r="X434" s="331"/>
      <c r="Y434" s="331"/>
      <c r="Z434" s="331"/>
      <c r="AA434" s="331"/>
      <c r="AB434" s="331"/>
      <c r="AC434" s="331"/>
      <c r="AD434" s="331"/>
      <c r="AE434" s="331"/>
      <c r="AF434" s="331"/>
      <c r="AG434" s="331"/>
      <c r="AH434" s="331"/>
      <c r="AI434" s="331"/>
      <c r="AJ434" s="331"/>
      <c r="AK434" s="331"/>
      <c r="AL434" s="331"/>
    </row>
    <row r="435" ht="15.75" customHeight="1">
      <c r="A435" s="331"/>
      <c r="B435" s="331"/>
      <c r="C435" s="331"/>
      <c r="D435" s="331"/>
      <c r="E435" s="331"/>
      <c r="F435" s="331"/>
      <c r="G435" s="331"/>
      <c r="H435" s="331"/>
      <c r="I435" s="331"/>
      <c r="J435" s="331"/>
      <c r="K435" s="331"/>
      <c r="L435" s="331"/>
      <c r="M435" s="331"/>
      <c r="N435" s="331"/>
      <c r="O435" s="331"/>
      <c r="P435" s="331"/>
      <c r="Q435" s="331"/>
      <c r="R435" s="331"/>
      <c r="S435" s="331"/>
      <c r="T435" s="331"/>
      <c r="U435" s="331"/>
      <c r="V435" s="331"/>
      <c r="W435" s="331"/>
      <c r="X435" s="331"/>
      <c r="Y435" s="331"/>
      <c r="Z435" s="331"/>
      <c r="AA435" s="331"/>
      <c r="AB435" s="331"/>
      <c r="AC435" s="331"/>
      <c r="AD435" s="331"/>
      <c r="AE435" s="331"/>
      <c r="AF435" s="331"/>
      <c r="AG435" s="331"/>
      <c r="AH435" s="331"/>
      <c r="AI435" s="331"/>
      <c r="AJ435" s="331"/>
      <c r="AK435" s="331"/>
      <c r="AL435" s="331"/>
    </row>
    <row r="436" ht="15.75" customHeight="1">
      <c r="A436" s="331"/>
      <c r="B436" s="331"/>
      <c r="C436" s="331"/>
      <c r="D436" s="331"/>
      <c r="E436" s="331"/>
      <c r="F436" s="331"/>
      <c r="G436" s="331"/>
      <c r="H436" s="331"/>
      <c r="I436" s="331"/>
      <c r="J436" s="331"/>
      <c r="K436" s="331"/>
      <c r="L436" s="331"/>
      <c r="M436" s="331"/>
      <c r="N436" s="331"/>
      <c r="O436" s="331"/>
      <c r="P436" s="331"/>
      <c r="Q436" s="331"/>
      <c r="R436" s="331"/>
      <c r="S436" s="331"/>
      <c r="T436" s="331"/>
      <c r="U436" s="331"/>
      <c r="V436" s="331"/>
      <c r="W436" s="331"/>
      <c r="X436" s="331"/>
      <c r="Y436" s="331"/>
      <c r="Z436" s="331"/>
      <c r="AA436" s="331"/>
      <c r="AB436" s="331"/>
      <c r="AC436" s="331"/>
      <c r="AD436" s="331"/>
      <c r="AE436" s="331"/>
      <c r="AF436" s="331"/>
      <c r="AG436" s="331"/>
      <c r="AH436" s="331"/>
      <c r="AI436" s="331"/>
      <c r="AJ436" s="331"/>
      <c r="AK436" s="331"/>
      <c r="AL436" s="331"/>
    </row>
    <row r="437" ht="15.75" customHeight="1">
      <c r="A437" s="331"/>
      <c r="B437" s="331"/>
      <c r="C437" s="331"/>
      <c r="D437" s="331"/>
      <c r="E437" s="331"/>
      <c r="F437" s="331"/>
      <c r="G437" s="331"/>
      <c r="H437" s="331"/>
      <c r="I437" s="331"/>
      <c r="J437" s="331"/>
      <c r="K437" s="331"/>
      <c r="L437" s="331"/>
      <c r="M437" s="331"/>
      <c r="N437" s="331"/>
      <c r="O437" s="331"/>
      <c r="P437" s="331"/>
      <c r="Q437" s="331"/>
      <c r="R437" s="331"/>
      <c r="S437" s="331"/>
      <c r="T437" s="331"/>
      <c r="U437" s="331"/>
      <c r="V437" s="331"/>
      <c r="W437" s="331"/>
      <c r="X437" s="331"/>
      <c r="Y437" s="331"/>
      <c r="Z437" s="331"/>
      <c r="AA437" s="331"/>
      <c r="AB437" s="331"/>
      <c r="AC437" s="331"/>
      <c r="AD437" s="331"/>
      <c r="AE437" s="331"/>
      <c r="AF437" s="331"/>
      <c r="AG437" s="331"/>
      <c r="AH437" s="331"/>
      <c r="AI437" s="331"/>
      <c r="AJ437" s="331"/>
      <c r="AK437" s="331"/>
      <c r="AL437" s="331"/>
    </row>
    <row r="438" ht="15.75" customHeight="1">
      <c r="A438" s="331"/>
      <c r="B438" s="331"/>
      <c r="C438" s="331"/>
      <c r="D438" s="331"/>
      <c r="E438" s="331"/>
      <c r="F438" s="331"/>
      <c r="G438" s="331"/>
      <c r="H438" s="331"/>
      <c r="I438" s="331"/>
      <c r="J438" s="331"/>
      <c r="K438" s="331"/>
      <c r="L438" s="331"/>
      <c r="M438" s="331"/>
      <c r="N438" s="331"/>
      <c r="O438" s="331"/>
      <c r="P438" s="331"/>
      <c r="Q438" s="331"/>
      <c r="R438" s="331"/>
      <c r="S438" s="331"/>
      <c r="T438" s="331"/>
      <c r="U438" s="331"/>
      <c r="V438" s="331"/>
      <c r="W438" s="331"/>
      <c r="X438" s="331"/>
      <c r="Y438" s="331"/>
      <c r="Z438" s="331"/>
      <c r="AA438" s="331"/>
      <c r="AB438" s="331"/>
      <c r="AC438" s="331"/>
      <c r="AD438" s="331"/>
      <c r="AE438" s="331"/>
      <c r="AF438" s="331"/>
      <c r="AG438" s="331"/>
      <c r="AH438" s="331"/>
      <c r="AI438" s="331"/>
      <c r="AJ438" s="331"/>
      <c r="AK438" s="331"/>
      <c r="AL438" s="331"/>
    </row>
    <row r="439" ht="15.75" customHeight="1">
      <c r="A439" s="331"/>
      <c r="B439" s="331"/>
      <c r="C439" s="331"/>
      <c r="D439" s="331"/>
      <c r="E439" s="331"/>
      <c r="F439" s="331"/>
      <c r="G439" s="331"/>
      <c r="H439" s="331"/>
      <c r="I439" s="331"/>
      <c r="J439" s="331"/>
      <c r="K439" s="331"/>
      <c r="L439" s="331"/>
      <c r="M439" s="331"/>
      <c r="N439" s="331"/>
      <c r="O439" s="331"/>
      <c r="P439" s="331"/>
      <c r="Q439" s="331"/>
      <c r="R439" s="331"/>
      <c r="S439" s="331"/>
      <c r="T439" s="331"/>
      <c r="U439" s="331"/>
      <c r="V439" s="331"/>
      <c r="W439" s="331"/>
      <c r="X439" s="331"/>
      <c r="Y439" s="331"/>
      <c r="Z439" s="331"/>
      <c r="AA439" s="331"/>
      <c r="AB439" s="331"/>
      <c r="AC439" s="331"/>
      <c r="AD439" s="331"/>
      <c r="AE439" s="331"/>
      <c r="AF439" s="331"/>
      <c r="AG439" s="331"/>
      <c r="AH439" s="331"/>
      <c r="AI439" s="331"/>
      <c r="AJ439" s="331"/>
      <c r="AK439" s="331"/>
      <c r="AL439" s="331"/>
    </row>
    <row r="440" ht="15.75" customHeight="1">
      <c r="A440" s="331"/>
      <c r="B440" s="331"/>
      <c r="C440" s="331"/>
      <c r="D440" s="331"/>
      <c r="E440" s="331"/>
      <c r="F440" s="331"/>
      <c r="G440" s="331"/>
      <c r="H440" s="331"/>
      <c r="I440" s="331"/>
      <c r="J440" s="331"/>
      <c r="K440" s="331"/>
      <c r="L440" s="331"/>
      <c r="M440" s="331"/>
      <c r="N440" s="331"/>
      <c r="O440" s="331"/>
      <c r="P440" s="331"/>
      <c r="Q440" s="331"/>
      <c r="R440" s="331"/>
      <c r="S440" s="331"/>
      <c r="T440" s="331"/>
      <c r="U440" s="331"/>
      <c r="V440" s="331"/>
      <c r="W440" s="331"/>
      <c r="X440" s="331"/>
      <c r="Y440" s="331"/>
      <c r="Z440" s="331"/>
      <c r="AA440" s="331"/>
      <c r="AB440" s="331"/>
      <c r="AC440" s="331"/>
      <c r="AD440" s="331"/>
      <c r="AE440" s="331"/>
      <c r="AF440" s="331"/>
      <c r="AG440" s="331"/>
      <c r="AH440" s="331"/>
      <c r="AI440" s="331"/>
      <c r="AJ440" s="331"/>
      <c r="AK440" s="331"/>
      <c r="AL440" s="331"/>
    </row>
    <row r="441" ht="15.75" customHeight="1">
      <c r="A441" s="331"/>
      <c r="B441" s="331"/>
      <c r="C441" s="331"/>
      <c r="D441" s="331"/>
      <c r="E441" s="331"/>
      <c r="F441" s="331"/>
      <c r="G441" s="331"/>
      <c r="H441" s="331"/>
      <c r="I441" s="331"/>
      <c r="J441" s="331"/>
      <c r="K441" s="331"/>
      <c r="L441" s="331"/>
      <c r="M441" s="331"/>
      <c r="N441" s="331"/>
      <c r="O441" s="331"/>
      <c r="P441" s="331"/>
      <c r="Q441" s="331"/>
      <c r="R441" s="331"/>
      <c r="S441" s="331"/>
      <c r="T441" s="331"/>
      <c r="U441" s="331"/>
      <c r="V441" s="331"/>
      <c r="W441" s="331"/>
      <c r="X441" s="331"/>
      <c r="Y441" s="331"/>
      <c r="Z441" s="331"/>
      <c r="AA441" s="331"/>
      <c r="AB441" s="331"/>
      <c r="AC441" s="331"/>
      <c r="AD441" s="331"/>
      <c r="AE441" s="331"/>
      <c r="AF441" s="331"/>
      <c r="AG441" s="331"/>
      <c r="AH441" s="331"/>
      <c r="AI441" s="331"/>
      <c r="AJ441" s="331"/>
      <c r="AK441" s="331"/>
      <c r="AL441" s="331"/>
    </row>
    <row r="442" ht="15.75" customHeight="1">
      <c r="A442" s="331"/>
      <c r="B442" s="331"/>
      <c r="C442" s="331"/>
      <c r="D442" s="331"/>
      <c r="E442" s="331"/>
      <c r="F442" s="331"/>
      <c r="G442" s="331"/>
      <c r="H442" s="331"/>
      <c r="I442" s="331"/>
      <c r="J442" s="331"/>
      <c r="K442" s="331"/>
      <c r="L442" s="331"/>
      <c r="M442" s="331"/>
      <c r="N442" s="331"/>
      <c r="O442" s="331"/>
      <c r="P442" s="331"/>
      <c r="Q442" s="331"/>
      <c r="R442" s="331"/>
      <c r="S442" s="331"/>
      <c r="T442" s="331"/>
      <c r="U442" s="331"/>
      <c r="V442" s="331"/>
      <c r="W442" s="331"/>
      <c r="X442" s="331"/>
      <c r="Y442" s="331"/>
      <c r="Z442" s="331"/>
      <c r="AA442" s="331"/>
      <c r="AB442" s="331"/>
      <c r="AC442" s="331"/>
      <c r="AD442" s="331"/>
      <c r="AE442" s="331"/>
      <c r="AF442" s="331"/>
      <c r="AG442" s="331"/>
      <c r="AH442" s="331"/>
      <c r="AI442" s="331"/>
      <c r="AJ442" s="331"/>
      <c r="AK442" s="331"/>
      <c r="AL442" s="331"/>
    </row>
    <row r="443" ht="15.75" customHeight="1">
      <c r="A443" s="331"/>
      <c r="B443" s="331"/>
      <c r="C443" s="331"/>
      <c r="D443" s="331"/>
      <c r="E443" s="331"/>
      <c r="F443" s="331"/>
      <c r="G443" s="331"/>
      <c r="H443" s="331"/>
      <c r="I443" s="331"/>
      <c r="J443" s="331"/>
      <c r="K443" s="331"/>
      <c r="L443" s="331"/>
      <c r="M443" s="331"/>
      <c r="N443" s="331"/>
      <c r="O443" s="331"/>
      <c r="P443" s="331"/>
      <c r="Q443" s="331"/>
      <c r="R443" s="331"/>
      <c r="S443" s="331"/>
      <c r="T443" s="331"/>
      <c r="U443" s="331"/>
      <c r="V443" s="331"/>
      <c r="W443" s="331"/>
      <c r="X443" s="331"/>
      <c r="Y443" s="331"/>
      <c r="Z443" s="331"/>
      <c r="AA443" s="331"/>
      <c r="AB443" s="331"/>
      <c r="AC443" s="331"/>
      <c r="AD443" s="331"/>
      <c r="AE443" s="331"/>
      <c r="AF443" s="331"/>
      <c r="AG443" s="331"/>
      <c r="AH443" s="331"/>
      <c r="AI443" s="331"/>
      <c r="AJ443" s="331"/>
      <c r="AK443" s="331"/>
      <c r="AL443" s="331"/>
    </row>
    <row r="444" ht="15.75" customHeight="1">
      <c r="A444" s="331"/>
      <c r="B444" s="331"/>
      <c r="C444" s="331"/>
      <c r="D444" s="331"/>
      <c r="E444" s="331"/>
      <c r="F444" s="331"/>
      <c r="G444" s="331"/>
      <c r="H444" s="331"/>
      <c r="I444" s="331"/>
      <c r="J444" s="331"/>
      <c r="K444" s="331"/>
      <c r="L444" s="331"/>
      <c r="M444" s="331"/>
      <c r="N444" s="331"/>
      <c r="O444" s="331"/>
      <c r="P444" s="331"/>
      <c r="Q444" s="331"/>
      <c r="R444" s="331"/>
      <c r="S444" s="331"/>
      <c r="T444" s="331"/>
      <c r="U444" s="331"/>
      <c r="V444" s="331"/>
      <c r="W444" s="331"/>
      <c r="X444" s="331"/>
      <c r="Y444" s="331"/>
      <c r="Z444" s="331"/>
      <c r="AA444" s="331"/>
      <c r="AB444" s="331"/>
      <c r="AC444" s="331"/>
      <c r="AD444" s="331"/>
      <c r="AE444" s="331"/>
      <c r="AF444" s="331"/>
      <c r="AG444" s="331"/>
      <c r="AH444" s="331"/>
      <c r="AI444" s="331"/>
      <c r="AJ444" s="331"/>
      <c r="AK444" s="331"/>
      <c r="AL444" s="331"/>
    </row>
    <row r="445" ht="15.75" customHeight="1">
      <c r="A445" s="331"/>
      <c r="B445" s="331"/>
      <c r="C445" s="331"/>
      <c r="D445" s="331"/>
      <c r="E445" s="331"/>
      <c r="F445" s="331"/>
      <c r="G445" s="331"/>
      <c r="H445" s="331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/>
      <c r="X445" s="331"/>
      <c r="Y445" s="331"/>
      <c r="Z445" s="331"/>
      <c r="AA445" s="331"/>
      <c r="AB445" s="331"/>
      <c r="AC445" s="331"/>
      <c r="AD445" s="331"/>
      <c r="AE445" s="331"/>
      <c r="AF445" s="331"/>
      <c r="AG445" s="331"/>
      <c r="AH445" s="331"/>
      <c r="AI445" s="331"/>
      <c r="AJ445" s="331"/>
      <c r="AK445" s="331"/>
      <c r="AL445" s="331"/>
    </row>
    <row r="446" ht="15.75" customHeight="1">
      <c r="A446" s="331"/>
      <c r="B446" s="331"/>
      <c r="C446" s="331"/>
      <c r="D446" s="331"/>
      <c r="E446" s="331"/>
      <c r="F446" s="331"/>
      <c r="G446" s="331"/>
      <c r="H446" s="331"/>
      <c r="I446" s="331"/>
      <c r="J446" s="331"/>
      <c r="K446" s="331"/>
      <c r="L446" s="331"/>
      <c r="M446" s="331"/>
      <c r="N446" s="331"/>
      <c r="O446" s="331"/>
      <c r="P446" s="331"/>
      <c r="Q446" s="331"/>
      <c r="R446" s="331"/>
      <c r="S446" s="331"/>
      <c r="T446" s="331"/>
      <c r="U446" s="331"/>
      <c r="V446" s="331"/>
      <c r="W446" s="331"/>
      <c r="X446" s="331"/>
      <c r="Y446" s="331"/>
      <c r="Z446" s="331"/>
      <c r="AA446" s="331"/>
      <c r="AB446" s="331"/>
      <c r="AC446" s="331"/>
      <c r="AD446" s="331"/>
      <c r="AE446" s="331"/>
      <c r="AF446" s="331"/>
      <c r="AG446" s="331"/>
      <c r="AH446" s="331"/>
      <c r="AI446" s="331"/>
      <c r="AJ446" s="331"/>
      <c r="AK446" s="331"/>
      <c r="AL446" s="331"/>
    </row>
    <row r="447" ht="15.75" customHeight="1">
      <c r="A447" s="331"/>
      <c r="B447" s="331"/>
      <c r="C447" s="331"/>
      <c r="D447" s="331"/>
      <c r="E447" s="331"/>
      <c r="F447" s="331"/>
      <c r="G447" s="331"/>
      <c r="H447" s="331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/>
      <c r="X447" s="331"/>
      <c r="Y447" s="331"/>
      <c r="Z447" s="331"/>
      <c r="AA447" s="331"/>
      <c r="AB447" s="331"/>
      <c r="AC447" s="331"/>
      <c r="AD447" s="331"/>
      <c r="AE447" s="331"/>
      <c r="AF447" s="331"/>
      <c r="AG447" s="331"/>
      <c r="AH447" s="331"/>
      <c r="AI447" s="331"/>
      <c r="AJ447" s="331"/>
      <c r="AK447" s="331"/>
      <c r="AL447" s="331"/>
    </row>
    <row r="448" ht="15.75" customHeight="1">
      <c r="A448" s="331"/>
      <c r="B448" s="331"/>
      <c r="C448" s="331"/>
      <c r="D448" s="331"/>
      <c r="E448" s="331"/>
      <c r="F448" s="331"/>
      <c r="G448" s="331"/>
      <c r="H448" s="331"/>
      <c r="I448" s="331"/>
      <c r="J448" s="331"/>
      <c r="K448" s="331"/>
      <c r="L448" s="331"/>
      <c r="M448" s="331"/>
      <c r="N448" s="331"/>
      <c r="O448" s="331"/>
      <c r="P448" s="331"/>
      <c r="Q448" s="331"/>
      <c r="R448" s="331"/>
      <c r="S448" s="331"/>
      <c r="T448" s="331"/>
      <c r="U448" s="331"/>
      <c r="V448" s="331"/>
      <c r="W448" s="331"/>
      <c r="X448" s="331"/>
      <c r="Y448" s="331"/>
      <c r="Z448" s="331"/>
      <c r="AA448" s="331"/>
      <c r="AB448" s="331"/>
      <c r="AC448" s="331"/>
      <c r="AD448" s="331"/>
      <c r="AE448" s="331"/>
      <c r="AF448" s="331"/>
      <c r="AG448" s="331"/>
      <c r="AH448" s="331"/>
      <c r="AI448" s="331"/>
      <c r="AJ448" s="331"/>
      <c r="AK448" s="331"/>
      <c r="AL448" s="331"/>
    </row>
    <row r="449" ht="15.75" customHeight="1">
      <c r="A449" s="331"/>
      <c r="B449" s="331"/>
      <c r="C449" s="331"/>
      <c r="D449" s="331"/>
      <c r="E449" s="331"/>
      <c r="F449" s="331"/>
      <c r="G449" s="331"/>
      <c r="H449" s="331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/>
      <c r="X449" s="331"/>
      <c r="Y449" s="331"/>
      <c r="Z449" s="331"/>
      <c r="AA449" s="331"/>
      <c r="AB449" s="331"/>
      <c r="AC449" s="331"/>
      <c r="AD449" s="331"/>
      <c r="AE449" s="331"/>
      <c r="AF449" s="331"/>
      <c r="AG449" s="331"/>
      <c r="AH449" s="331"/>
      <c r="AI449" s="331"/>
      <c r="AJ449" s="331"/>
      <c r="AK449" s="331"/>
      <c r="AL449" s="331"/>
    </row>
    <row r="450" ht="15.75" customHeight="1">
      <c r="A450" s="331"/>
      <c r="B450" s="331"/>
      <c r="C450" s="331"/>
      <c r="D450" s="331"/>
      <c r="E450" s="331"/>
      <c r="F450" s="331"/>
      <c r="G450" s="331"/>
      <c r="H450" s="331"/>
      <c r="I450" s="331"/>
      <c r="J450" s="331"/>
      <c r="K450" s="331"/>
      <c r="L450" s="331"/>
      <c r="M450" s="331"/>
      <c r="N450" s="331"/>
      <c r="O450" s="331"/>
      <c r="P450" s="331"/>
      <c r="Q450" s="331"/>
      <c r="R450" s="331"/>
      <c r="S450" s="331"/>
      <c r="T450" s="331"/>
      <c r="U450" s="331"/>
      <c r="V450" s="331"/>
      <c r="W450" s="331"/>
      <c r="X450" s="331"/>
      <c r="Y450" s="331"/>
      <c r="Z450" s="331"/>
      <c r="AA450" s="331"/>
      <c r="AB450" s="331"/>
      <c r="AC450" s="331"/>
      <c r="AD450" s="331"/>
      <c r="AE450" s="331"/>
      <c r="AF450" s="331"/>
      <c r="AG450" s="331"/>
      <c r="AH450" s="331"/>
      <c r="AI450" s="331"/>
      <c r="AJ450" s="331"/>
      <c r="AK450" s="331"/>
      <c r="AL450" s="331"/>
    </row>
    <row r="451" ht="15.75" customHeight="1">
      <c r="A451" s="331"/>
      <c r="B451" s="331"/>
      <c r="C451" s="331"/>
      <c r="D451" s="331"/>
      <c r="E451" s="331"/>
      <c r="F451" s="331"/>
      <c r="G451" s="331"/>
      <c r="H451" s="331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/>
      <c r="X451" s="331"/>
      <c r="Y451" s="331"/>
      <c r="Z451" s="331"/>
      <c r="AA451" s="331"/>
      <c r="AB451" s="331"/>
      <c r="AC451" s="331"/>
      <c r="AD451" s="331"/>
      <c r="AE451" s="331"/>
      <c r="AF451" s="331"/>
      <c r="AG451" s="331"/>
      <c r="AH451" s="331"/>
      <c r="AI451" s="331"/>
      <c r="AJ451" s="331"/>
      <c r="AK451" s="331"/>
      <c r="AL451" s="331"/>
    </row>
    <row r="452" ht="15.75" customHeight="1">
      <c r="A452" s="331"/>
      <c r="B452" s="331"/>
      <c r="C452" s="331"/>
      <c r="D452" s="331"/>
      <c r="E452" s="331"/>
      <c r="F452" s="331"/>
      <c r="G452" s="331"/>
      <c r="H452" s="331"/>
      <c r="I452" s="331"/>
      <c r="J452" s="331"/>
      <c r="K452" s="331"/>
      <c r="L452" s="331"/>
      <c r="M452" s="331"/>
      <c r="N452" s="331"/>
      <c r="O452" s="331"/>
      <c r="P452" s="331"/>
      <c r="Q452" s="331"/>
      <c r="R452" s="331"/>
      <c r="S452" s="331"/>
      <c r="T452" s="331"/>
      <c r="U452" s="331"/>
      <c r="V452" s="331"/>
      <c r="W452" s="331"/>
      <c r="X452" s="331"/>
      <c r="Y452" s="331"/>
      <c r="Z452" s="331"/>
      <c r="AA452" s="331"/>
      <c r="AB452" s="331"/>
      <c r="AC452" s="331"/>
      <c r="AD452" s="331"/>
      <c r="AE452" s="331"/>
      <c r="AF452" s="331"/>
      <c r="AG452" s="331"/>
      <c r="AH452" s="331"/>
      <c r="AI452" s="331"/>
      <c r="AJ452" s="331"/>
      <c r="AK452" s="331"/>
      <c r="AL452" s="331"/>
    </row>
    <row r="453" ht="15.75" customHeight="1">
      <c r="A453" s="331"/>
      <c r="B453" s="331"/>
      <c r="C453" s="331"/>
      <c r="D453" s="331"/>
      <c r="E453" s="331"/>
      <c r="F453" s="331"/>
      <c r="G453" s="331"/>
      <c r="H453" s="331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/>
      <c r="X453" s="331"/>
      <c r="Y453" s="331"/>
      <c r="Z453" s="331"/>
      <c r="AA453" s="331"/>
      <c r="AB453" s="331"/>
      <c r="AC453" s="331"/>
      <c r="AD453" s="331"/>
      <c r="AE453" s="331"/>
      <c r="AF453" s="331"/>
      <c r="AG453" s="331"/>
      <c r="AH453" s="331"/>
      <c r="AI453" s="331"/>
      <c r="AJ453" s="331"/>
      <c r="AK453" s="331"/>
      <c r="AL453" s="331"/>
    </row>
    <row r="454" ht="15.75" customHeight="1">
      <c r="A454" s="331"/>
      <c r="B454" s="331"/>
      <c r="C454" s="331"/>
      <c r="D454" s="331"/>
      <c r="E454" s="331"/>
      <c r="F454" s="331"/>
      <c r="G454" s="331"/>
      <c r="H454" s="331"/>
      <c r="I454" s="331"/>
      <c r="J454" s="331"/>
      <c r="K454" s="331"/>
      <c r="L454" s="331"/>
      <c r="M454" s="331"/>
      <c r="N454" s="331"/>
      <c r="O454" s="331"/>
      <c r="P454" s="331"/>
      <c r="Q454" s="331"/>
      <c r="R454" s="331"/>
      <c r="S454" s="331"/>
      <c r="T454" s="331"/>
      <c r="U454" s="331"/>
      <c r="V454" s="331"/>
      <c r="W454" s="331"/>
      <c r="X454" s="331"/>
      <c r="Y454" s="331"/>
      <c r="Z454" s="331"/>
      <c r="AA454" s="331"/>
      <c r="AB454" s="331"/>
      <c r="AC454" s="331"/>
      <c r="AD454" s="331"/>
      <c r="AE454" s="331"/>
      <c r="AF454" s="331"/>
      <c r="AG454" s="331"/>
      <c r="AH454" s="331"/>
      <c r="AI454" s="331"/>
      <c r="AJ454" s="331"/>
      <c r="AK454" s="331"/>
      <c r="AL454" s="331"/>
    </row>
    <row r="455" ht="15.75" customHeight="1">
      <c r="A455" s="331"/>
      <c r="B455" s="331"/>
      <c r="C455" s="331"/>
      <c r="D455" s="331"/>
      <c r="E455" s="331"/>
      <c r="F455" s="331"/>
      <c r="G455" s="331"/>
      <c r="H455" s="331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/>
      <c r="X455" s="331"/>
      <c r="Y455" s="331"/>
      <c r="Z455" s="331"/>
      <c r="AA455" s="331"/>
      <c r="AB455" s="331"/>
      <c r="AC455" s="331"/>
      <c r="AD455" s="331"/>
      <c r="AE455" s="331"/>
      <c r="AF455" s="331"/>
      <c r="AG455" s="331"/>
      <c r="AH455" s="331"/>
      <c r="AI455" s="331"/>
      <c r="AJ455" s="331"/>
      <c r="AK455" s="331"/>
      <c r="AL455" s="331"/>
    </row>
    <row r="456" ht="15.75" customHeight="1">
      <c r="A456" s="331"/>
      <c r="B456" s="331"/>
      <c r="C456" s="331"/>
      <c r="D456" s="331"/>
      <c r="E456" s="331"/>
      <c r="F456" s="331"/>
      <c r="G456" s="331"/>
      <c r="H456" s="331"/>
      <c r="I456" s="331"/>
      <c r="J456" s="331"/>
      <c r="K456" s="331"/>
      <c r="L456" s="331"/>
      <c r="M456" s="331"/>
      <c r="N456" s="331"/>
      <c r="O456" s="331"/>
      <c r="P456" s="331"/>
      <c r="Q456" s="331"/>
      <c r="R456" s="331"/>
      <c r="S456" s="331"/>
      <c r="T456" s="331"/>
      <c r="U456" s="331"/>
      <c r="V456" s="331"/>
      <c r="W456" s="331"/>
      <c r="X456" s="331"/>
      <c r="Y456" s="331"/>
      <c r="Z456" s="331"/>
      <c r="AA456" s="331"/>
      <c r="AB456" s="331"/>
      <c r="AC456" s="331"/>
      <c r="AD456" s="331"/>
      <c r="AE456" s="331"/>
      <c r="AF456" s="331"/>
      <c r="AG456" s="331"/>
      <c r="AH456" s="331"/>
      <c r="AI456" s="331"/>
      <c r="AJ456" s="331"/>
      <c r="AK456" s="331"/>
      <c r="AL456" s="331"/>
    </row>
    <row r="457" ht="15.75" customHeight="1">
      <c r="A457" s="331"/>
      <c r="B457" s="331"/>
      <c r="C457" s="331"/>
      <c r="D457" s="331"/>
      <c r="E457" s="331"/>
      <c r="F457" s="331"/>
      <c r="G457" s="331"/>
      <c r="H457" s="331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/>
      <c r="X457" s="331"/>
      <c r="Y457" s="331"/>
      <c r="Z457" s="331"/>
      <c r="AA457" s="331"/>
      <c r="AB457" s="331"/>
      <c r="AC457" s="331"/>
      <c r="AD457" s="331"/>
      <c r="AE457" s="331"/>
      <c r="AF457" s="331"/>
      <c r="AG457" s="331"/>
      <c r="AH457" s="331"/>
      <c r="AI457" s="331"/>
      <c r="AJ457" s="331"/>
      <c r="AK457" s="331"/>
      <c r="AL457" s="331"/>
    </row>
    <row r="458" ht="15.75" customHeight="1">
      <c r="A458" s="331"/>
      <c r="B458" s="331"/>
      <c r="C458" s="331"/>
      <c r="D458" s="331"/>
      <c r="E458" s="331"/>
      <c r="F458" s="331"/>
      <c r="G458" s="331"/>
      <c r="H458" s="331"/>
      <c r="I458" s="331"/>
      <c r="J458" s="331"/>
      <c r="K458" s="331"/>
      <c r="L458" s="331"/>
      <c r="M458" s="331"/>
      <c r="N458" s="331"/>
      <c r="O458" s="331"/>
      <c r="P458" s="331"/>
      <c r="Q458" s="331"/>
      <c r="R458" s="331"/>
      <c r="S458" s="331"/>
      <c r="T458" s="331"/>
      <c r="U458" s="331"/>
      <c r="V458" s="331"/>
      <c r="W458" s="331"/>
      <c r="X458" s="331"/>
      <c r="Y458" s="331"/>
      <c r="Z458" s="331"/>
      <c r="AA458" s="331"/>
      <c r="AB458" s="331"/>
      <c r="AC458" s="331"/>
      <c r="AD458" s="331"/>
      <c r="AE458" s="331"/>
      <c r="AF458" s="331"/>
      <c r="AG458" s="331"/>
      <c r="AH458" s="331"/>
      <c r="AI458" s="331"/>
      <c r="AJ458" s="331"/>
      <c r="AK458" s="331"/>
      <c r="AL458" s="331"/>
    </row>
    <row r="459" ht="15.75" customHeight="1">
      <c r="A459" s="331"/>
      <c r="B459" s="331"/>
      <c r="C459" s="331"/>
      <c r="D459" s="331"/>
      <c r="E459" s="331"/>
      <c r="F459" s="331"/>
      <c r="G459" s="331"/>
      <c r="H459" s="331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/>
      <c r="X459" s="331"/>
      <c r="Y459" s="331"/>
      <c r="Z459" s="331"/>
      <c r="AA459" s="331"/>
      <c r="AB459" s="331"/>
      <c r="AC459" s="331"/>
      <c r="AD459" s="331"/>
      <c r="AE459" s="331"/>
      <c r="AF459" s="331"/>
      <c r="AG459" s="331"/>
      <c r="AH459" s="331"/>
      <c r="AI459" s="331"/>
      <c r="AJ459" s="331"/>
      <c r="AK459" s="331"/>
      <c r="AL459" s="331"/>
    </row>
    <row r="460" ht="15.75" customHeight="1">
      <c r="A460" s="331"/>
      <c r="B460" s="331"/>
      <c r="C460" s="331"/>
      <c r="D460" s="331"/>
      <c r="E460" s="331"/>
      <c r="F460" s="331"/>
      <c r="G460" s="331"/>
      <c r="H460" s="331"/>
      <c r="I460" s="331"/>
      <c r="J460" s="331"/>
      <c r="K460" s="331"/>
      <c r="L460" s="331"/>
      <c r="M460" s="331"/>
      <c r="N460" s="331"/>
      <c r="O460" s="331"/>
      <c r="P460" s="331"/>
      <c r="Q460" s="331"/>
      <c r="R460" s="331"/>
      <c r="S460" s="331"/>
      <c r="T460" s="331"/>
      <c r="U460" s="331"/>
      <c r="V460" s="331"/>
      <c r="W460" s="331"/>
      <c r="X460" s="331"/>
      <c r="Y460" s="331"/>
      <c r="Z460" s="331"/>
      <c r="AA460" s="331"/>
      <c r="AB460" s="331"/>
      <c r="AC460" s="331"/>
      <c r="AD460" s="331"/>
      <c r="AE460" s="331"/>
      <c r="AF460" s="331"/>
      <c r="AG460" s="331"/>
      <c r="AH460" s="331"/>
      <c r="AI460" s="331"/>
      <c r="AJ460" s="331"/>
      <c r="AK460" s="331"/>
      <c r="AL460" s="331"/>
    </row>
    <row r="461" ht="15.75" customHeight="1">
      <c r="A461" s="331"/>
      <c r="B461" s="331"/>
      <c r="C461" s="331"/>
      <c r="D461" s="331"/>
      <c r="E461" s="331"/>
      <c r="F461" s="331"/>
      <c r="G461" s="331"/>
      <c r="H461" s="331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/>
      <c r="X461" s="331"/>
      <c r="Y461" s="331"/>
      <c r="Z461" s="331"/>
      <c r="AA461" s="331"/>
      <c r="AB461" s="331"/>
      <c r="AC461" s="331"/>
      <c r="AD461" s="331"/>
      <c r="AE461" s="331"/>
      <c r="AF461" s="331"/>
      <c r="AG461" s="331"/>
      <c r="AH461" s="331"/>
      <c r="AI461" s="331"/>
      <c r="AJ461" s="331"/>
      <c r="AK461" s="331"/>
      <c r="AL461" s="331"/>
    </row>
    <row r="462" ht="15.75" customHeight="1">
      <c r="A462" s="331"/>
      <c r="B462" s="331"/>
      <c r="C462" s="331"/>
      <c r="D462" s="331"/>
      <c r="E462" s="331"/>
      <c r="F462" s="331"/>
      <c r="G462" s="331"/>
      <c r="H462" s="331"/>
      <c r="I462" s="331"/>
      <c r="J462" s="331"/>
      <c r="K462" s="331"/>
      <c r="L462" s="331"/>
      <c r="M462" s="331"/>
      <c r="N462" s="331"/>
      <c r="O462" s="331"/>
      <c r="P462" s="331"/>
      <c r="Q462" s="331"/>
      <c r="R462" s="331"/>
      <c r="S462" s="331"/>
      <c r="T462" s="331"/>
      <c r="U462" s="331"/>
      <c r="V462" s="331"/>
      <c r="W462" s="331"/>
      <c r="X462" s="331"/>
      <c r="Y462" s="331"/>
      <c r="Z462" s="331"/>
      <c r="AA462" s="331"/>
      <c r="AB462" s="331"/>
      <c r="AC462" s="331"/>
      <c r="AD462" s="331"/>
      <c r="AE462" s="331"/>
      <c r="AF462" s="331"/>
      <c r="AG462" s="331"/>
      <c r="AH462" s="331"/>
      <c r="AI462" s="331"/>
      <c r="AJ462" s="331"/>
      <c r="AK462" s="331"/>
      <c r="AL462" s="331"/>
    </row>
    <row r="463" ht="15.75" customHeight="1">
      <c r="A463" s="331"/>
      <c r="B463" s="331"/>
      <c r="C463" s="331"/>
      <c r="D463" s="331"/>
      <c r="E463" s="331"/>
      <c r="F463" s="331"/>
      <c r="G463" s="331"/>
      <c r="H463" s="331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/>
      <c r="X463" s="331"/>
      <c r="Y463" s="331"/>
      <c r="Z463" s="331"/>
      <c r="AA463" s="331"/>
      <c r="AB463" s="331"/>
      <c r="AC463" s="331"/>
      <c r="AD463" s="331"/>
      <c r="AE463" s="331"/>
      <c r="AF463" s="331"/>
      <c r="AG463" s="331"/>
      <c r="AH463" s="331"/>
      <c r="AI463" s="331"/>
      <c r="AJ463" s="331"/>
      <c r="AK463" s="331"/>
      <c r="AL463" s="331"/>
    </row>
    <row r="464" ht="15.75" customHeight="1">
      <c r="A464" s="331"/>
      <c r="B464" s="331"/>
      <c r="C464" s="331"/>
      <c r="D464" s="331"/>
      <c r="E464" s="331"/>
      <c r="F464" s="331"/>
      <c r="G464" s="331"/>
      <c r="H464" s="331"/>
      <c r="I464" s="331"/>
      <c r="J464" s="331"/>
      <c r="K464" s="331"/>
      <c r="L464" s="331"/>
      <c r="M464" s="331"/>
      <c r="N464" s="331"/>
      <c r="O464" s="331"/>
      <c r="P464" s="331"/>
      <c r="Q464" s="331"/>
      <c r="R464" s="331"/>
      <c r="S464" s="331"/>
      <c r="T464" s="331"/>
      <c r="U464" s="331"/>
      <c r="V464" s="331"/>
      <c r="W464" s="331"/>
      <c r="X464" s="331"/>
      <c r="Y464" s="331"/>
      <c r="Z464" s="331"/>
      <c r="AA464" s="331"/>
      <c r="AB464" s="331"/>
      <c r="AC464" s="331"/>
      <c r="AD464" s="331"/>
      <c r="AE464" s="331"/>
      <c r="AF464" s="331"/>
      <c r="AG464" s="331"/>
      <c r="AH464" s="331"/>
      <c r="AI464" s="331"/>
      <c r="AJ464" s="331"/>
      <c r="AK464" s="331"/>
      <c r="AL464" s="331"/>
    </row>
    <row r="465" ht="15.75" customHeight="1">
      <c r="A465" s="331"/>
      <c r="B465" s="331"/>
      <c r="C465" s="331"/>
      <c r="D465" s="331"/>
      <c r="E465" s="331"/>
      <c r="F465" s="331"/>
      <c r="G465" s="331"/>
      <c r="H465" s="331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/>
      <c r="X465" s="331"/>
      <c r="Y465" s="331"/>
      <c r="Z465" s="331"/>
      <c r="AA465" s="331"/>
      <c r="AB465" s="331"/>
      <c r="AC465" s="331"/>
      <c r="AD465" s="331"/>
      <c r="AE465" s="331"/>
      <c r="AF465" s="331"/>
      <c r="AG465" s="331"/>
      <c r="AH465" s="331"/>
      <c r="AI465" s="331"/>
      <c r="AJ465" s="331"/>
      <c r="AK465" s="331"/>
      <c r="AL465" s="331"/>
    </row>
    <row r="466" ht="15.75" customHeight="1">
      <c r="A466" s="331"/>
      <c r="B466" s="331"/>
      <c r="C466" s="331"/>
      <c r="D466" s="331"/>
      <c r="E466" s="331"/>
      <c r="F466" s="331"/>
      <c r="G466" s="331"/>
      <c r="H466" s="331"/>
      <c r="I466" s="331"/>
      <c r="J466" s="331"/>
      <c r="K466" s="331"/>
      <c r="L466" s="331"/>
      <c r="M466" s="331"/>
      <c r="N466" s="331"/>
      <c r="O466" s="331"/>
      <c r="P466" s="331"/>
      <c r="Q466" s="331"/>
      <c r="R466" s="331"/>
      <c r="S466" s="331"/>
      <c r="T466" s="331"/>
      <c r="U466" s="331"/>
      <c r="V466" s="331"/>
      <c r="W466" s="331"/>
      <c r="X466" s="331"/>
      <c r="Y466" s="331"/>
      <c r="Z466" s="331"/>
      <c r="AA466" s="331"/>
      <c r="AB466" s="331"/>
      <c r="AC466" s="331"/>
      <c r="AD466" s="331"/>
      <c r="AE466" s="331"/>
      <c r="AF466" s="331"/>
      <c r="AG466" s="331"/>
      <c r="AH466" s="331"/>
      <c r="AI466" s="331"/>
      <c r="AJ466" s="331"/>
      <c r="AK466" s="331"/>
      <c r="AL466" s="331"/>
    </row>
    <row r="467" ht="15.75" customHeight="1">
      <c r="A467" s="331"/>
      <c r="B467" s="331"/>
      <c r="C467" s="331"/>
      <c r="D467" s="331"/>
      <c r="E467" s="331"/>
      <c r="F467" s="331"/>
      <c r="G467" s="331"/>
      <c r="H467" s="331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/>
      <c r="X467" s="331"/>
      <c r="Y467" s="331"/>
      <c r="Z467" s="331"/>
      <c r="AA467" s="331"/>
      <c r="AB467" s="331"/>
      <c r="AC467" s="331"/>
      <c r="AD467" s="331"/>
      <c r="AE467" s="331"/>
      <c r="AF467" s="331"/>
      <c r="AG467" s="331"/>
      <c r="AH467" s="331"/>
      <c r="AI467" s="331"/>
      <c r="AJ467" s="331"/>
      <c r="AK467" s="331"/>
      <c r="AL467" s="331"/>
    </row>
    <row r="468" ht="15.75" customHeight="1">
      <c r="A468" s="331"/>
      <c r="B468" s="331"/>
      <c r="C468" s="331"/>
      <c r="D468" s="331"/>
      <c r="E468" s="331"/>
      <c r="F468" s="331"/>
      <c r="G468" s="331"/>
      <c r="H468" s="331"/>
      <c r="I468" s="331"/>
      <c r="J468" s="331"/>
      <c r="K468" s="331"/>
      <c r="L468" s="331"/>
      <c r="M468" s="331"/>
      <c r="N468" s="331"/>
      <c r="O468" s="331"/>
      <c r="P468" s="331"/>
      <c r="Q468" s="331"/>
      <c r="R468" s="331"/>
      <c r="S468" s="331"/>
      <c r="T468" s="331"/>
      <c r="U468" s="331"/>
      <c r="V468" s="331"/>
      <c r="W468" s="331"/>
      <c r="X468" s="331"/>
      <c r="Y468" s="331"/>
      <c r="Z468" s="331"/>
      <c r="AA468" s="331"/>
      <c r="AB468" s="331"/>
      <c r="AC468" s="331"/>
      <c r="AD468" s="331"/>
      <c r="AE468" s="331"/>
      <c r="AF468" s="331"/>
      <c r="AG468" s="331"/>
      <c r="AH468" s="331"/>
      <c r="AI468" s="331"/>
      <c r="AJ468" s="331"/>
      <c r="AK468" s="331"/>
      <c r="AL468" s="331"/>
    </row>
    <row r="469" ht="15.75" customHeight="1">
      <c r="A469" s="331"/>
      <c r="B469" s="331"/>
      <c r="C469" s="331"/>
      <c r="D469" s="331"/>
      <c r="E469" s="331"/>
      <c r="F469" s="331"/>
      <c r="G469" s="331"/>
      <c r="H469" s="331"/>
      <c r="I469" s="331"/>
      <c r="J469" s="331"/>
      <c r="K469" s="331"/>
      <c r="L469" s="331"/>
      <c r="M469" s="331"/>
      <c r="N469" s="331"/>
      <c r="O469" s="331"/>
      <c r="P469" s="331"/>
      <c r="Q469" s="331"/>
      <c r="R469" s="331"/>
      <c r="S469" s="331"/>
      <c r="T469" s="331"/>
      <c r="U469" s="331"/>
      <c r="V469" s="331"/>
      <c r="W469" s="331"/>
      <c r="X469" s="331"/>
      <c r="Y469" s="331"/>
      <c r="Z469" s="331"/>
      <c r="AA469" s="331"/>
      <c r="AB469" s="331"/>
      <c r="AC469" s="331"/>
      <c r="AD469" s="331"/>
      <c r="AE469" s="331"/>
      <c r="AF469" s="331"/>
      <c r="AG469" s="331"/>
      <c r="AH469" s="331"/>
      <c r="AI469" s="331"/>
      <c r="AJ469" s="331"/>
      <c r="AK469" s="331"/>
      <c r="AL469" s="331"/>
    </row>
    <row r="470" ht="15.75" customHeight="1">
      <c r="A470" s="331"/>
      <c r="B470" s="331"/>
      <c r="C470" s="331"/>
      <c r="D470" s="331"/>
      <c r="E470" s="331"/>
      <c r="F470" s="331"/>
      <c r="G470" s="331"/>
      <c r="H470" s="331"/>
      <c r="I470" s="331"/>
      <c r="J470" s="331"/>
      <c r="K470" s="331"/>
      <c r="L470" s="331"/>
      <c r="M470" s="331"/>
      <c r="N470" s="331"/>
      <c r="O470" s="331"/>
      <c r="P470" s="331"/>
      <c r="Q470" s="331"/>
      <c r="R470" s="331"/>
      <c r="S470" s="331"/>
      <c r="T470" s="331"/>
      <c r="U470" s="331"/>
      <c r="V470" s="331"/>
      <c r="W470" s="331"/>
      <c r="X470" s="331"/>
      <c r="Y470" s="331"/>
      <c r="Z470" s="331"/>
      <c r="AA470" s="331"/>
      <c r="AB470" s="331"/>
      <c r="AC470" s="331"/>
      <c r="AD470" s="331"/>
      <c r="AE470" s="331"/>
      <c r="AF470" s="331"/>
      <c r="AG470" s="331"/>
      <c r="AH470" s="331"/>
      <c r="AI470" s="331"/>
      <c r="AJ470" s="331"/>
      <c r="AK470" s="331"/>
      <c r="AL470" s="331"/>
    </row>
    <row r="471" ht="15.75" customHeight="1">
      <c r="A471" s="331"/>
      <c r="B471" s="331"/>
      <c r="C471" s="331"/>
      <c r="D471" s="331"/>
      <c r="E471" s="331"/>
      <c r="F471" s="331"/>
      <c r="G471" s="331"/>
      <c r="H471" s="331"/>
      <c r="I471" s="331"/>
      <c r="J471" s="331"/>
      <c r="K471" s="331"/>
      <c r="L471" s="331"/>
      <c r="M471" s="331"/>
      <c r="N471" s="331"/>
      <c r="O471" s="331"/>
      <c r="P471" s="331"/>
      <c r="Q471" s="331"/>
      <c r="R471" s="331"/>
      <c r="S471" s="331"/>
      <c r="T471" s="331"/>
      <c r="U471" s="331"/>
      <c r="V471" s="331"/>
      <c r="W471" s="331"/>
      <c r="X471" s="331"/>
      <c r="Y471" s="331"/>
      <c r="Z471" s="331"/>
      <c r="AA471" s="331"/>
      <c r="AB471" s="331"/>
      <c r="AC471" s="331"/>
      <c r="AD471" s="331"/>
      <c r="AE471" s="331"/>
      <c r="AF471" s="331"/>
      <c r="AG471" s="331"/>
      <c r="AH471" s="331"/>
      <c r="AI471" s="331"/>
      <c r="AJ471" s="331"/>
      <c r="AK471" s="331"/>
      <c r="AL471" s="331"/>
    </row>
    <row r="472" ht="15.75" customHeight="1">
      <c r="A472" s="331"/>
      <c r="B472" s="331"/>
      <c r="C472" s="331"/>
      <c r="D472" s="331"/>
      <c r="E472" s="331"/>
      <c r="F472" s="331"/>
      <c r="G472" s="331"/>
      <c r="H472" s="331"/>
      <c r="I472" s="331"/>
      <c r="J472" s="331"/>
      <c r="K472" s="331"/>
      <c r="L472" s="331"/>
      <c r="M472" s="331"/>
      <c r="N472" s="331"/>
      <c r="O472" s="331"/>
      <c r="P472" s="331"/>
      <c r="Q472" s="331"/>
      <c r="R472" s="331"/>
      <c r="S472" s="331"/>
      <c r="T472" s="331"/>
      <c r="U472" s="331"/>
      <c r="V472" s="331"/>
      <c r="W472" s="331"/>
      <c r="X472" s="331"/>
      <c r="Y472" s="331"/>
      <c r="Z472" s="331"/>
      <c r="AA472" s="331"/>
      <c r="AB472" s="331"/>
      <c r="AC472" s="331"/>
      <c r="AD472" s="331"/>
      <c r="AE472" s="331"/>
      <c r="AF472" s="331"/>
      <c r="AG472" s="331"/>
      <c r="AH472" s="331"/>
      <c r="AI472" s="331"/>
      <c r="AJ472" s="331"/>
      <c r="AK472" s="331"/>
      <c r="AL472" s="331"/>
    </row>
    <row r="473" ht="15.75" customHeight="1">
      <c r="A473" s="331"/>
      <c r="B473" s="331"/>
      <c r="C473" s="331"/>
      <c r="D473" s="331"/>
      <c r="E473" s="331"/>
      <c r="F473" s="331"/>
      <c r="G473" s="331"/>
      <c r="H473" s="331"/>
      <c r="I473" s="331"/>
      <c r="J473" s="331"/>
      <c r="K473" s="331"/>
      <c r="L473" s="331"/>
      <c r="M473" s="331"/>
      <c r="N473" s="331"/>
      <c r="O473" s="331"/>
      <c r="P473" s="331"/>
      <c r="Q473" s="331"/>
      <c r="R473" s="331"/>
      <c r="S473" s="331"/>
      <c r="T473" s="331"/>
      <c r="U473" s="331"/>
      <c r="V473" s="331"/>
      <c r="W473" s="331"/>
      <c r="X473" s="331"/>
      <c r="Y473" s="331"/>
      <c r="Z473" s="331"/>
      <c r="AA473" s="331"/>
      <c r="AB473" s="331"/>
      <c r="AC473" s="331"/>
      <c r="AD473" s="331"/>
      <c r="AE473" s="331"/>
      <c r="AF473" s="331"/>
      <c r="AG473" s="331"/>
      <c r="AH473" s="331"/>
      <c r="AI473" s="331"/>
      <c r="AJ473" s="331"/>
      <c r="AK473" s="331"/>
      <c r="AL473" s="331"/>
    </row>
    <row r="474" ht="15.75" customHeight="1">
      <c r="A474" s="331"/>
      <c r="B474" s="331"/>
      <c r="C474" s="331"/>
      <c r="D474" s="331"/>
      <c r="E474" s="331"/>
      <c r="F474" s="331"/>
      <c r="G474" s="331"/>
      <c r="H474" s="331"/>
      <c r="I474" s="331"/>
      <c r="J474" s="331"/>
      <c r="K474" s="331"/>
      <c r="L474" s="331"/>
      <c r="M474" s="331"/>
      <c r="N474" s="331"/>
      <c r="O474" s="331"/>
      <c r="P474" s="331"/>
      <c r="Q474" s="331"/>
      <c r="R474" s="331"/>
      <c r="S474" s="331"/>
      <c r="T474" s="331"/>
      <c r="U474" s="331"/>
      <c r="V474" s="331"/>
      <c r="W474" s="331"/>
      <c r="X474" s="331"/>
      <c r="Y474" s="331"/>
      <c r="Z474" s="331"/>
      <c r="AA474" s="331"/>
      <c r="AB474" s="331"/>
      <c r="AC474" s="331"/>
      <c r="AD474" s="331"/>
      <c r="AE474" s="331"/>
      <c r="AF474" s="331"/>
      <c r="AG474" s="331"/>
      <c r="AH474" s="331"/>
      <c r="AI474" s="331"/>
      <c r="AJ474" s="331"/>
      <c r="AK474" s="331"/>
      <c r="AL474" s="331"/>
    </row>
    <row r="475" ht="15.75" customHeight="1">
      <c r="A475" s="331"/>
      <c r="B475" s="331"/>
      <c r="C475" s="331"/>
      <c r="D475" s="331"/>
      <c r="E475" s="331"/>
      <c r="F475" s="331"/>
      <c r="G475" s="331"/>
      <c r="H475" s="331"/>
      <c r="I475" s="331"/>
      <c r="J475" s="331"/>
      <c r="K475" s="331"/>
      <c r="L475" s="331"/>
      <c r="M475" s="331"/>
      <c r="N475" s="331"/>
      <c r="O475" s="331"/>
      <c r="P475" s="331"/>
      <c r="Q475" s="331"/>
      <c r="R475" s="331"/>
      <c r="S475" s="331"/>
      <c r="T475" s="331"/>
      <c r="U475" s="331"/>
      <c r="V475" s="331"/>
      <c r="W475" s="331"/>
      <c r="X475" s="331"/>
      <c r="Y475" s="331"/>
      <c r="Z475" s="331"/>
      <c r="AA475" s="331"/>
      <c r="AB475" s="331"/>
      <c r="AC475" s="331"/>
      <c r="AD475" s="331"/>
      <c r="AE475" s="331"/>
      <c r="AF475" s="331"/>
      <c r="AG475" s="331"/>
      <c r="AH475" s="331"/>
      <c r="AI475" s="331"/>
      <c r="AJ475" s="331"/>
      <c r="AK475" s="331"/>
      <c r="AL475" s="331"/>
    </row>
    <row r="476" ht="15.75" customHeight="1">
      <c r="A476" s="331"/>
      <c r="B476" s="331"/>
      <c r="C476" s="331"/>
      <c r="D476" s="331"/>
      <c r="E476" s="331"/>
      <c r="F476" s="331"/>
      <c r="G476" s="331"/>
      <c r="H476" s="331"/>
      <c r="I476" s="331"/>
      <c r="J476" s="331"/>
      <c r="K476" s="331"/>
      <c r="L476" s="331"/>
      <c r="M476" s="331"/>
      <c r="N476" s="331"/>
      <c r="O476" s="331"/>
      <c r="P476" s="331"/>
      <c r="Q476" s="331"/>
      <c r="R476" s="331"/>
      <c r="S476" s="331"/>
      <c r="T476" s="331"/>
      <c r="U476" s="331"/>
      <c r="V476" s="331"/>
      <c r="W476" s="331"/>
      <c r="X476" s="331"/>
      <c r="Y476" s="331"/>
      <c r="Z476" s="331"/>
      <c r="AA476" s="331"/>
      <c r="AB476" s="331"/>
      <c r="AC476" s="331"/>
      <c r="AD476" s="331"/>
      <c r="AE476" s="331"/>
      <c r="AF476" s="331"/>
      <c r="AG476" s="331"/>
      <c r="AH476" s="331"/>
      <c r="AI476" s="331"/>
      <c r="AJ476" s="331"/>
      <c r="AK476" s="331"/>
      <c r="AL476" s="331"/>
    </row>
    <row r="477" ht="15.75" customHeight="1">
      <c r="A477" s="331"/>
      <c r="B477" s="331"/>
      <c r="C477" s="331"/>
      <c r="D477" s="331"/>
      <c r="E477" s="331"/>
      <c r="F477" s="331"/>
      <c r="G477" s="331"/>
      <c r="H477" s="331"/>
      <c r="I477" s="331"/>
      <c r="J477" s="331"/>
      <c r="K477" s="331"/>
      <c r="L477" s="331"/>
      <c r="M477" s="331"/>
      <c r="N477" s="331"/>
      <c r="O477" s="331"/>
      <c r="P477" s="331"/>
      <c r="Q477" s="331"/>
      <c r="R477" s="331"/>
      <c r="S477" s="331"/>
      <c r="T477" s="331"/>
      <c r="U477" s="331"/>
      <c r="V477" s="331"/>
      <c r="W477" s="331"/>
      <c r="X477" s="331"/>
      <c r="Y477" s="331"/>
      <c r="Z477" s="331"/>
      <c r="AA477" s="331"/>
      <c r="AB477" s="331"/>
      <c r="AC477" s="331"/>
      <c r="AD477" s="331"/>
      <c r="AE477" s="331"/>
      <c r="AF477" s="331"/>
      <c r="AG477" s="331"/>
      <c r="AH477" s="331"/>
      <c r="AI477" s="331"/>
      <c r="AJ477" s="331"/>
      <c r="AK477" s="331"/>
      <c r="AL477" s="331"/>
    </row>
    <row r="478" ht="15.75" customHeight="1">
      <c r="A478" s="331"/>
      <c r="B478" s="331"/>
      <c r="C478" s="331"/>
      <c r="D478" s="331"/>
      <c r="E478" s="331"/>
      <c r="F478" s="331"/>
      <c r="G478" s="331"/>
      <c r="H478" s="331"/>
      <c r="I478" s="331"/>
      <c r="J478" s="331"/>
      <c r="K478" s="331"/>
      <c r="L478" s="331"/>
      <c r="M478" s="331"/>
      <c r="N478" s="331"/>
      <c r="O478" s="331"/>
      <c r="P478" s="331"/>
      <c r="Q478" s="331"/>
      <c r="R478" s="331"/>
      <c r="S478" s="331"/>
      <c r="T478" s="331"/>
      <c r="U478" s="331"/>
      <c r="V478" s="331"/>
      <c r="W478" s="331"/>
      <c r="X478" s="331"/>
      <c r="Y478" s="331"/>
      <c r="Z478" s="331"/>
      <c r="AA478" s="331"/>
      <c r="AB478" s="331"/>
      <c r="AC478" s="331"/>
      <c r="AD478" s="331"/>
      <c r="AE478" s="331"/>
      <c r="AF478" s="331"/>
      <c r="AG478" s="331"/>
      <c r="AH478" s="331"/>
      <c r="AI478" s="331"/>
      <c r="AJ478" s="331"/>
      <c r="AK478" s="331"/>
      <c r="AL478" s="331"/>
    </row>
    <row r="479" ht="15.75" customHeight="1">
      <c r="A479" s="331"/>
      <c r="B479" s="331"/>
      <c r="C479" s="331"/>
      <c r="D479" s="331"/>
      <c r="E479" s="331"/>
      <c r="F479" s="331"/>
      <c r="G479" s="331"/>
      <c r="H479" s="331"/>
      <c r="I479" s="331"/>
      <c r="J479" s="331"/>
      <c r="K479" s="331"/>
      <c r="L479" s="331"/>
      <c r="M479" s="331"/>
      <c r="N479" s="331"/>
      <c r="O479" s="331"/>
      <c r="P479" s="331"/>
      <c r="Q479" s="331"/>
      <c r="R479" s="331"/>
      <c r="S479" s="331"/>
      <c r="T479" s="331"/>
      <c r="U479" s="331"/>
      <c r="V479" s="331"/>
      <c r="W479" s="331"/>
      <c r="X479" s="331"/>
      <c r="Y479" s="331"/>
      <c r="Z479" s="331"/>
      <c r="AA479" s="331"/>
      <c r="AB479" s="331"/>
      <c r="AC479" s="331"/>
      <c r="AD479" s="331"/>
      <c r="AE479" s="331"/>
      <c r="AF479" s="331"/>
      <c r="AG479" s="331"/>
      <c r="AH479" s="331"/>
      <c r="AI479" s="331"/>
      <c r="AJ479" s="331"/>
      <c r="AK479" s="331"/>
      <c r="AL479" s="331"/>
    </row>
    <row r="480" ht="15.75" customHeight="1">
      <c r="A480" s="331"/>
      <c r="B480" s="331"/>
      <c r="C480" s="331"/>
      <c r="D480" s="331"/>
      <c r="E480" s="331"/>
      <c r="F480" s="331"/>
      <c r="G480" s="331"/>
      <c r="H480" s="331"/>
      <c r="I480" s="331"/>
      <c r="J480" s="331"/>
      <c r="K480" s="331"/>
      <c r="L480" s="331"/>
      <c r="M480" s="331"/>
      <c r="N480" s="331"/>
      <c r="O480" s="331"/>
      <c r="P480" s="331"/>
      <c r="Q480" s="331"/>
      <c r="R480" s="331"/>
      <c r="S480" s="331"/>
      <c r="T480" s="331"/>
      <c r="U480" s="331"/>
      <c r="V480" s="331"/>
      <c r="W480" s="331"/>
      <c r="X480" s="331"/>
      <c r="Y480" s="331"/>
      <c r="Z480" s="331"/>
      <c r="AA480" s="331"/>
      <c r="AB480" s="331"/>
      <c r="AC480" s="331"/>
      <c r="AD480" s="331"/>
      <c r="AE480" s="331"/>
      <c r="AF480" s="331"/>
      <c r="AG480" s="331"/>
      <c r="AH480" s="331"/>
      <c r="AI480" s="331"/>
      <c r="AJ480" s="331"/>
      <c r="AK480" s="331"/>
      <c r="AL480" s="331"/>
    </row>
    <row r="481" ht="15.75" customHeight="1">
      <c r="A481" s="331"/>
      <c r="B481" s="331"/>
      <c r="C481" s="331"/>
      <c r="D481" s="331"/>
      <c r="E481" s="331"/>
      <c r="F481" s="331"/>
      <c r="G481" s="331"/>
      <c r="H481" s="331"/>
      <c r="I481" s="331"/>
      <c r="J481" s="331"/>
      <c r="K481" s="331"/>
      <c r="L481" s="331"/>
      <c r="M481" s="331"/>
      <c r="N481" s="331"/>
      <c r="O481" s="331"/>
      <c r="P481" s="331"/>
      <c r="Q481" s="331"/>
      <c r="R481" s="331"/>
      <c r="S481" s="331"/>
      <c r="T481" s="331"/>
      <c r="U481" s="331"/>
      <c r="V481" s="331"/>
      <c r="W481" s="331"/>
      <c r="X481" s="331"/>
      <c r="Y481" s="331"/>
      <c r="Z481" s="331"/>
      <c r="AA481" s="331"/>
      <c r="AB481" s="331"/>
      <c r="AC481" s="331"/>
      <c r="AD481" s="331"/>
      <c r="AE481" s="331"/>
      <c r="AF481" s="331"/>
      <c r="AG481" s="331"/>
      <c r="AH481" s="331"/>
      <c r="AI481" s="331"/>
      <c r="AJ481" s="331"/>
      <c r="AK481" s="331"/>
      <c r="AL481" s="331"/>
    </row>
    <row r="482" ht="15.75" customHeight="1">
      <c r="A482" s="331"/>
      <c r="B482" s="331"/>
      <c r="C482" s="331"/>
      <c r="D482" s="331"/>
      <c r="E482" s="331"/>
      <c r="F482" s="331"/>
      <c r="G482" s="331"/>
      <c r="H482" s="331"/>
      <c r="I482" s="331"/>
      <c r="J482" s="331"/>
      <c r="K482" s="331"/>
      <c r="L482" s="331"/>
      <c r="M482" s="331"/>
      <c r="N482" s="331"/>
      <c r="O482" s="331"/>
      <c r="P482" s="331"/>
      <c r="Q482" s="331"/>
      <c r="R482" s="331"/>
      <c r="S482" s="331"/>
      <c r="T482" s="331"/>
      <c r="U482" s="331"/>
      <c r="V482" s="331"/>
      <c r="W482" s="331"/>
      <c r="X482" s="331"/>
      <c r="Y482" s="331"/>
      <c r="Z482" s="331"/>
      <c r="AA482" s="331"/>
      <c r="AB482" s="331"/>
      <c r="AC482" s="331"/>
      <c r="AD482" s="331"/>
      <c r="AE482" s="331"/>
      <c r="AF482" s="331"/>
      <c r="AG482" s="331"/>
      <c r="AH482" s="331"/>
      <c r="AI482" s="331"/>
      <c r="AJ482" s="331"/>
      <c r="AK482" s="331"/>
      <c r="AL482" s="331"/>
    </row>
    <row r="483" ht="15.75" customHeight="1">
      <c r="A483" s="331"/>
      <c r="B483" s="331"/>
      <c r="C483" s="331"/>
      <c r="D483" s="331"/>
      <c r="E483" s="331"/>
      <c r="F483" s="331"/>
      <c r="G483" s="331"/>
      <c r="H483" s="331"/>
      <c r="I483" s="331"/>
      <c r="J483" s="331"/>
      <c r="K483" s="331"/>
      <c r="L483" s="331"/>
      <c r="M483" s="331"/>
      <c r="N483" s="331"/>
      <c r="O483" s="331"/>
      <c r="P483" s="331"/>
      <c r="Q483" s="331"/>
      <c r="R483" s="331"/>
      <c r="S483" s="331"/>
      <c r="T483" s="331"/>
      <c r="U483" s="331"/>
      <c r="V483" s="331"/>
      <c r="W483" s="331"/>
      <c r="X483" s="331"/>
      <c r="Y483" s="331"/>
      <c r="Z483" s="331"/>
      <c r="AA483" s="331"/>
      <c r="AB483" s="331"/>
      <c r="AC483" s="331"/>
      <c r="AD483" s="331"/>
      <c r="AE483" s="331"/>
      <c r="AF483" s="331"/>
      <c r="AG483" s="331"/>
      <c r="AH483" s="331"/>
      <c r="AI483" s="331"/>
      <c r="AJ483" s="331"/>
      <c r="AK483" s="331"/>
      <c r="AL483" s="331"/>
    </row>
    <row r="484" ht="15.75" customHeight="1">
      <c r="A484" s="331"/>
      <c r="B484" s="331"/>
      <c r="C484" s="331"/>
      <c r="D484" s="331"/>
      <c r="E484" s="331"/>
      <c r="F484" s="331"/>
      <c r="G484" s="331"/>
      <c r="H484" s="331"/>
      <c r="I484" s="331"/>
      <c r="J484" s="331"/>
      <c r="K484" s="331"/>
      <c r="L484" s="331"/>
      <c r="M484" s="331"/>
      <c r="N484" s="331"/>
      <c r="O484" s="331"/>
      <c r="P484" s="331"/>
      <c r="Q484" s="331"/>
      <c r="R484" s="331"/>
      <c r="S484" s="331"/>
      <c r="T484" s="331"/>
      <c r="U484" s="331"/>
      <c r="V484" s="331"/>
      <c r="W484" s="331"/>
      <c r="X484" s="331"/>
      <c r="Y484" s="331"/>
      <c r="Z484" s="331"/>
      <c r="AA484" s="331"/>
      <c r="AB484" s="331"/>
      <c r="AC484" s="331"/>
      <c r="AD484" s="331"/>
      <c r="AE484" s="331"/>
      <c r="AF484" s="331"/>
      <c r="AG484" s="331"/>
      <c r="AH484" s="331"/>
      <c r="AI484" s="331"/>
      <c r="AJ484" s="331"/>
      <c r="AK484" s="331"/>
      <c r="AL484" s="331"/>
    </row>
    <row r="485" ht="15.75" customHeight="1">
      <c r="A485" s="331"/>
      <c r="B485" s="331"/>
      <c r="C485" s="331"/>
      <c r="D485" s="331"/>
      <c r="E485" s="331"/>
      <c r="F485" s="331"/>
      <c r="G485" s="331"/>
      <c r="H485" s="331"/>
      <c r="I485" s="331"/>
      <c r="J485" s="331"/>
      <c r="K485" s="331"/>
      <c r="L485" s="331"/>
      <c r="M485" s="331"/>
      <c r="N485" s="331"/>
      <c r="O485" s="331"/>
      <c r="P485" s="331"/>
      <c r="Q485" s="331"/>
      <c r="R485" s="331"/>
      <c r="S485" s="331"/>
      <c r="T485" s="331"/>
      <c r="U485" s="331"/>
      <c r="V485" s="331"/>
      <c r="W485" s="331"/>
      <c r="X485" s="331"/>
      <c r="Y485" s="331"/>
      <c r="Z485" s="331"/>
      <c r="AA485" s="331"/>
      <c r="AB485" s="331"/>
      <c r="AC485" s="331"/>
      <c r="AD485" s="331"/>
      <c r="AE485" s="331"/>
      <c r="AF485" s="331"/>
      <c r="AG485" s="331"/>
      <c r="AH485" s="331"/>
      <c r="AI485" s="331"/>
      <c r="AJ485" s="331"/>
      <c r="AK485" s="331"/>
      <c r="AL485" s="331"/>
    </row>
    <row r="486" ht="15.75" customHeight="1">
      <c r="A486" s="331"/>
      <c r="B486" s="331"/>
      <c r="C486" s="331"/>
      <c r="D486" s="331"/>
      <c r="E486" s="331"/>
      <c r="F486" s="331"/>
      <c r="G486" s="331"/>
      <c r="H486" s="331"/>
      <c r="I486" s="331"/>
      <c r="J486" s="331"/>
      <c r="K486" s="331"/>
      <c r="L486" s="331"/>
      <c r="M486" s="331"/>
      <c r="N486" s="331"/>
      <c r="O486" s="331"/>
      <c r="P486" s="331"/>
      <c r="Q486" s="331"/>
      <c r="R486" s="331"/>
      <c r="S486" s="331"/>
      <c r="T486" s="331"/>
      <c r="U486" s="331"/>
      <c r="V486" s="331"/>
      <c r="W486" s="331"/>
      <c r="X486" s="331"/>
      <c r="Y486" s="331"/>
      <c r="Z486" s="331"/>
      <c r="AA486" s="331"/>
      <c r="AB486" s="331"/>
      <c r="AC486" s="331"/>
      <c r="AD486" s="331"/>
      <c r="AE486" s="331"/>
      <c r="AF486" s="331"/>
      <c r="AG486" s="331"/>
      <c r="AH486" s="331"/>
      <c r="AI486" s="331"/>
      <c r="AJ486" s="331"/>
      <c r="AK486" s="331"/>
      <c r="AL486" s="331"/>
    </row>
    <row r="487" ht="15.75" customHeight="1">
      <c r="A487" s="331"/>
      <c r="B487" s="331"/>
      <c r="C487" s="331"/>
      <c r="D487" s="331"/>
      <c r="E487" s="331"/>
      <c r="F487" s="331"/>
      <c r="G487" s="331"/>
      <c r="H487" s="331"/>
      <c r="I487" s="331"/>
      <c r="J487" s="331"/>
      <c r="K487" s="331"/>
      <c r="L487" s="331"/>
      <c r="M487" s="331"/>
      <c r="N487" s="331"/>
      <c r="O487" s="331"/>
      <c r="P487" s="331"/>
      <c r="Q487" s="331"/>
      <c r="R487" s="331"/>
      <c r="S487" s="331"/>
      <c r="T487" s="331"/>
      <c r="U487" s="331"/>
      <c r="V487" s="331"/>
      <c r="W487" s="331"/>
      <c r="X487" s="331"/>
      <c r="Y487" s="331"/>
      <c r="Z487" s="331"/>
      <c r="AA487" s="331"/>
      <c r="AB487" s="331"/>
      <c r="AC487" s="331"/>
      <c r="AD487" s="331"/>
      <c r="AE487" s="331"/>
      <c r="AF487" s="331"/>
      <c r="AG487" s="331"/>
      <c r="AH487" s="331"/>
      <c r="AI487" s="331"/>
      <c r="AJ487" s="331"/>
      <c r="AK487" s="331"/>
      <c r="AL487" s="331"/>
    </row>
    <row r="488" ht="15.75" customHeight="1">
      <c r="A488" s="331"/>
      <c r="B488" s="331"/>
      <c r="C488" s="331"/>
      <c r="D488" s="331"/>
      <c r="E488" s="331"/>
      <c r="F488" s="331"/>
      <c r="G488" s="331"/>
      <c r="H488" s="331"/>
      <c r="I488" s="331"/>
      <c r="J488" s="331"/>
      <c r="K488" s="331"/>
      <c r="L488" s="331"/>
      <c r="M488" s="331"/>
      <c r="N488" s="331"/>
      <c r="O488" s="331"/>
      <c r="P488" s="331"/>
      <c r="Q488" s="331"/>
      <c r="R488" s="331"/>
      <c r="S488" s="331"/>
      <c r="T488" s="331"/>
      <c r="U488" s="331"/>
      <c r="V488" s="331"/>
      <c r="W488" s="331"/>
      <c r="X488" s="331"/>
      <c r="Y488" s="331"/>
      <c r="Z488" s="331"/>
      <c r="AA488" s="331"/>
      <c r="AB488" s="331"/>
      <c r="AC488" s="331"/>
      <c r="AD488" s="331"/>
      <c r="AE488" s="331"/>
      <c r="AF488" s="331"/>
      <c r="AG488" s="331"/>
      <c r="AH488" s="331"/>
      <c r="AI488" s="331"/>
      <c r="AJ488" s="331"/>
      <c r="AK488" s="331"/>
      <c r="AL488" s="331"/>
    </row>
    <row r="489" ht="15.75" customHeight="1">
      <c r="A489" s="331"/>
      <c r="B489" s="331"/>
      <c r="C489" s="331"/>
      <c r="D489" s="331"/>
      <c r="E489" s="331"/>
      <c r="F489" s="331"/>
      <c r="G489" s="331"/>
      <c r="H489" s="331"/>
      <c r="I489" s="331"/>
      <c r="J489" s="331"/>
      <c r="K489" s="331"/>
      <c r="L489" s="331"/>
      <c r="M489" s="331"/>
      <c r="N489" s="331"/>
      <c r="O489" s="331"/>
      <c r="P489" s="331"/>
      <c r="Q489" s="331"/>
      <c r="R489" s="331"/>
      <c r="S489" s="331"/>
      <c r="T489" s="331"/>
      <c r="U489" s="331"/>
      <c r="V489" s="331"/>
      <c r="W489" s="331"/>
      <c r="X489" s="331"/>
      <c r="Y489" s="331"/>
      <c r="Z489" s="331"/>
      <c r="AA489" s="331"/>
      <c r="AB489" s="331"/>
      <c r="AC489" s="331"/>
      <c r="AD489" s="331"/>
      <c r="AE489" s="331"/>
      <c r="AF489" s="331"/>
      <c r="AG489" s="331"/>
      <c r="AH489" s="331"/>
      <c r="AI489" s="331"/>
      <c r="AJ489" s="331"/>
      <c r="AK489" s="331"/>
      <c r="AL489" s="331"/>
    </row>
    <row r="490" ht="15.75" customHeight="1">
      <c r="A490" s="331"/>
      <c r="B490" s="331"/>
      <c r="C490" s="331"/>
      <c r="D490" s="331"/>
      <c r="E490" s="331"/>
      <c r="F490" s="331"/>
      <c r="G490" s="331"/>
      <c r="H490" s="331"/>
      <c r="I490" s="331"/>
      <c r="J490" s="331"/>
      <c r="K490" s="331"/>
      <c r="L490" s="331"/>
      <c r="M490" s="331"/>
      <c r="N490" s="331"/>
      <c r="O490" s="331"/>
      <c r="P490" s="331"/>
      <c r="Q490" s="331"/>
      <c r="R490" s="331"/>
      <c r="S490" s="331"/>
      <c r="T490" s="331"/>
      <c r="U490" s="331"/>
      <c r="V490" s="331"/>
      <c r="W490" s="331"/>
      <c r="X490" s="331"/>
      <c r="Y490" s="331"/>
      <c r="Z490" s="331"/>
      <c r="AA490" s="331"/>
      <c r="AB490" s="331"/>
      <c r="AC490" s="331"/>
      <c r="AD490" s="331"/>
      <c r="AE490" s="331"/>
      <c r="AF490" s="331"/>
      <c r="AG490" s="331"/>
      <c r="AH490" s="331"/>
      <c r="AI490" s="331"/>
      <c r="AJ490" s="331"/>
      <c r="AK490" s="331"/>
      <c r="AL490" s="331"/>
    </row>
    <row r="491" ht="15.75" customHeight="1">
      <c r="A491" s="331"/>
      <c r="B491" s="331"/>
      <c r="C491" s="331"/>
      <c r="D491" s="331"/>
      <c r="E491" s="331"/>
      <c r="F491" s="331"/>
      <c r="G491" s="331"/>
      <c r="H491" s="331"/>
      <c r="I491" s="331"/>
      <c r="J491" s="331"/>
      <c r="K491" s="331"/>
      <c r="L491" s="331"/>
      <c r="M491" s="331"/>
      <c r="N491" s="331"/>
      <c r="O491" s="331"/>
      <c r="P491" s="331"/>
      <c r="Q491" s="331"/>
      <c r="R491" s="331"/>
      <c r="S491" s="331"/>
      <c r="T491" s="331"/>
      <c r="U491" s="331"/>
      <c r="V491" s="331"/>
      <c r="W491" s="331"/>
      <c r="X491" s="331"/>
      <c r="Y491" s="331"/>
      <c r="Z491" s="331"/>
      <c r="AA491" s="331"/>
      <c r="AB491" s="331"/>
      <c r="AC491" s="331"/>
      <c r="AD491" s="331"/>
      <c r="AE491" s="331"/>
      <c r="AF491" s="331"/>
      <c r="AG491" s="331"/>
      <c r="AH491" s="331"/>
      <c r="AI491" s="331"/>
      <c r="AJ491" s="331"/>
      <c r="AK491" s="331"/>
      <c r="AL491" s="331"/>
    </row>
    <row r="492" ht="15.75" customHeight="1">
      <c r="A492" s="331"/>
      <c r="B492" s="331"/>
      <c r="C492" s="331"/>
      <c r="D492" s="331"/>
      <c r="E492" s="331"/>
      <c r="F492" s="331"/>
      <c r="G492" s="331"/>
      <c r="H492" s="331"/>
      <c r="I492" s="331"/>
      <c r="J492" s="331"/>
      <c r="K492" s="331"/>
      <c r="L492" s="331"/>
      <c r="M492" s="331"/>
      <c r="N492" s="331"/>
      <c r="O492" s="331"/>
      <c r="P492" s="331"/>
      <c r="Q492" s="331"/>
      <c r="R492" s="331"/>
      <c r="S492" s="331"/>
      <c r="T492" s="331"/>
      <c r="U492" s="331"/>
      <c r="V492" s="331"/>
      <c r="W492" s="331"/>
      <c r="X492" s="331"/>
      <c r="Y492" s="331"/>
      <c r="Z492" s="331"/>
      <c r="AA492" s="331"/>
      <c r="AB492" s="331"/>
      <c r="AC492" s="331"/>
      <c r="AD492" s="331"/>
      <c r="AE492" s="331"/>
      <c r="AF492" s="331"/>
      <c r="AG492" s="331"/>
      <c r="AH492" s="331"/>
      <c r="AI492" s="331"/>
      <c r="AJ492" s="331"/>
      <c r="AK492" s="331"/>
      <c r="AL492" s="331"/>
    </row>
    <row r="493" ht="15.75" customHeight="1">
      <c r="A493" s="331"/>
      <c r="B493" s="331"/>
      <c r="C493" s="331"/>
      <c r="D493" s="331"/>
      <c r="E493" s="331"/>
      <c r="F493" s="331"/>
      <c r="G493" s="331"/>
      <c r="H493" s="331"/>
      <c r="I493" s="331"/>
      <c r="J493" s="331"/>
      <c r="K493" s="331"/>
      <c r="L493" s="331"/>
      <c r="M493" s="331"/>
      <c r="N493" s="331"/>
      <c r="O493" s="331"/>
      <c r="P493" s="331"/>
      <c r="Q493" s="331"/>
      <c r="R493" s="331"/>
      <c r="S493" s="331"/>
      <c r="T493" s="331"/>
      <c r="U493" s="331"/>
      <c r="V493" s="331"/>
      <c r="W493" s="331"/>
      <c r="X493" s="331"/>
      <c r="Y493" s="331"/>
      <c r="Z493" s="331"/>
      <c r="AA493" s="331"/>
      <c r="AB493" s="331"/>
      <c r="AC493" s="331"/>
      <c r="AD493" s="331"/>
      <c r="AE493" s="331"/>
      <c r="AF493" s="331"/>
      <c r="AG493" s="331"/>
      <c r="AH493" s="331"/>
      <c r="AI493" s="331"/>
      <c r="AJ493" s="331"/>
      <c r="AK493" s="331"/>
      <c r="AL493" s="331"/>
    </row>
    <row r="494" ht="15.75" customHeight="1">
      <c r="A494" s="331"/>
      <c r="B494" s="331"/>
      <c r="C494" s="331"/>
      <c r="D494" s="331"/>
      <c r="E494" s="331"/>
      <c r="F494" s="331"/>
      <c r="G494" s="331"/>
      <c r="H494" s="331"/>
      <c r="I494" s="331"/>
      <c r="J494" s="331"/>
      <c r="K494" s="331"/>
      <c r="L494" s="331"/>
      <c r="M494" s="331"/>
      <c r="N494" s="331"/>
      <c r="O494" s="331"/>
      <c r="P494" s="331"/>
      <c r="Q494" s="331"/>
      <c r="R494" s="331"/>
      <c r="S494" s="331"/>
      <c r="T494" s="331"/>
      <c r="U494" s="331"/>
      <c r="V494" s="331"/>
      <c r="W494" s="331"/>
      <c r="X494" s="331"/>
      <c r="Y494" s="331"/>
      <c r="Z494" s="331"/>
      <c r="AA494" s="331"/>
      <c r="AB494" s="331"/>
      <c r="AC494" s="331"/>
      <c r="AD494" s="331"/>
      <c r="AE494" s="331"/>
      <c r="AF494" s="331"/>
      <c r="AG494" s="331"/>
      <c r="AH494" s="331"/>
      <c r="AI494" s="331"/>
      <c r="AJ494" s="331"/>
      <c r="AK494" s="331"/>
      <c r="AL494" s="331"/>
    </row>
    <row r="495" ht="15.75" customHeight="1">
      <c r="A495" s="331"/>
      <c r="B495" s="331"/>
      <c r="C495" s="331"/>
      <c r="D495" s="331"/>
      <c r="E495" s="331"/>
      <c r="F495" s="331"/>
      <c r="G495" s="331"/>
      <c r="H495" s="331"/>
      <c r="I495" s="331"/>
      <c r="J495" s="331"/>
      <c r="K495" s="331"/>
      <c r="L495" s="331"/>
      <c r="M495" s="331"/>
      <c r="N495" s="331"/>
      <c r="O495" s="331"/>
      <c r="P495" s="331"/>
      <c r="Q495" s="331"/>
      <c r="R495" s="331"/>
      <c r="S495" s="331"/>
      <c r="T495" s="331"/>
      <c r="U495" s="331"/>
      <c r="V495" s="331"/>
      <c r="W495" s="331"/>
      <c r="X495" s="331"/>
      <c r="Y495" s="331"/>
      <c r="Z495" s="331"/>
      <c r="AA495" s="331"/>
      <c r="AB495" s="331"/>
      <c r="AC495" s="331"/>
      <c r="AD495" s="331"/>
      <c r="AE495" s="331"/>
      <c r="AF495" s="331"/>
      <c r="AG495" s="331"/>
      <c r="AH495" s="331"/>
      <c r="AI495" s="331"/>
      <c r="AJ495" s="331"/>
      <c r="AK495" s="331"/>
      <c r="AL495" s="331"/>
    </row>
    <row r="496" ht="15.75" customHeight="1">
      <c r="A496" s="331"/>
      <c r="B496" s="331"/>
      <c r="C496" s="331"/>
      <c r="D496" s="331"/>
      <c r="E496" s="331"/>
      <c r="F496" s="331"/>
      <c r="G496" s="331"/>
      <c r="H496" s="331"/>
      <c r="I496" s="331"/>
      <c r="J496" s="331"/>
      <c r="K496" s="331"/>
      <c r="L496" s="331"/>
      <c r="M496" s="331"/>
      <c r="N496" s="331"/>
      <c r="O496" s="331"/>
      <c r="P496" s="331"/>
      <c r="Q496" s="331"/>
      <c r="R496" s="331"/>
      <c r="S496" s="331"/>
      <c r="T496" s="331"/>
      <c r="U496" s="331"/>
      <c r="V496" s="331"/>
      <c r="W496" s="331"/>
      <c r="X496" s="331"/>
      <c r="Y496" s="331"/>
      <c r="Z496" s="331"/>
      <c r="AA496" s="331"/>
      <c r="AB496" s="331"/>
      <c r="AC496" s="331"/>
      <c r="AD496" s="331"/>
      <c r="AE496" s="331"/>
      <c r="AF496" s="331"/>
      <c r="AG496" s="331"/>
      <c r="AH496" s="331"/>
      <c r="AI496" s="331"/>
      <c r="AJ496" s="331"/>
      <c r="AK496" s="331"/>
      <c r="AL496" s="331"/>
    </row>
    <row r="497" ht="15.75" customHeight="1">
      <c r="A497" s="331"/>
      <c r="B497" s="331"/>
      <c r="C497" s="331"/>
      <c r="D497" s="331"/>
      <c r="E497" s="331"/>
      <c r="F497" s="331"/>
      <c r="G497" s="331"/>
      <c r="H497" s="331"/>
      <c r="I497" s="331"/>
      <c r="J497" s="331"/>
      <c r="K497" s="331"/>
      <c r="L497" s="331"/>
      <c r="M497" s="331"/>
      <c r="N497" s="331"/>
      <c r="O497" s="331"/>
      <c r="P497" s="331"/>
      <c r="Q497" s="331"/>
      <c r="R497" s="331"/>
      <c r="S497" s="331"/>
      <c r="T497" s="331"/>
      <c r="U497" s="331"/>
      <c r="V497" s="331"/>
      <c r="W497" s="331"/>
      <c r="X497" s="331"/>
      <c r="Y497" s="331"/>
      <c r="Z497" s="331"/>
      <c r="AA497" s="331"/>
      <c r="AB497" s="331"/>
      <c r="AC497" s="331"/>
      <c r="AD497" s="331"/>
      <c r="AE497" s="331"/>
      <c r="AF497" s="331"/>
      <c r="AG497" s="331"/>
      <c r="AH497" s="331"/>
      <c r="AI497" s="331"/>
      <c r="AJ497" s="331"/>
      <c r="AK497" s="331"/>
      <c r="AL497" s="331"/>
    </row>
    <row r="498" ht="15.75" customHeight="1">
      <c r="A498" s="331"/>
      <c r="B498" s="331"/>
      <c r="C498" s="331"/>
      <c r="D498" s="331"/>
      <c r="E498" s="331"/>
      <c r="F498" s="331"/>
      <c r="G498" s="331"/>
      <c r="H498" s="331"/>
      <c r="I498" s="331"/>
      <c r="J498" s="331"/>
      <c r="K498" s="331"/>
      <c r="L498" s="331"/>
      <c r="M498" s="331"/>
      <c r="N498" s="331"/>
      <c r="O498" s="331"/>
      <c r="P498" s="331"/>
      <c r="Q498" s="331"/>
      <c r="R498" s="331"/>
      <c r="S498" s="331"/>
      <c r="T498" s="331"/>
      <c r="U498" s="331"/>
      <c r="V498" s="331"/>
      <c r="W498" s="331"/>
      <c r="X498" s="331"/>
      <c r="Y498" s="331"/>
      <c r="Z498" s="331"/>
      <c r="AA498" s="331"/>
      <c r="AB498" s="331"/>
      <c r="AC498" s="331"/>
      <c r="AD498" s="331"/>
      <c r="AE498" s="331"/>
      <c r="AF498" s="331"/>
      <c r="AG498" s="331"/>
      <c r="AH498" s="331"/>
      <c r="AI498" s="331"/>
      <c r="AJ498" s="331"/>
      <c r="AK498" s="331"/>
      <c r="AL498" s="331"/>
    </row>
    <row r="499" ht="15.75" customHeight="1">
      <c r="A499" s="331"/>
      <c r="B499" s="331"/>
      <c r="C499" s="331"/>
      <c r="D499" s="331"/>
      <c r="E499" s="331"/>
      <c r="F499" s="331"/>
      <c r="G499" s="331"/>
      <c r="H499" s="331"/>
      <c r="I499" s="331"/>
      <c r="J499" s="331"/>
      <c r="K499" s="331"/>
      <c r="L499" s="331"/>
      <c r="M499" s="331"/>
      <c r="N499" s="331"/>
      <c r="O499" s="331"/>
      <c r="P499" s="331"/>
      <c r="Q499" s="331"/>
      <c r="R499" s="331"/>
      <c r="S499" s="331"/>
      <c r="T499" s="331"/>
      <c r="U499" s="331"/>
      <c r="V499" s="331"/>
      <c r="W499" s="331"/>
      <c r="X499" s="331"/>
      <c r="Y499" s="331"/>
      <c r="Z499" s="331"/>
      <c r="AA499" s="331"/>
      <c r="AB499" s="331"/>
      <c r="AC499" s="331"/>
      <c r="AD499" s="331"/>
      <c r="AE499" s="331"/>
      <c r="AF499" s="331"/>
      <c r="AG499" s="331"/>
      <c r="AH499" s="331"/>
      <c r="AI499" s="331"/>
      <c r="AJ499" s="331"/>
      <c r="AK499" s="331"/>
      <c r="AL499" s="331"/>
    </row>
    <row r="500" ht="15.75" customHeight="1">
      <c r="A500" s="331"/>
      <c r="B500" s="331"/>
      <c r="C500" s="331"/>
      <c r="D500" s="331"/>
      <c r="E500" s="331"/>
      <c r="F500" s="331"/>
      <c r="G500" s="331"/>
      <c r="H500" s="331"/>
      <c r="I500" s="331"/>
      <c r="J500" s="331"/>
      <c r="K500" s="331"/>
      <c r="L500" s="331"/>
      <c r="M500" s="331"/>
      <c r="N500" s="331"/>
      <c r="O500" s="331"/>
      <c r="P500" s="331"/>
      <c r="Q500" s="331"/>
      <c r="R500" s="331"/>
      <c r="S500" s="331"/>
      <c r="T500" s="331"/>
      <c r="U500" s="331"/>
      <c r="V500" s="331"/>
      <c r="W500" s="331"/>
      <c r="X500" s="331"/>
      <c r="Y500" s="331"/>
      <c r="Z500" s="331"/>
      <c r="AA500" s="331"/>
      <c r="AB500" s="331"/>
      <c r="AC500" s="331"/>
      <c r="AD500" s="331"/>
      <c r="AE500" s="331"/>
      <c r="AF500" s="331"/>
      <c r="AG500" s="331"/>
      <c r="AH500" s="331"/>
      <c r="AI500" s="331"/>
      <c r="AJ500" s="331"/>
      <c r="AK500" s="331"/>
      <c r="AL500" s="331"/>
    </row>
    <row r="501" ht="15.75" customHeight="1">
      <c r="A501" s="331"/>
      <c r="B501" s="331"/>
      <c r="C501" s="331"/>
      <c r="D501" s="331"/>
      <c r="E501" s="331"/>
      <c r="F501" s="331"/>
      <c r="G501" s="331"/>
      <c r="H501" s="331"/>
      <c r="I501" s="331"/>
      <c r="J501" s="331"/>
      <c r="K501" s="331"/>
      <c r="L501" s="331"/>
      <c r="M501" s="331"/>
      <c r="N501" s="331"/>
      <c r="O501" s="331"/>
      <c r="P501" s="331"/>
      <c r="Q501" s="331"/>
      <c r="R501" s="331"/>
      <c r="S501" s="331"/>
      <c r="T501" s="331"/>
      <c r="U501" s="331"/>
      <c r="V501" s="331"/>
      <c r="W501" s="331"/>
      <c r="X501" s="331"/>
      <c r="Y501" s="331"/>
      <c r="Z501" s="331"/>
      <c r="AA501" s="331"/>
      <c r="AB501" s="331"/>
      <c r="AC501" s="331"/>
      <c r="AD501" s="331"/>
      <c r="AE501" s="331"/>
      <c r="AF501" s="331"/>
      <c r="AG501" s="331"/>
      <c r="AH501" s="331"/>
      <c r="AI501" s="331"/>
      <c r="AJ501" s="331"/>
      <c r="AK501" s="331"/>
      <c r="AL501" s="331"/>
    </row>
    <row r="502" ht="15.75" customHeight="1">
      <c r="A502" s="331"/>
      <c r="B502" s="331"/>
      <c r="C502" s="331"/>
      <c r="D502" s="331"/>
      <c r="E502" s="331"/>
      <c r="F502" s="331"/>
      <c r="G502" s="331"/>
      <c r="H502" s="331"/>
      <c r="I502" s="331"/>
      <c r="J502" s="331"/>
      <c r="K502" s="331"/>
      <c r="L502" s="331"/>
      <c r="M502" s="331"/>
      <c r="N502" s="331"/>
      <c r="O502" s="331"/>
      <c r="P502" s="331"/>
      <c r="Q502" s="331"/>
      <c r="R502" s="331"/>
      <c r="S502" s="331"/>
      <c r="T502" s="331"/>
      <c r="U502" s="331"/>
      <c r="V502" s="331"/>
      <c r="W502" s="331"/>
      <c r="X502" s="331"/>
      <c r="Y502" s="331"/>
      <c r="Z502" s="331"/>
      <c r="AA502" s="331"/>
      <c r="AB502" s="331"/>
      <c r="AC502" s="331"/>
      <c r="AD502" s="331"/>
      <c r="AE502" s="331"/>
      <c r="AF502" s="331"/>
      <c r="AG502" s="331"/>
      <c r="AH502" s="331"/>
      <c r="AI502" s="331"/>
      <c r="AJ502" s="331"/>
      <c r="AK502" s="331"/>
      <c r="AL502" s="331"/>
    </row>
    <row r="503" ht="15.75" customHeight="1">
      <c r="A503" s="331"/>
      <c r="B503" s="331"/>
      <c r="C503" s="331"/>
      <c r="D503" s="331"/>
      <c r="E503" s="331"/>
      <c r="F503" s="331"/>
      <c r="G503" s="331"/>
      <c r="H503" s="331"/>
      <c r="I503" s="331"/>
      <c r="J503" s="331"/>
      <c r="K503" s="331"/>
      <c r="L503" s="331"/>
      <c r="M503" s="331"/>
      <c r="N503" s="331"/>
      <c r="O503" s="331"/>
      <c r="P503" s="331"/>
      <c r="Q503" s="331"/>
      <c r="R503" s="331"/>
      <c r="S503" s="331"/>
      <c r="T503" s="331"/>
      <c r="U503" s="331"/>
      <c r="V503" s="331"/>
      <c r="W503" s="331"/>
      <c r="X503" s="331"/>
      <c r="Y503" s="331"/>
      <c r="Z503" s="331"/>
      <c r="AA503" s="331"/>
      <c r="AB503" s="331"/>
      <c r="AC503" s="331"/>
      <c r="AD503" s="331"/>
      <c r="AE503" s="331"/>
      <c r="AF503" s="331"/>
      <c r="AG503" s="331"/>
      <c r="AH503" s="331"/>
      <c r="AI503" s="331"/>
      <c r="AJ503" s="331"/>
      <c r="AK503" s="331"/>
      <c r="AL503" s="331"/>
    </row>
    <row r="504" ht="15.75" customHeight="1">
      <c r="A504" s="331"/>
      <c r="B504" s="331"/>
      <c r="C504" s="331"/>
      <c r="D504" s="331"/>
      <c r="E504" s="331"/>
      <c r="F504" s="331"/>
      <c r="G504" s="331"/>
      <c r="H504" s="331"/>
      <c r="I504" s="331"/>
      <c r="J504" s="331"/>
      <c r="K504" s="331"/>
      <c r="L504" s="331"/>
      <c r="M504" s="331"/>
      <c r="N504" s="331"/>
      <c r="O504" s="331"/>
      <c r="P504" s="331"/>
      <c r="Q504" s="331"/>
      <c r="R504" s="331"/>
      <c r="S504" s="331"/>
      <c r="T504" s="331"/>
      <c r="U504" s="331"/>
      <c r="V504" s="331"/>
      <c r="W504" s="331"/>
      <c r="X504" s="331"/>
      <c r="Y504" s="331"/>
      <c r="Z504" s="331"/>
      <c r="AA504" s="331"/>
      <c r="AB504" s="331"/>
      <c r="AC504" s="331"/>
      <c r="AD504" s="331"/>
      <c r="AE504" s="331"/>
      <c r="AF504" s="331"/>
      <c r="AG504" s="331"/>
      <c r="AH504" s="331"/>
      <c r="AI504" s="331"/>
      <c r="AJ504" s="331"/>
      <c r="AK504" s="331"/>
      <c r="AL504" s="331"/>
    </row>
    <row r="505" ht="15.75" customHeight="1">
      <c r="A505" s="331"/>
      <c r="B505" s="331"/>
      <c r="C505" s="331"/>
      <c r="D505" s="331"/>
      <c r="E505" s="331"/>
      <c r="F505" s="331"/>
      <c r="G505" s="331"/>
      <c r="H505" s="331"/>
      <c r="I505" s="331"/>
      <c r="J505" s="331"/>
      <c r="K505" s="331"/>
      <c r="L505" s="331"/>
      <c r="M505" s="331"/>
      <c r="N505" s="331"/>
      <c r="O505" s="331"/>
      <c r="P505" s="331"/>
      <c r="Q505" s="331"/>
      <c r="R505" s="331"/>
      <c r="S505" s="331"/>
      <c r="T505" s="331"/>
      <c r="U505" s="331"/>
      <c r="V505" s="331"/>
      <c r="W505" s="331"/>
      <c r="X505" s="331"/>
      <c r="Y505" s="331"/>
      <c r="Z505" s="331"/>
      <c r="AA505" s="331"/>
      <c r="AB505" s="331"/>
      <c r="AC505" s="331"/>
      <c r="AD505" s="331"/>
      <c r="AE505" s="331"/>
      <c r="AF505" s="331"/>
      <c r="AG505" s="331"/>
      <c r="AH505" s="331"/>
      <c r="AI505" s="331"/>
      <c r="AJ505" s="331"/>
      <c r="AK505" s="331"/>
      <c r="AL505" s="331"/>
    </row>
    <row r="506" ht="15.75" customHeight="1">
      <c r="A506" s="331"/>
      <c r="B506" s="331"/>
      <c r="C506" s="331"/>
      <c r="D506" s="331"/>
      <c r="E506" s="331"/>
      <c r="F506" s="331"/>
      <c r="G506" s="331"/>
      <c r="H506" s="331"/>
      <c r="I506" s="331"/>
      <c r="J506" s="331"/>
      <c r="K506" s="331"/>
      <c r="L506" s="331"/>
      <c r="M506" s="331"/>
      <c r="N506" s="331"/>
      <c r="O506" s="331"/>
      <c r="P506" s="331"/>
      <c r="Q506" s="331"/>
      <c r="R506" s="331"/>
      <c r="S506" s="331"/>
      <c r="T506" s="331"/>
      <c r="U506" s="331"/>
      <c r="V506" s="331"/>
      <c r="W506" s="331"/>
      <c r="X506" s="331"/>
      <c r="Y506" s="331"/>
      <c r="Z506" s="331"/>
      <c r="AA506" s="331"/>
      <c r="AB506" s="331"/>
      <c r="AC506" s="331"/>
      <c r="AD506" s="331"/>
      <c r="AE506" s="331"/>
      <c r="AF506" s="331"/>
      <c r="AG506" s="331"/>
      <c r="AH506" s="331"/>
      <c r="AI506" s="331"/>
      <c r="AJ506" s="331"/>
      <c r="AK506" s="331"/>
      <c r="AL506" s="331"/>
    </row>
    <row r="507" ht="15.75" customHeight="1">
      <c r="A507" s="331"/>
      <c r="B507" s="331"/>
      <c r="C507" s="331"/>
      <c r="D507" s="331"/>
      <c r="E507" s="331"/>
      <c r="F507" s="331"/>
      <c r="G507" s="331"/>
      <c r="H507" s="331"/>
      <c r="I507" s="331"/>
      <c r="J507" s="331"/>
      <c r="K507" s="331"/>
      <c r="L507" s="331"/>
      <c r="M507" s="331"/>
      <c r="N507" s="331"/>
      <c r="O507" s="331"/>
      <c r="P507" s="331"/>
      <c r="Q507" s="331"/>
      <c r="R507" s="331"/>
      <c r="S507" s="331"/>
      <c r="T507" s="331"/>
      <c r="U507" s="331"/>
      <c r="V507" s="331"/>
      <c r="W507" s="331"/>
      <c r="X507" s="331"/>
      <c r="Y507" s="331"/>
      <c r="Z507" s="331"/>
      <c r="AA507" s="331"/>
      <c r="AB507" s="331"/>
      <c r="AC507" s="331"/>
      <c r="AD507" s="331"/>
      <c r="AE507" s="331"/>
      <c r="AF507" s="331"/>
      <c r="AG507" s="331"/>
      <c r="AH507" s="331"/>
      <c r="AI507" s="331"/>
      <c r="AJ507" s="331"/>
      <c r="AK507" s="331"/>
      <c r="AL507" s="331"/>
    </row>
    <row r="508" ht="15.75" customHeight="1">
      <c r="A508" s="331"/>
      <c r="B508" s="331"/>
      <c r="C508" s="331"/>
      <c r="D508" s="331"/>
      <c r="E508" s="331"/>
      <c r="F508" s="331"/>
      <c r="G508" s="331"/>
      <c r="H508" s="331"/>
      <c r="I508" s="331"/>
      <c r="J508" s="331"/>
      <c r="K508" s="331"/>
      <c r="L508" s="331"/>
      <c r="M508" s="331"/>
      <c r="N508" s="331"/>
      <c r="O508" s="331"/>
      <c r="P508" s="331"/>
      <c r="Q508" s="331"/>
      <c r="R508" s="331"/>
      <c r="S508" s="331"/>
      <c r="T508" s="331"/>
      <c r="U508" s="331"/>
      <c r="V508" s="331"/>
      <c r="W508" s="331"/>
      <c r="X508" s="331"/>
      <c r="Y508" s="331"/>
      <c r="Z508" s="331"/>
      <c r="AA508" s="331"/>
      <c r="AB508" s="331"/>
      <c r="AC508" s="331"/>
      <c r="AD508" s="331"/>
      <c r="AE508" s="331"/>
      <c r="AF508" s="331"/>
      <c r="AG508" s="331"/>
      <c r="AH508" s="331"/>
      <c r="AI508" s="331"/>
      <c r="AJ508" s="331"/>
      <c r="AK508" s="331"/>
      <c r="AL508" s="331"/>
    </row>
    <row r="509" ht="15.75" customHeight="1">
      <c r="A509" s="331"/>
      <c r="B509" s="331"/>
      <c r="C509" s="331"/>
      <c r="D509" s="331"/>
      <c r="E509" s="331"/>
      <c r="F509" s="331"/>
      <c r="G509" s="331"/>
      <c r="H509" s="331"/>
      <c r="I509" s="331"/>
      <c r="J509" s="331"/>
      <c r="K509" s="331"/>
      <c r="L509" s="331"/>
      <c r="M509" s="331"/>
      <c r="N509" s="331"/>
      <c r="O509" s="331"/>
      <c r="P509" s="331"/>
      <c r="Q509" s="331"/>
      <c r="R509" s="331"/>
      <c r="S509" s="331"/>
      <c r="T509" s="331"/>
      <c r="U509" s="331"/>
      <c r="V509" s="331"/>
      <c r="W509" s="331"/>
      <c r="X509" s="331"/>
      <c r="Y509" s="331"/>
      <c r="Z509" s="331"/>
      <c r="AA509" s="331"/>
      <c r="AB509" s="331"/>
      <c r="AC509" s="331"/>
      <c r="AD509" s="331"/>
      <c r="AE509" s="331"/>
      <c r="AF509" s="331"/>
      <c r="AG509" s="331"/>
      <c r="AH509" s="331"/>
      <c r="AI509" s="331"/>
      <c r="AJ509" s="331"/>
      <c r="AK509" s="331"/>
      <c r="AL509" s="331"/>
    </row>
    <row r="510" ht="15.75" customHeight="1">
      <c r="A510" s="331"/>
      <c r="B510" s="331"/>
      <c r="C510" s="331"/>
      <c r="D510" s="331"/>
      <c r="E510" s="331"/>
      <c r="F510" s="331"/>
      <c r="G510" s="331"/>
      <c r="H510" s="331"/>
      <c r="I510" s="331"/>
      <c r="J510" s="331"/>
      <c r="K510" s="331"/>
      <c r="L510" s="331"/>
      <c r="M510" s="331"/>
      <c r="N510" s="331"/>
      <c r="O510" s="331"/>
      <c r="P510" s="331"/>
      <c r="Q510" s="331"/>
      <c r="R510" s="331"/>
      <c r="S510" s="331"/>
      <c r="T510" s="331"/>
      <c r="U510" s="331"/>
      <c r="V510" s="331"/>
      <c r="W510" s="331"/>
      <c r="X510" s="331"/>
      <c r="Y510" s="331"/>
      <c r="Z510" s="331"/>
      <c r="AA510" s="331"/>
      <c r="AB510" s="331"/>
      <c r="AC510" s="331"/>
      <c r="AD510" s="331"/>
      <c r="AE510" s="331"/>
      <c r="AF510" s="331"/>
      <c r="AG510" s="331"/>
      <c r="AH510" s="331"/>
      <c r="AI510" s="331"/>
      <c r="AJ510" s="331"/>
      <c r="AK510" s="331"/>
      <c r="AL510" s="331"/>
    </row>
    <row r="511" ht="15.75" customHeight="1">
      <c r="A511" s="331"/>
      <c r="B511" s="331"/>
      <c r="C511" s="331"/>
      <c r="D511" s="331"/>
      <c r="E511" s="331"/>
      <c r="F511" s="331"/>
      <c r="G511" s="331"/>
      <c r="H511" s="331"/>
      <c r="I511" s="331"/>
      <c r="J511" s="331"/>
      <c r="K511" s="331"/>
      <c r="L511" s="331"/>
      <c r="M511" s="331"/>
      <c r="N511" s="331"/>
      <c r="O511" s="331"/>
      <c r="P511" s="331"/>
      <c r="Q511" s="331"/>
      <c r="R511" s="331"/>
      <c r="S511" s="331"/>
      <c r="T511" s="331"/>
      <c r="U511" s="331"/>
      <c r="V511" s="331"/>
      <c r="W511" s="331"/>
      <c r="X511" s="331"/>
      <c r="Y511" s="331"/>
      <c r="Z511" s="331"/>
      <c r="AA511" s="331"/>
      <c r="AB511" s="331"/>
      <c r="AC511" s="331"/>
      <c r="AD511" s="331"/>
      <c r="AE511" s="331"/>
      <c r="AF511" s="331"/>
      <c r="AG511" s="331"/>
      <c r="AH511" s="331"/>
      <c r="AI511" s="331"/>
      <c r="AJ511" s="331"/>
      <c r="AK511" s="331"/>
      <c r="AL511" s="331"/>
    </row>
    <row r="512" ht="15.75" customHeight="1">
      <c r="A512" s="331"/>
      <c r="B512" s="331"/>
      <c r="C512" s="331"/>
      <c r="D512" s="331"/>
      <c r="E512" s="331"/>
      <c r="F512" s="331"/>
      <c r="G512" s="331"/>
      <c r="H512" s="331"/>
      <c r="I512" s="331"/>
      <c r="J512" s="331"/>
      <c r="K512" s="331"/>
      <c r="L512" s="331"/>
      <c r="M512" s="331"/>
      <c r="N512" s="331"/>
      <c r="O512" s="331"/>
      <c r="P512" s="331"/>
      <c r="Q512" s="331"/>
      <c r="R512" s="331"/>
      <c r="S512" s="331"/>
      <c r="T512" s="331"/>
      <c r="U512" s="331"/>
      <c r="V512" s="331"/>
      <c r="W512" s="331"/>
      <c r="X512" s="331"/>
      <c r="Y512" s="331"/>
      <c r="Z512" s="331"/>
      <c r="AA512" s="331"/>
      <c r="AB512" s="331"/>
      <c r="AC512" s="331"/>
      <c r="AD512" s="331"/>
      <c r="AE512" s="331"/>
      <c r="AF512" s="331"/>
      <c r="AG512" s="331"/>
      <c r="AH512" s="331"/>
      <c r="AI512" s="331"/>
      <c r="AJ512" s="331"/>
      <c r="AK512" s="331"/>
      <c r="AL512" s="331"/>
    </row>
    <row r="513" ht="15.75" customHeight="1">
      <c r="A513" s="331"/>
      <c r="B513" s="331"/>
      <c r="C513" s="331"/>
      <c r="D513" s="331"/>
      <c r="E513" s="331"/>
      <c r="F513" s="331"/>
      <c r="G513" s="331"/>
      <c r="H513" s="331"/>
      <c r="I513" s="331"/>
      <c r="J513" s="331"/>
      <c r="K513" s="331"/>
      <c r="L513" s="331"/>
      <c r="M513" s="331"/>
      <c r="N513" s="331"/>
      <c r="O513" s="331"/>
      <c r="P513" s="331"/>
      <c r="Q513" s="331"/>
      <c r="R513" s="331"/>
      <c r="S513" s="331"/>
      <c r="T513" s="331"/>
      <c r="U513" s="331"/>
      <c r="V513" s="331"/>
      <c r="W513" s="331"/>
      <c r="X513" s="331"/>
      <c r="Y513" s="331"/>
      <c r="Z513" s="331"/>
      <c r="AA513" s="331"/>
      <c r="AB513" s="331"/>
      <c r="AC513" s="331"/>
      <c r="AD513" s="331"/>
      <c r="AE513" s="331"/>
      <c r="AF513" s="331"/>
      <c r="AG513" s="331"/>
      <c r="AH513" s="331"/>
      <c r="AI513" s="331"/>
      <c r="AJ513" s="331"/>
      <c r="AK513" s="331"/>
      <c r="AL513" s="331"/>
    </row>
    <row r="514" ht="15.75" customHeight="1">
      <c r="A514" s="331"/>
      <c r="B514" s="331"/>
      <c r="C514" s="331"/>
      <c r="D514" s="331"/>
      <c r="E514" s="331"/>
      <c r="F514" s="331"/>
      <c r="G514" s="331"/>
      <c r="H514" s="331"/>
      <c r="I514" s="331"/>
      <c r="J514" s="331"/>
      <c r="K514" s="331"/>
      <c r="L514" s="331"/>
      <c r="M514" s="331"/>
      <c r="N514" s="331"/>
      <c r="O514" s="331"/>
      <c r="P514" s="331"/>
      <c r="Q514" s="331"/>
      <c r="R514" s="331"/>
      <c r="S514" s="331"/>
      <c r="T514" s="331"/>
      <c r="U514" s="331"/>
      <c r="V514" s="331"/>
      <c r="W514" s="331"/>
      <c r="X514" s="331"/>
      <c r="Y514" s="331"/>
      <c r="Z514" s="331"/>
      <c r="AA514" s="331"/>
      <c r="AB514" s="331"/>
      <c r="AC514" s="331"/>
      <c r="AD514" s="331"/>
      <c r="AE514" s="331"/>
      <c r="AF514" s="331"/>
      <c r="AG514" s="331"/>
      <c r="AH514" s="331"/>
      <c r="AI514" s="331"/>
      <c r="AJ514" s="331"/>
      <c r="AK514" s="331"/>
      <c r="AL514" s="331"/>
    </row>
    <row r="515" ht="15.75" customHeight="1">
      <c r="A515" s="331"/>
      <c r="B515" s="331"/>
      <c r="C515" s="331"/>
      <c r="D515" s="331"/>
      <c r="E515" s="331"/>
      <c r="F515" s="331"/>
      <c r="G515" s="331"/>
      <c r="H515" s="331"/>
      <c r="I515" s="331"/>
      <c r="J515" s="331"/>
      <c r="K515" s="331"/>
      <c r="L515" s="331"/>
      <c r="M515" s="331"/>
      <c r="N515" s="331"/>
      <c r="O515" s="331"/>
      <c r="P515" s="331"/>
      <c r="Q515" s="331"/>
      <c r="R515" s="331"/>
      <c r="S515" s="331"/>
      <c r="T515" s="331"/>
      <c r="U515" s="331"/>
      <c r="V515" s="331"/>
      <c r="W515" s="331"/>
      <c r="X515" s="331"/>
      <c r="Y515" s="331"/>
      <c r="Z515" s="331"/>
      <c r="AA515" s="331"/>
      <c r="AB515" s="331"/>
      <c r="AC515" s="331"/>
      <c r="AD515" s="331"/>
      <c r="AE515" s="331"/>
      <c r="AF515" s="331"/>
      <c r="AG515" s="331"/>
      <c r="AH515" s="331"/>
      <c r="AI515" s="331"/>
      <c r="AJ515" s="331"/>
      <c r="AK515" s="331"/>
      <c r="AL515" s="331"/>
    </row>
    <row r="516" ht="15.75" customHeight="1">
      <c r="A516" s="331"/>
      <c r="B516" s="331"/>
      <c r="C516" s="331"/>
      <c r="D516" s="331"/>
      <c r="E516" s="331"/>
      <c r="F516" s="331"/>
      <c r="G516" s="331"/>
      <c r="H516" s="331"/>
      <c r="I516" s="331"/>
      <c r="J516" s="331"/>
      <c r="K516" s="331"/>
      <c r="L516" s="331"/>
      <c r="M516" s="331"/>
      <c r="N516" s="331"/>
      <c r="O516" s="331"/>
      <c r="P516" s="331"/>
      <c r="Q516" s="331"/>
      <c r="R516" s="331"/>
      <c r="S516" s="331"/>
      <c r="T516" s="331"/>
      <c r="U516" s="331"/>
      <c r="V516" s="331"/>
      <c r="W516" s="331"/>
      <c r="X516" s="331"/>
      <c r="Y516" s="331"/>
      <c r="Z516" s="331"/>
      <c r="AA516" s="331"/>
      <c r="AB516" s="331"/>
      <c r="AC516" s="331"/>
      <c r="AD516" s="331"/>
      <c r="AE516" s="331"/>
      <c r="AF516" s="331"/>
      <c r="AG516" s="331"/>
      <c r="AH516" s="331"/>
      <c r="AI516" s="331"/>
      <c r="AJ516" s="331"/>
      <c r="AK516" s="331"/>
      <c r="AL516" s="331"/>
    </row>
    <row r="517" ht="15.75" customHeight="1">
      <c r="A517" s="331"/>
      <c r="B517" s="331"/>
      <c r="C517" s="331"/>
      <c r="D517" s="331"/>
      <c r="E517" s="331"/>
      <c r="F517" s="331"/>
      <c r="G517" s="331"/>
      <c r="H517" s="331"/>
      <c r="I517" s="331"/>
      <c r="J517" s="331"/>
      <c r="K517" s="331"/>
      <c r="L517" s="331"/>
      <c r="M517" s="331"/>
      <c r="N517" s="331"/>
      <c r="O517" s="331"/>
      <c r="P517" s="331"/>
      <c r="Q517" s="331"/>
      <c r="R517" s="331"/>
      <c r="S517" s="331"/>
      <c r="T517" s="331"/>
      <c r="U517" s="331"/>
      <c r="V517" s="331"/>
      <c r="W517" s="331"/>
      <c r="X517" s="331"/>
      <c r="Y517" s="331"/>
      <c r="Z517" s="331"/>
      <c r="AA517" s="331"/>
      <c r="AB517" s="331"/>
      <c r="AC517" s="331"/>
      <c r="AD517" s="331"/>
      <c r="AE517" s="331"/>
      <c r="AF517" s="331"/>
      <c r="AG517" s="331"/>
      <c r="AH517" s="331"/>
      <c r="AI517" s="331"/>
      <c r="AJ517" s="331"/>
      <c r="AK517" s="331"/>
      <c r="AL517" s="331"/>
    </row>
    <row r="518" ht="15.75" customHeight="1">
      <c r="A518" s="331"/>
      <c r="B518" s="331"/>
      <c r="C518" s="331"/>
      <c r="D518" s="331"/>
      <c r="E518" s="331"/>
      <c r="F518" s="331"/>
      <c r="G518" s="331"/>
      <c r="H518" s="331"/>
      <c r="I518" s="331"/>
      <c r="J518" s="331"/>
      <c r="K518" s="331"/>
      <c r="L518" s="331"/>
      <c r="M518" s="331"/>
      <c r="N518" s="331"/>
      <c r="O518" s="331"/>
      <c r="P518" s="331"/>
      <c r="Q518" s="331"/>
      <c r="R518" s="331"/>
      <c r="S518" s="331"/>
      <c r="T518" s="331"/>
      <c r="U518" s="331"/>
      <c r="V518" s="331"/>
      <c r="W518" s="331"/>
      <c r="X518" s="331"/>
      <c r="Y518" s="331"/>
      <c r="Z518" s="331"/>
      <c r="AA518" s="331"/>
      <c r="AB518" s="331"/>
      <c r="AC518" s="331"/>
      <c r="AD518" s="331"/>
      <c r="AE518" s="331"/>
      <c r="AF518" s="331"/>
      <c r="AG518" s="331"/>
      <c r="AH518" s="331"/>
      <c r="AI518" s="331"/>
      <c r="AJ518" s="331"/>
      <c r="AK518" s="331"/>
      <c r="AL518" s="331"/>
    </row>
    <row r="519" ht="15.75" customHeight="1">
      <c r="A519" s="331"/>
      <c r="B519" s="331"/>
      <c r="C519" s="331"/>
      <c r="D519" s="331"/>
      <c r="E519" s="331"/>
      <c r="F519" s="331"/>
      <c r="G519" s="331"/>
      <c r="H519" s="331"/>
      <c r="I519" s="331"/>
      <c r="J519" s="331"/>
      <c r="K519" s="331"/>
      <c r="L519" s="331"/>
      <c r="M519" s="331"/>
      <c r="N519" s="331"/>
      <c r="O519" s="331"/>
      <c r="P519" s="331"/>
      <c r="Q519" s="331"/>
      <c r="R519" s="331"/>
      <c r="S519" s="331"/>
      <c r="T519" s="331"/>
      <c r="U519" s="331"/>
      <c r="V519" s="331"/>
      <c r="W519" s="331"/>
      <c r="X519" s="331"/>
      <c r="Y519" s="331"/>
      <c r="Z519" s="331"/>
      <c r="AA519" s="331"/>
      <c r="AB519" s="331"/>
      <c r="AC519" s="331"/>
      <c r="AD519" s="331"/>
      <c r="AE519" s="331"/>
      <c r="AF519" s="331"/>
      <c r="AG519" s="331"/>
      <c r="AH519" s="331"/>
      <c r="AI519" s="331"/>
      <c r="AJ519" s="331"/>
      <c r="AK519" s="331"/>
      <c r="AL519" s="331"/>
    </row>
    <row r="520" ht="15.75" customHeight="1">
      <c r="A520" s="331"/>
      <c r="B520" s="331"/>
      <c r="C520" s="331"/>
      <c r="D520" s="331"/>
      <c r="E520" s="331"/>
      <c r="F520" s="331"/>
      <c r="G520" s="331"/>
      <c r="H520" s="331"/>
      <c r="I520" s="331"/>
      <c r="J520" s="331"/>
      <c r="K520" s="331"/>
      <c r="L520" s="331"/>
      <c r="M520" s="331"/>
      <c r="N520" s="331"/>
      <c r="O520" s="331"/>
      <c r="P520" s="331"/>
      <c r="Q520" s="331"/>
      <c r="R520" s="331"/>
      <c r="S520" s="331"/>
      <c r="T520" s="331"/>
      <c r="U520" s="331"/>
      <c r="V520" s="331"/>
      <c r="W520" s="331"/>
      <c r="X520" s="331"/>
      <c r="Y520" s="331"/>
      <c r="Z520" s="331"/>
      <c r="AA520" s="331"/>
      <c r="AB520" s="331"/>
      <c r="AC520" s="331"/>
      <c r="AD520" s="331"/>
      <c r="AE520" s="331"/>
      <c r="AF520" s="331"/>
      <c r="AG520" s="331"/>
      <c r="AH520" s="331"/>
      <c r="AI520" s="331"/>
      <c r="AJ520" s="331"/>
      <c r="AK520" s="331"/>
      <c r="AL520" s="331"/>
    </row>
    <row r="521" ht="15.75" customHeight="1">
      <c r="A521" s="331"/>
      <c r="B521" s="331"/>
      <c r="C521" s="331"/>
      <c r="D521" s="331"/>
      <c r="E521" s="331"/>
      <c r="F521" s="331"/>
      <c r="G521" s="331"/>
      <c r="H521" s="331"/>
      <c r="I521" s="331"/>
      <c r="J521" s="331"/>
      <c r="K521" s="331"/>
      <c r="L521" s="331"/>
      <c r="M521" s="331"/>
      <c r="N521" s="331"/>
      <c r="O521" s="331"/>
      <c r="P521" s="331"/>
      <c r="Q521" s="331"/>
      <c r="R521" s="331"/>
      <c r="S521" s="331"/>
      <c r="T521" s="331"/>
      <c r="U521" s="331"/>
      <c r="V521" s="331"/>
      <c r="W521" s="331"/>
      <c r="X521" s="331"/>
      <c r="Y521" s="331"/>
      <c r="Z521" s="331"/>
      <c r="AA521" s="331"/>
      <c r="AB521" s="331"/>
      <c r="AC521" s="331"/>
      <c r="AD521" s="331"/>
      <c r="AE521" s="331"/>
      <c r="AF521" s="331"/>
      <c r="AG521" s="331"/>
      <c r="AH521" s="331"/>
      <c r="AI521" s="331"/>
      <c r="AJ521" s="331"/>
      <c r="AK521" s="331"/>
      <c r="AL521" s="331"/>
    </row>
    <row r="522" ht="15.75" customHeight="1">
      <c r="A522" s="331"/>
      <c r="B522" s="331"/>
      <c r="C522" s="331"/>
      <c r="D522" s="331"/>
      <c r="E522" s="331"/>
      <c r="F522" s="331"/>
      <c r="G522" s="331"/>
      <c r="H522" s="331"/>
      <c r="I522" s="331"/>
      <c r="J522" s="331"/>
      <c r="K522" s="331"/>
      <c r="L522" s="331"/>
      <c r="M522" s="331"/>
      <c r="N522" s="331"/>
      <c r="O522" s="331"/>
      <c r="P522" s="331"/>
      <c r="Q522" s="331"/>
      <c r="R522" s="331"/>
      <c r="S522" s="331"/>
      <c r="T522" s="331"/>
      <c r="U522" s="331"/>
      <c r="V522" s="331"/>
      <c r="W522" s="331"/>
      <c r="X522" s="331"/>
      <c r="Y522" s="331"/>
      <c r="Z522" s="331"/>
      <c r="AA522" s="331"/>
      <c r="AB522" s="331"/>
      <c r="AC522" s="331"/>
      <c r="AD522" s="331"/>
      <c r="AE522" s="331"/>
      <c r="AF522" s="331"/>
      <c r="AG522" s="331"/>
      <c r="AH522" s="331"/>
      <c r="AI522" s="331"/>
      <c r="AJ522" s="331"/>
      <c r="AK522" s="331"/>
      <c r="AL522" s="331"/>
    </row>
    <row r="523" ht="15.75" customHeight="1">
      <c r="A523" s="331"/>
      <c r="B523" s="331"/>
      <c r="C523" s="331"/>
      <c r="D523" s="331"/>
      <c r="E523" s="331"/>
      <c r="F523" s="331"/>
      <c r="G523" s="331"/>
      <c r="H523" s="331"/>
      <c r="I523" s="331"/>
      <c r="J523" s="331"/>
      <c r="K523" s="331"/>
      <c r="L523" s="331"/>
      <c r="M523" s="331"/>
      <c r="N523" s="331"/>
      <c r="O523" s="331"/>
      <c r="P523" s="331"/>
      <c r="Q523" s="331"/>
      <c r="R523" s="331"/>
      <c r="S523" s="331"/>
      <c r="T523" s="331"/>
      <c r="U523" s="331"/>
      <c r="V523" s="331"/>
      <c r="W523" s="331"/>
      <c r="X523" s="331"/>
      <c r="Y523" s="331"/>
      <c r="Z523" s="331"/>
      <c r="AA523" s="331"/>
      <c r="AB523" s="331"/>
      <c r="AC523" s="331"/>
      <c r="AD523" s="331"/>
      <c r="AE523" s="331"/>
      <c r="AF523" s="331"/>
      <c r="AG523" s="331"/>
      <c r="AH523" s="331"/>
      <c r="AI523" s="331"/>
      <c r="AJ523" s="331"/>
      <c r="AK523" s="331"/>
      <c r="AL523" s="331"/>
    </row>
    <row r="524" ht="15.75" customHeight="1">
      <c r="A524" s="331"/>
      <c r="B524" s="331"/>
      <c r="C524" s="331"/>
      <c r="D524" s="331"/>
      <c r="E524" s="331"/>
      <c r="F524" s="331"/>
      <c r="G524" s="331"/>
      <c r="H524" s="331"/>
      <c r="I524" s="331"/>
      <c r="J524" s="331"/>
      <c r="K524" s="331"/>
      <c r="L524" s="331"/>
      <c r="M524" s="331"/>
      <c r="N524" s="331"/>
      <c r="O524" s="331"/>
      <c r="P524" s="331"/>
      <c r="Q524" s="331"/>
      <c r="R524" s="331"/>
      <c r="S524" s="331"/>
      <c r="T524" s="331"/>
      <c r="U524" s="331"/>
      <c r="V524" s="331"/>
      <c r="W524" s="331"/>
      <c r="X524" s="331"/>
      <c r="Y524" s="331"/>
      <c r="Z524" s="331"/>
      <c r="AA524" s="331"/>
      <c r="AB524" s="331"/>
      <c r="AC524" s="331"/>
      <c r="AD524" s="331"/>
      <c r="AE524" s="331"/>
      <c r="AF524" s="331"/>
      <c r="AG524" s="331"/>
      <c r="AH524" s="331"/>
      <c r="AI524" s="331"/>
      <c r="AJ524" s="331"/>
      <c r="AK524" s="331"/>
      <c r="AL524" s="331"/>
    </row>
    <row r="525" ht="15.75" customHeight="1">
      <c r="A525" s="331"/>
      <c r="B525" s="331"/>
      <c r="C525" s="331"/>
      <c r="D525" s="331"/>
      <c r="E525" s="331"/>
      <c r="F525" s="331"/>
      <c r="G525" s="331"/>
      <c r="H525" s="331"/>
      <c r="I525" s="331"/>
      <c r="J525" s="331"/>
      <c r="K525" s="331"/>
      <c r="L525" s="331"/>
      <c r="M525" s="331"/>
      <c r="N525" s="331"/>
      <c r="O525" s="331"/>
      <c r="P525" s="331"/>
      <c r="Q525" s="331"/>
      <c r="R525" s="331"/>
      <c r="S525" s="331"/>
      <c r="T525" s="331"/>
      <c r="U525" s="331"/>
      <c r="V525" s="331"/>
      <c r="W525" s="331"/>
      <c r="X525" s="331"/>
      <c r="Y525" s="331"/>
      <c r="Z525" s="331"/>
      <c r="AA525" s="331"/>
      <c r="AB525" s="331"/>
      <c r="AC525" s="331"/>
      <c r="AD525" s="331"/>
      <c r="AE525" s="331"/>
      <c r="AF525" s="331"/>
      <c r="AG525" s="331"/>
      <c r="AH525" s="331"/>
      <c r="AI525" s="331"/>
      <c r="AJ525" s="331"/>
      <c r="AK525" s="331"/>
      <c r="AL525" s="331"/>
    </row>
    <row r="526" ht="15.75" customHeight="1">
      <c r="A526" s="331"/>
      <c r="B526" s="331"/>
      <c r="C526" s="331"/>
      <c r="D526" s="331"/>
      <c r="E526" s="331"/>
      <c r="F526" s="331"/>
      <c r="G526" s="331"/>
      <c r="H526" s="331"/>
      <c r="I526" s="331"/>
      <c r="J526" s="331"/>
      <c r="K526" s="331"/>
      <c r="L526" s="331"/>
      <c r="M526" s="331"/>
      <c r="N526" s="331"/>
      <c r="O526" s="331"/>
      <c r="P526" s="331"/>
      <c r="Q526" s="331"/>
      <c r="R526" s="331"/>
      <c r="S526" s="331"/>
      <c r="T526" s="331"/>
      <c r="U526" s="331"/>
      <c r="V526" s="331"/>
      <c r="W526" s="331"/>
      <c r="X526" s="331"/>
      <c r="Y526" s="331"/>
      <c r="Z526" s="331"/>
      <c r="AA526" s="331"/>
      <c r="AB526" s="331"/>
      <c r="AC526" s="331"/>
      <c r="AD526" s="331"/>
      <c r="AE526" s="331"/>
      <c r="AF526" s="331"/>
      <c r="AG526" s="331"/>
      <c r="AH526" s="331"/>
      <c r="AI526" s="331"/>
      <c r="AJ526" s="331"/>
      <c r="AK526" s="331"/>
      <c r="AL526" s="331"/>
    </row>
    <row r="527" ht="15.75" customHeight="1">
      <c r="A527" s="331"/>
      <c r="B527" s="331"/>
      <c r="C527" s="331"/>
      <c r="D527" s="331"/>
      <c r="E527" s="331"/>
      <c r="F527" s="331"/>
      <c r="G527" s="331"/>
      <c r="H527" s="331"/>
      <c r="I527" s="331"/>
      <c r="J527" s="331"/>
      <c r="K527" s="331"/>
      <c r="L527" s="331"/>
      <c r="M527" s="331"/>
      <c r="N527" s="331"/>
      <c r="O527" s="331"/>
      <c r="P527" s="331"/>
      <c r="Q527" s="331"/>
      <c r="R527" s="331"/>
      <c r="S527" s="331"/>
      <c r="T527" s="331"/>
      <c r="U527" s="331"/>
      <c r="V527" s="331"/>
      <c r="W527" s="331"/>
      <c r="X527" s="331"/>
      <c r="Y527" s="331"/>
      <c r="Z527" s="331"/>
      <c r="AA527" s="331"/>
      <c r="AB527" s="331"/>
      <c r="AC527" s="331"/>
      <c r="AD527" s="331"/>
      <c r="AE527" s="331"/>
      <c r="AF527" s="331"/>
      <c r="AG527" s="331"/>
      <c r="AH527" s="331"/>
      <c r="AI527" s="331"/>
      <c r="AJ527" s="331"/>
      <c r="AK527" s="331"/>
      <c r="AL527" s="331"/>
    </row>
    <row r="528" ht="15.75" customHeight="1">
      <c r="A528" s="331"/>
      <c r="B528" s="331"/>
      <c r="C528" s="331"/>
      <c r="D528" s="331"/>
      <c r="E528" s="331"/>
      <c r="F528" s="331"/>
      <c r="G528" s="331"/>
      <c r="H528" s="331"/>
      <c r="I528" s="331"/>
      <c r="J528" s="331"/>
      <c r="K528" s="331"/>
      <c r="L528" s="331"/>
      <c r="M528" s="331"/>
      <c r="N528" s="331"/>
      <c r="O528" s="331"/>
      <c r="P528" s="331"/>
      <c r="Q528" s="331"/>
      <c r="R528" s="331"/>
      <c r="S528" s="331"/>
      <c r="T528" s="331"/>
      <c r="U528" s="331"/>
      <c r="V528" s="331"/>
      <c r="W528" s="331"/>
      <c r="X528" s="331"/>
      <c r="Y528" s="331"/>
      <c r="Z528" s="331"/>
      <c r="AA528" s="331"/>
      <c r="AB528" s="331"/>
      <c r="AC528" s="331"/>
      <c r="AD528" s="331"/>
      <c r="AE528" s="331"/>
      <c r="AF528" s="331"/>
      <c r="AG528" s="331"/>
      <c r="AH528" s="331"/>
      <c r="AI528" s="331"/>
      <c r="AJ528" s="331"/>
      <c r="AK528" s="331"/>
      <c r="AL528" s="331"/>
    </row>
    <row r="529" ht="15.75" customHeight="1">
      <c r="A529" s="331"/>
      <c r="B529" s="331"/>
      <c r="C529" s="331"/>
      <c r="D529" s="331"/>
      <c r="E529" s="331"/>
      <c r="F529" s="331"/>
      <c r="G529" s="331"/>
      <c r="H529" s="331"/>
      <c r="I529" s="331"/>
      <c r="J529" s="331"/>
      <c r="K529" s="331"/>
      <c r="L529" s="331"/>
      <c r="M529" s="331"/>
      <c r="N529" s="331"/>
      <c r="O529" s="331"/>
      <c r="P529" s="331"/>
      <c r="Q529" s="331"/>
      <c r="R529" s="331"/>
      <c r="S529" s="331"/>
      <c r="T529" s="331"/>
      <c r="U529" s="331"/>
      <c r="V529" s="331"/>
      <c r="W529" s="331"/>
      <c r="X529" s="331"/>
      <c r="Y529" s="331"/>
      <c r="Z529" s="331"/>
      <c r="AA529" s="331"/>
      <c r="AB529" s="331"/>
      <c r="AC529" s="331"/>
      <c r="AD529" s="331"/>
      <c r="AE529" s="331"/>
      <c r="AF529" s="331"/>
      <c r="AG529" s="331"/>
      <c r="AH529" s="331"/>
      <c r="AI529" s="331"/>
      <c r="AJ529" s="331"/>
      <c r="AK529" s="331"/>
      <c r="AL529" s="331"/>
    </row>
    <row r="530" ht="15.75" customHeight="1">
      <c r="A530" s="331"/>
      <c r="B530" s="331"/>
      <c r="C530" s="331"/>
      <c r="D530" s="331"/>
      <c r="E530" s="331"/>
      <c r="F530" s="331"/>
      <c r="G530" s="331"/>
      <c r="H530" s="331"/>
      <c r="I530" s="331"/>
      <c r="J530" s="331"/>
      <c r="K530" s="331"/>
      <c r="L530" s="331"/>
      <c r="M530" s="331"/>
      <c r="N530" s="331"/>
      <c r="O530" s="331"/>
      <c r="P530" s="331"/>
      <c r="Q530" s="331"/>
      <c r="R530" s="331"/>
      <c r="S530" s="331"/>
      <c r="T530" s="331"/>
      <c r="U530" s="331"/>
      <c r="V530" s="331"/>
      <c r="W530" s="331"/>
      <c r="X530" s="331"/>
      <c r="Y530" s="331"/>
      <c r="Z530" s="331"/>
      <c r="AA530" s="331"/>
      <c r="AB530" s="331"/>
      <c r="AC530" s="331"/>
      <c r="AD530" s="331"/>
      <c r="AE530" s="331"/>
      <c r="AF530" s="331"/>
      <c r="AG530" s="331"/>
      <c r="AH530" s="331"/>
      <c r="AI530" s="331"/>
      <c r="AJ530" s="331"/>
      <c r="AK530" s="331"/>
      <c r="AL530" s="331"/>
    </row>
    <row r="531" ht="15.75" customHeight="1">
      <c r="A531" s="331"/>
      <c r="B531" s="331"/>
      <c r="C531" s="331"/>
      <c r="D531" s="331"/>
      <c r="E531" s="331"/>
      <c r="F531" s="331"/>
      <c r="G531" s="331"/>
      <c r="H531" s="331"/>
      <c r="I531" s="331"/>
      <c r="J531" s="331"/>
      <c r="K531" s="331"/>
      <c r="L531" s="331"/>
      <c r="M531" s="331"/>
      <c r="N531" s="331"/>
      <c r="O531" s="331"/>
      <c r="P531" s="331"/>
      <c r="Q531" s="331"/>
      <c r="R531" s="331"/>
      <c r="S531" s="331"/>
      <c r="T531" s="331"/>
      <c r="U531" s="331"/>
      <c r="V531" s="331"/>
      <c r="W531" s="331"/>
      <c r="X531" s="331"/>
      <c r="Y531" s="331"/>
      <c r="Z531" s="331"/>
      <c r="AA531" s="331"/>
      <c r="AB531" s="331"/>
      <c r="AC531" s="331"/>
      <c r="AD531" s="331"/>
      <c r="AE531" s="331"/>
      <c r="AF531" s="331"/>
      <c r="AG531" s="331"/>
      <c r="AH531" s="331"/>
      <c r="AI531" s="331"/>
      <c r="AJ531" s="331"/>
      <c r="AK531" s="331"/>
      <c r="AL531" s="331"/>
    </row>
    <row r="532" ht="15.75" customHeight="1">
      <c r="A532" s="331"/>
      <c r="B532" s="331"/>
      <c r="C532" s="331"/>
      <c r="D532" s="331"/>
      <c r="E532" s="331"/>
      <c r="F532" s="331"/>
      <c r="G532" s="331"/>
      <c r="H532" s="331"/>
      <c r="I532" s="331"/>
      <c r="J532" s="331"/>
      <c r="K532" s="331"/>
      <c r="L532" s="331"/>
      <c r="M532" s="331"/>
      <c r="N532" s="331"/>
      <c r="O532" s="331"/>
      <c r="P532" s="331"/>
      <c r="Q532" s="331"/>
      <c r="R532" s="331"/>
      <c r="S532" s="331"/>
      <c r="T532" s="331"/>
      <c r="U532" s="331"/>
      <c r="V532" s="331"/>
      <c r="W532" s="331"/>
      <c r="X532" s="331"/>
      <c r="Y532" s="331"/>
      <c r="Z532" s="331"/>
      <c r="AA532" s="331"/>
      <c r="AB532" s="331"/>
      <c r="AC532" s="331"/>
      <c r="AD532" s="331"/>
      <c r="AE532" s="331"/>
      <c r="AF532" s="331"/>
      <c r="AG532" s="331"/>
      <c r="AH532" s="331"/>
      <c r="AI532" s="331"/>
      <c r="AJ532" s="331"/>
      <c r="AK532" s="331"/>
      <c r="AL532" s="331"/>
    </row>
    <row r="533" ht="15.75" customHeight="1">
      <c r="A533" s="331"/>
      <c r="B533" s="331"/>
      <c r="C533" s="331"/>
      <c r="D533" s="331"/>
      <c r="E533" s="331"/>
      <c r="F533" s="331"/>
      <c r="G533" s="331"/>
      <c r="H533" s="331"/>
      <c r="I533" s="331"/>
      <c r="J533" s="331"/>
      <c r="K533" s="331"/>
      <c r="L533" s="331"/>
      <c r="M533" s="331"/>
      <c r="N533" s="331"/>
      <c r="O533" s="331"/>
      <c r="P533" s="331"/>
      <c r="Q533" s="331"/>
      <c r="R533" s="331"/>
      <c r="S533" s="331"/>
      <c r="T533" s="331"/>
      <c r="U533" s="331"/>
      <c r="V533" s="331"/>
      <c r="W533" s="331"/>
      <c r="X533" s="331"/>
      <c r="Y533" s="331"/>
      <c r="Z533" s="331"/>
      <c r="AA533" s="331"/>
      <c r="AB533" s="331"/>
      <c r="AC533" s="331"/>
      <c r="AD533" s="331"/>
      <c r="AE533" s="331"/>
      <c r="AF533" s="331"/>
      <c r="AG533" s="331"/>
      <c r="AH533" s="331"/>
      <c r="AI533" s="331"/>
      <c r="AJ533" s="331"/>
      <c r="AK533" s="331"/>
      <c r="AL533" s="331"/>
    </row>
    <row r="534" ht="15.75" customHeight="1">
      <c r="A534" s="331"/>
      <c r="B534" s="331"/>
      <c r="C534" s="331"/>
      <c r="D534" s="331"/>
      <c r="E534" s="331"/>
      <c r="F534" s="331"/>
      <c r="G534" s="331"/>
      <c r="H534" s="331"/>
      <c r="I534" s="331"/>
      <c r="J534" s="331"/>
      <c r="K534" s="331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W534" s="331"/>
      <c r="X534" s="331"/>
      <c r="Y534" s="331"/>
      <c r="Z534" s="331"/>
      <c r="AA534" s="331"/>
      <c r="AB534" s="331"/>
      <c r="AC534" s="331"/>
      <c r="AD534" s="331"/>
      <c r="AE534" s="331"/>
      <c r="AF534" s="331"/>
      <c r="AG534" s="331"/>
      <c r="AH534" s="331"/>
      <c r="AI534" s="331"/>
      <c r="AJ534" s="331"/>
      <c r="AK534" s="331"/>
      <c r="AL534" s="331"/>
    </row>
    <row r="535" ht="15.75" customHeight="1">
      <c r="A535" s="331"/>
      <c r="B535" s="331"/>
      <c r="C535" s="331"/>
      <c r="D535" s="331"/>
      <c r="E535" s="331"/>
      <c r="F535" s="331"/>
      <c r="G535" s="331"/>
      <c r="H535" s="331"/>
      <c r="I535" s="331"/>
      <c r="J535" s="331"/>
      <c r="K535" s="331"/>
      <c r="L535" s="331"/>
      <c r="M535" s="331"/>
      <c r="N535" s="331"/>
      <c r="O535" s="331"/>
      <c r="P535" s="331"/>
      <c r="Q535" s="331"/>
      <c r="R535" s="331"/>
      <c r="S535" s="331"/>
      <c r="T535" s="331"/>
      <c r="U535" s="331"/>
      <c r="V535" s="331"/>
      <c r="W535" s="331"/>
      <c r="X535" s="331"/>
      <c r="Y535" s="331"/>
      <c r="Z535" s="331"/>
      <c r="AA535" s="331"/>
      <c r="AB535" s="331"/>
      <c r="AC535" s="331"/>
      <c r="AD535" s="331"/>
      <c r="AE535" s="331"/>
      <c r="AF535" s="331"/>
      <c r="AG535" s="331"/>
      <c r="AH535" s="331"/>
      <c r="AI535" s="331"/>
      <c r="AJ535" s="331"/>
      <c r="AK535" s="331"/>
      <c r="AL535" s="331"/>
    </row>
    <row r="536" ht="15.75" customHeight="1">
      <c r="A536" s="331"/>
      <c r="B536" s="331"/>
      <c r="C536" s="331"/>
      <c r="D536" s="331"/>
      <c r="E536" s="331"/>
      <c r="F536" s="331"/>
      <c r="G536" s="331"/>
      <c r="H536" s="331"/>
      <c r="I536" s="331"/>
      <c r="J536" s="331"/>
      <c r="K536" s="331"/>
      <c r="L536" s="331"/>
      <c r="M536" s="331"/>
      <c r="N536" s="331"/>
      <c r="O536" s="331"/>
      <c r="P536" s="331"/>
      <c r="Q536" s="331"/>
      <c r="R536" s="331"/>
      <c r="S536" s="331"/>
      <c r="T536" s="331"/>
      <c r="U536" s="331"/>
      <c r="V536" s="331"/>
      <c r="W536" s="331"/>
      <c r="X536" s="331"/>
      <c r="Y536" s="331"/>
      <c r="Z536" s="331"/>
      <c r="AA536" s="331"/>
      <c r="AB536" s="331"/>
      <c r="AC536" s="331"/>
      <c r="AD536" s="331"/>
      <c r="AE536" s="331"/>
      <c r="AF536" s="331"/>
      <c r="AG536" s="331"/>
      <c r="AH536" s="331"/>
      <c r="AI536" s="331"/>
      <c r="AJ536" s="331"/>
      <c r="AK536" s="331"/>
      <c r="AL536" s="331"/>
    </row>
    <row r="537" ht="15.75" customHeight="1">
      <c r="A537" s="331"/>
      <c r="B537" s="331"/>
      <c r="C537" s="331"/>
      <c r="D537" s="331"/>
      <c r="E537" s="331"/>
      <c r="F537" s="331"/>
      <c r="G537" s="331"/>
      <c r="H537" s="331"/>
      <c r="I537" s="331"/>
      <c r="J537" s="331"/>
      <c r="K537" s="331"/>
      <c r="L537" s="331"/>
      <c r="M537" s="331"/>
      <c r="N537" s="331"/>
      <c r="O537" s="331"/>
      <c r="P537" s="331"/>
      <c r="Q537" s="331"/>
      <c r="R537" s="331"/>
      <c r="S537" s="331"/>
      <c r="T537" s="331"/>
      <c r="U537" s="331"/>
      <c r="V537" s="331"/>
      <c r="W537" s="331"/>
      <c r="X537" s="331"/>
      <c r="Y537" s="331"/>
      <c r="Z537" s="331"/>
      <c r="AA537" s="331"/>
      <c r="AB537" s="331"/>
      <c r="AC537" s="331"/>
      <c r="AD537" s="331"/>
      <c r="AE537" s="331"/>
      <c r="AF537" s="331"/>
      <c r="AG537" s="331"/>
      <c r="AH537" s="331"/>
      <c r="AI537" s="331"/>
      <c r="AJ537" s="331"/>
      <c r="AK537" s="331"/>
      <c r="AL537" s="331"/>
    </row>
    <row r="538" ht="15.75" customHeight="1">
      <c r="A538" s="331"/>
      <c r="B538" s="331"/>
      <c r="C538" s="331"/>
      <c r="D538" s="331"/>
      <c r="E538" s="331"/>
      <c r="F538" s="331"/>
      <c r="G538" s="331"/>
      <c r="H538" s="331"/>
      <c r="I538" s="331"/>
      <c r="J538" s="331"/>
      <c r="K538" s="331"/>
      <c r="L538" s="331"/>
      <c r="M538" s="331"/>
      <c r="N538" s="331"/>
      <c r="O538" s="331"/>
      <c r="P538" s="331"/>
      <c r="Q538" s="331"/>
      <c r="R538" s="331"/>
      <c r="S538" s="331"/>
      <c r="T538" s="331"/>
      <c r="U538" s="331"/>
      <c r="V538" s="331"/>
      <c r="W538" s="331"/>
      <c r="X538" s="331"/>
      <c r="Y538" s="331"/>
      <c r="Z538" s="331"/>
      <c r="AA538" s="331"/>
      <c r="AB538" s="331"/>
      <c r="AC538" s="331"/>
      <c r="AD538" s="331"/>
      <c r="AE538" s="331"/>
      <c r="AF538" s="331"/>
      <c r="AG538" s="331"/>
      <c r="AH538" s="331"/>
      <c r="AI538" s="331"/>
      <c r="AJ538" s="331"/>
      <c r="AK538" s="331"/>
      <c r="AL538" s="331"/>
    </row>
    <row r="539" ht="15.75" customHeight="1">
      <c r="A539" s="331"/>
      <c r="B539" s="331"/>
      <c r="C539" s="331"/>
      <c r="D539" s="331"/>
      <c r="E539" s="331"/>
      <c r="F539" s="331"/>
      <c r="G539" s="331"/>
      <c r="H539" s="331"/>
      <c r="I539" s="331"/>
      <c r="J539" s="331"/>
      <c r="K539" s="331"/>
      <c r="L539" s="331"/>
      <c r="M539" s="331"/>
      <c r="N539" s="331"/>
      <c r="O539" s="331"/>
      <c r="P539" s="331"/>
      <c r="Q539" s="331"/>
      <c r="R539" s="331"/>
      <c r="S539" s="331"/>
      <c r="T539" s="331"/>
      <c r="U539" s="331"/>
      <c r="V539" s="331"/>
      <c r="W539" s="331"/>
      <c r="X539" s="331"/>
      <c r="Y539" s="331"/>
      <c r="Z539" s="331"/>
      <c r="AA539" s="331"/>
      <c r="AB539" s="331"/>
      <c r="AC539" s="331"/>
      <c r="AD539" s="331"/>
      <c r="AE539" s="331"/>
      <c r="AF539" s="331"/>
      <c r="AG539" s="331"/>
      <c r="AH539" s="331"/>
      <c r="AI539" s="331"/>
      <c r="AJ539" s="331"/>
      <c r="AK539" s="331"/>
      <c r="AL539" s="331"/>
    </row>
    <row r="540" ht="15.75" customHeight="1">
      <c r="A540" s="331"/>
      <c r="B540" s="331"/>
      <c r="C540" s="331"/>
      <c r="D540" s="331"/>
      <c r="E540" s="331"/>
      <c r="F540" s="331"/>
      <c r="G540" s="331"/>
      <c r="H540" s="331"/>
      <c r="I540" s="331"/>
      <c r="J540" s="331"/>
      <c r="K540" s="331"/>
      <c r="L540" s="331"/>
      <c r="M540" s="331"/>
      <c r="N540" s="331"/>
      <c r="O540" s="331"/>
      <c r="P540" s="331"/>
      <c r="Q540" s="331"/>
      <c r="R540" s="331"/>
      <c r="S540" s="331"/>
      <c r="T540" s="331"/>
      <c r="U540" s="331"/>
      <c r="V540" s="331"/>
      <c r="W540" s="331"/>
      <c r="X540" s="331"/>
      <c r="Y540" s="331"/>
      <c r="Z540" s="331"/>
      <c r="AA540" s="331"/>
      <c r="AB540" s="331"/>
      <c r="AC540" s="331"/>
      <c r="AD540" s="331"/>
      <c r="AE540" s="331"/>
      <c r="AF540" s="331"/>
      <c r="AG540" s="331"/>
      <c r="AH540" s="331"/>
      <c r="AI540" s="331"/>
      <c r="AJ540" s="331"/>
      <c r="AK540" s="331"/>
      <c r="AL540" s="331"/>
    </row>
    <row r="541" ht="15.75" customHeight="1">
      <c r="A541" s="331"/>
      <c r="B541" s="331"/>
      <c r="C541" s="331"/>
      <c r="D541" s="331"/>
      <c r="E541" s="331"/>
      <c r="F541" s="331"/>
      <c r="G541" s="331"/>
      <c r="H541" s="331"/>
      <c r="I541" s="331"/>
      <c r="J541" s="331"/>
      <c r="K541" s="331"/>
      <c r="L541" s="331"/>
      <c r="M541" s="331"/>
      <c r="N541" s="331"/>
      <c r="O541" s="331"/>
      <c r="P541" s="331"/>
      <c r="Q541" s="331"/>
      <c r="R541" s="331"/>
      <c r="S541" s="331"/>
      <c r="T541" s="331"/>
      <c r="U541" s="331"/>
      <c r="V541" s="331"/>
      <c r="W541" s="331"/>
      <c r="X541" s="331"/>
      <c r="Y541" s="331"/>
      <c r="Z541" s="331"/>
      <c r="AA541" s="331"/>
      <c r="AB541" s="331"/>
      <c r="AC541" s="331"/>
      <c r="AD541" s="331"/>
      <c r="AE541" s="331"/>
      <c r="AF541" s="331"/>
      <c r="AG541" s="331"/>
      <c r="AH541" s="331"/>
      <c r="AI541" s="331"/>
      <c r="AJ541" s="331"/>
      <c r="AK541" s="331"/>
      <c r="AL541" s="331"/>
    </row>
    <row r="542" ht="15.75" customHeight="1">
      <c r="A542" s="331"/>
      <c r="B542" s="331"/>
      <c r="C542" s="331"/>
      <c r="D542" s="331"/>
      <c r="E542" s="331"/>
      <c r="F542" s="331"/>
      <c r="G542" s="331"/>
      <c r="H542" s="331"/>
      <c r="I542" s="331"/>
      <c r="J542" s="331"/>
      <c r="K542" s="331"/>
      <c r="L542" s="331"/>
      <c r="M542" s="331"/>
      <c r="N542" s="331"/>
      <c r="O542" s="331"/>
      <c r="P542" s="331"/>
      <c r="Q542" s="331"/>
      <c r="R542" s="331"/>
      <c r="S542" s="331"/>
      <c r="T542" s="331"/>
      <c r="U542" s="331"/>
      <c r="V542" s="331"/>
      <c r="W542" s="331"/>
      <c r="X542" s="331"/>
      <c r="Y542" s="331"/>
      <c r="Z542" s="331"/>
      <c r="AA542" s="331"/>
      <c r="AB542" s="331"/>
      <c r="AC542" s="331"/>
      <c r="AD542" s="331"/>
      <c r="AE542" s="331"/>
      <c r="AF542" s="331"/>
      <c r="AG542" s="331"/>
      <c r="AH542" s="331"/>
      <c r="AI542" s="331"/>
      <c r="AJ542" s="331"/>
      <c r="AK542" s="331"/>
      <c r="AL542" s="331"/>
    </row>
    <row r="543" ht="15.75" customHeight="1">
      <c r="A543" s="331"/>
      <c r="B543" s="331"/>
      <c r="C543" s="331"/>
      <c r="D543" s="331"/>
      <c r="E543" s="331"/>
      <c r="F543" s="331"/>
      <c r="G543" s="331"/>
      <c r="H543" s="331"/>
      <c r="I543" s="331"/>
      <c r="J543" s="331"/>
      <c r="K543" s="331"/>
      <c r="L543" s="331"/>
      <c r="M543" s="331"/>
      <c r="N543" s="331"/>
      <c r="O543" s="331"/>
      <c r="P543" s="331"/>
      <c r="Q543" s="331"/>
      <c r="R543" s="331"/>
      <c r="S543" s="331"/>
      <c r="T543" s="331"/>
      <c r="U543" s="331"/>
      <c r="V543" s="331"/>
      <c r="W543" s="331"/>
      <c r="X543" s="331"/>
      <c r="Y543" s="331"/>
      <c r="Z543" s="331"/>
      <c r="AA543" s="331"/>
      <c r="AB543" s="331"/>
      <c r="AC543" s="331"/>
      <c r="AD543" s="331"/>
      <c r="AE543" s="331"/>
      <c r="AF543" s="331"/>
      <c r="AG543" s="331"/>
      <c r="AH543" s="331"/>
      <c r="AI543" s="331"/>
      <c r="AJ543" s="331"/>
      <c r="AK543" s="331"/>
      <c r="AL543" s="331"/>
    </row>
    <row r="544" ht="15.75" customHeight="1">
      <c r="A544" s="331"/>
      <c r="B544" s="331"/>
      <c r="C544" s="331"/>
      <c r="D544" s="331"/>
      <c r="E544" s="331"/>
      <c r="F544" s="331"/>
      <c r="G544" s="331"/>
      <c r="H544" s="331"/>
      <c r="I544" s="331"/>
      <c r="J544" s="331"/>
      <c r="K544" s="331"/>
      <c r="L544" s="331"/>
      <c r="M544" s="331"/>
      <c r="N544" s="331"/>
      <c r="O544" s="331"/>
      <c r="P544" s="331"/>
      <c r="Q544" s="331"/>
      <c r="R544" s="331"/>
      <c r="S544" s="331"/>
      <c r="T544" s="331"/>
      <c r="U544" s="331"/>
      <c r="V544" s="331"/>
      <c r="W544" s="331"/>
      <c r="X544" s="331"/>
      <c r="Y544" s="331"/>
      <c r="Z544" s="331"/>
      <c r="AA544" s="331"/>
      <c r="AB544" s="331"/>
      <c r="AC544" s="331"/>
      <c r="AD544" s="331"/>
      <c r="AE544" s="331"/>
      <c r="AF544" s="331"/>
      <c r="AG544" s="331"/>
      <c r="AH544" s="331"/>
      <c r="AI544" s="331"/>
      <c r="AJ544" s="331"/>
      <c r="AK544" s="331"/>
      <c r="AL544" s="331"/>
    </row>
    <row r="545" ht="15.75" customHeight="1">
      <c r="A545" s="331"/>
      <c r="B545" s="331"/>
      <c r="C545" s="331"/>
      <c r="D545" s="331"/>
      <c r="E545" s="331"/>
      <c r="F545" s="331"/>
      <c r="G545" s="331"/>
      <c r="H545" s="331"/>
      <c r="I545" s="331"/>
      <c r="J545" s="331"/>
      <c r="K545" s="331"/>
      <c r="L545" s="331"/>
      <c r="M545" s="331"/>
      <c r="N545" s="331"/>
      <c r="O545" s="331"/>
      <c r="P545" s="331"/>
      <c r="Q545" s="331"/>
      <c r="R545" s="331"/>
      <c r="S545" s="331"/>
      <c r="T545" s="331"/>
      <c r="U545" s="331"/>
      <c r="V545" s="331"/>
      <c r="W545" s="331"/>
      <c r="X545" s="331"/>
      <c r="Y545" s="331"/>
      <c r="Z545" s="331"/>
      <c r="AA545" s="331"/>
      <c r="AB545" s="331"/>
      <c r="AC545" s="331"/>
      <c r="AD545" s="331"/>
      <c r="AE545" s="331"/>
      <c r="AF545" s="331"/>
      <c r="AG545" s="331"/>
      <c r="AH545" s="331"/>
      <c r="AI545" s="331"/>
      <c r="AJ545" s="331"/>
      <c r="AK545" s="331"/>
      <c r="AL545" s="331"/>
    </row>
    <row r="546" ht="15.75" customHeight="1">
      <c r="A546" s="331"/>
      <c r="B546" s="331"/>
      <c r="C546" s="331"/>
      <c r="D546" s="331"/>
      <c r="E546" s="331"/>
      <c r="F546" s="331"/>
      <c r="G546" s="331"/>
      <c r="H546" s="331"/>
      <c r="I546" s="331"/>
      <c r="J546" s="331"/>
      <c r="K546" s="331"/>
      <c r="L546" s="331"/>
      <c r="M546" s="331"/>
      <c r="N546" s="331"/>
      <c r="O546" s="331"/>
      <c r="P546" s="331"/>
      <c r="Q546" s="331"/>
      <c r="R546" s="331"/>
      <c r="S546" s="331"/>
      <c r="T546" s="331"/>
      <c r="U546" s="331"/>
      <c r="V546" s="331"/>
      <c r="W546" s="331"/>
      <c r="X546" s="331"/>
      <c r="Y546" s="331"/>
      <c r="Z546" s="331"/>
      <c r="AA546" s="331"/>
      <c r="AB546" s="331"/>
      <c r="AC546" s="331"/>
      <c r="AD546" s="331"/>
      <c r="AE546" s="331"/>
      <c r="AF546" s="331"/>
      <c r="AG546" s="331"/>
      <c r="AH546" s="331"/>
      <c r="AI546" s="331"/>
      <c r="AJ546" s="331"/>
      <c r="AK546" s="331"/>
      <c r="AL546" s="331"/>
    </row>
    <row r="547" ht="15.75" customHeight="1">
      <c r="A547" s="331"/>
      <c r="B547" s="331"/>
      <c r="C547" s="331"/>
      <c r="D547" s="331"/>
      <c r="E547" s="331"/>
      <c r="F547" s="331"/>
      <c r="G547" s="331"/>
      <c r="H547" s="331"/>
      <c r="I547" s="331"/>
      <c r="J547" s="331"/>
      <c r="K547" s="331"/>
      <c r="L547" s="331"/>
      <c r="M547" s="331"/>
      <c r="N547" s="331"/>
      <c r="O547" s="331"/>
      <c r="P547" s="331"/>
      <c r="Q547" s="331"/>
      <c r="R547" s="331"/>
      <c r="S547" s="331"/>
      <c r="T547" s="331"/>
      <c r="U547" s="331"/>
      <c r="V547" s="331"/>
      <c r="W547" s="331"/>
      <c r="X547" s="331"/>
      <c r="Y547" s="331"/>
      <c r="Z547" s="331"/>
      <c r="AA547" s="331"/>
      <c r="AB547" s="331"/>
      <c r="AC547" s="331"/>
      <c r="AD547" s="331"/>
      <c r="AE547" s="331"/>
      <c r="AF547" s="331"/>
      <c r="AG547" s="331"/>
      <c r="AH547" s="331"/>
      <c r="AI547" s="331"/>
      <c r="AJ547" s="331"/>
      <c r="AK547" s="331"/>
      <c r="AL547" s="331"/>
    </row>
    <row r="548" ht="15.75" customHeight="1">
      <c r="A548" s="331"/>
      <c r="B548" s="331"/>
      <c r="C548" s="331"/>
      <c r="D548" s="331"/>
      <c r="E548" s="331"/>
      <c r="F548" s="331"/>
      <c r="G548" s="331"/>
      <c r="H548" s="331"/>
      <c r="I548" s="331"/>
      <c r="J548" s="331"/>
      <c r="K548" s="331"/>
      <c r="L548" s="331"/>
      <c r="M548" s="331"/>
      <c r="N548" s="331"/>
      <c r="O548" s="331"/>
      <c r="P548" s="331"/>
      <c r="Q548" s="331"/>
      <c r="R548" s="331"/>
      <c r="S548" s="331"/>
      <c r="T548" s="331"/>
      <c r="U548" s="331"/>
      <c r="V548" s="331"/>
      <c r="W548" s="331"/>
      <c r="X548" s="331"/>
      <c r="Y548" s="331"/>
      <c r="Z548" s="331"/>
      <c r="AA548" s="331"/>
      <c r="AB548" s="331"/>
      <c r="AC548" s="331"/>
      <c r="AD548" s="331"/>
      <c r="AE548" s="331"/>
      <c r="AF548" s="331"/>
      <c r="AG548" s="331"/>
      <c r="AH548" s="331"/>
      <c r="AI548" s="331"/>
      <c r="AJ548" s="331"/>
      <c r="AK548" s="331"/>
      <c r="AL548" s="331"/>
    </row>
    <row r="549" ht="15.75" customHeight="1">
      <c r="A549" s="331"/>
      <c r="B549" s="331"/>
      <c r="C549" s="331"/>
      <c r="D549" s="331"/>
      <c r="E549" s="331"/>
      <c r="F549" s="331"/>
      <c r="G549" s="331"/>
      <c r="H549" s="331"/>
      <c r="I549" s="331"/>
      <c r="J549" s="331"/>
      <c r="K549" s="331"/>
      <c r="L549" s="331"/>
      <c r="M549" s="331"/>
      <c r="N549" s="331"/>
      <c r="O549" s="331"/>
      <c r="P549" s="331"/>
      <c r="Q549" s="331"/>
      <c r="R549" s="331"/>
      <c r="S549" s="331"/>
      <c r="T549" s="331"/>
      <c r="U549" s="331"/>
      <c r="V549" s="331"/>
      <c r="W549" s="331"/>
      <c r="X549" s="331"/>
      <c r="Y549" s="331"/>
      <c r="Z549" s="331"/>
      <c r="AA549" s="331"/>
      <c r="AB549" s="331"/>
      <c r="AC549" s="331"/>
      <c r="AD549" s="331"/>
      <c r="AE549" s="331"/>
      <c r="AF549" s="331"/>
      <c r="AG549" s="331"/>
      <c r="AH549" s="331"/>
      <c r="AI549" s="331"/>
      <c r="AJ549" s="331"/>
      <c r="AK549" s="331"/>
      <c r="AL549" s="331"/>
    </row>
    <row r="550" ht="15.75" customHeight="1">
      <c r="A550" s="331"/>
      <c r="B550" s="331"/>
      <c r="C550" s="331"/>
      <c r="D550" s="331"/>
      <c r="E550" s="331"/>
      <c r="F550" s="331"/>
      <c r="G550" s="331"/>
      <c r="H550" s="331"/>
      <c r="I550" s="331"/>
      <c r="J550" s="331"/>
      <c r="K550" s="331"/>
      <c r="L550" s="331"/>
      <c r="M550" s="331"/>
      <c r="N550" s="331"/>
      <c r="O550" s="331"/>
      <c r="P550" s="331"/>
      <c r="Q550" s="331"/>
      <c r="R550" s="331"/>
      <c r="S550" s="331"/>
      <c r="T550" s="331"/>
      <c r="U550" s="331"/>
      <c r="V550" s="331"/>
      <c r="W550" s="331"/>
      <c r="X550" s="331"/>
      <c r="Y550" s="331"/>
      <c r="Z550" s="331"/>
      <c r="AA550" s="331"/>
      <c r="AB550" s="331"/>
      <c r="AC550" s="331"/>
      <c r="AD550" s="331"/>
      <c r="AE550" s="331"/>
      <c r="AF550" s="331"/>
      <c r="AG550" s="331"/>
      <c r="AH550" s="331"/>
      <c r="AI550" s="331"/>
      <c r="AJ550" s="331"/>
      <c r="AK550" s="331"/>
      <c r="AL550" s="331"/>
    </row>
    <row r="551" ht="15.75" customHeight="1">
      <c r="A551" s="331"/>
      <c r="B551" s="331"/>
      <c r="C551" s="331"/>
      <c r="D551" s="331"/>
      <c r="E551" s="331"/>
      <c r="F551" s="331"/>
      <c r="G551" s="331"/>
      <c r="H551" s="331"/>
      <c r="I551" s="331"/>
      <c r="J551" s="331"/>
      <c r="K551" s="331"/>
      <c r="L551" s="331"/>
      <c r="M551" s="331"/>
      <c r="N551" s="331"/>
      <c r="O551" s="331"/>
      <c r="P551" s="331"/>
      <c r="Q551" s="331"/>
      <c r="R551" s="331"/>
      <c r="S551" s="331"/>
      <c r="T551" s="331"/>
      <c r="U551" s="331"/>
      <c r="V551" s="331"/>
      <c r="W551" s="331"/>
      <c r="X551" s="331"/>
      <c r="Y551" s="331"/>
      <c r="Z551" s="331"/>
      <c r="AA551" s="331"/>
      <c r="AB551" s="331"/>
      <c r="AC551" s="331"/>
      <c r="AD551" s="331"/>
      <c r="AE551" s="331"/>
      <c r="AF551" s="331"/>
      <c r="AG551" s="331"/>
      <c r="AH551" s="331"/>
      <c r="AI551" s="331"/>
      <c r="AJ551" s="331"/>
      <c r="AK551" s="331"/>
      <c r="AL551" s="331"/>
    </row>
    <row r="552" ht="15.75" customHeight="1">
      <c r="A552" s="331"/>
      <c r="B552" s="331"/>
      <c r="C552" s="331"/>
      <c r="D552" s="331"/>
      <c r="E552" s="331"/>
      <c r="F552" s="331"/>
      <c r="G552" s="331"/>
      <c r="H552" s="331"/>
      <c r="I552" s="331"/>
      <c r="J552" s="331"/>
      <c r="K552" s="331"/>
      <c r="L552" s="331"/>
      <c r="M552" s="331"/>
      <c r="N552" s="331"/>
      <c r="O552" s="331"/>
      <c r="P552" s="331"/>
      <c r="Q552" s="331"/>
      <c r="R552" s="331"/>
      <c r="S552" s="331"/>
      <c r="T552" s="331"/>
      <c r="U552" s="331"/>
      <c r="V552" s="331"/>
      <c r="W552" s="331"/>
      <c r="X552" s="331"/>
      <c r="Y552" s="331"/>
      <c r="Z552" s="331"/>
      <c r="AA552" s="331"/>
      <c r="AB552" s="331"/>
      <c r="AC552" s="331"/>
      <c r="AD552" s="331"/>
      <c r="AE552" s="331"/>
      <c r="AF552" s="331"/>
      <c r="AG552" s="331"/>
      <c r="AH552" s="331"/>
      <c r="AI552" s="331"/>
      <c r="AJ552" s="331"/>
      <c r="AK552" s="331"/>
      <c r="AL552" s="331"/>
    </row>
    <row r="553" ht="15.75" customHeight="1">
      <c r="A553" s="331"/>
      <c r="B553" s="331"/>
      <c r="C553" s="331"/>
      <c r="D553" s="331"/>
      <c r="E553" s="331"/>
      <c r="F553" s="331"/>
      <c r="G553" s="331"/>
      <c r="H553" s="331"/>
      <c r="I553" s="331"/>
      <c r="J553" s="331"/>
      <c r="K553" s="331"/>
      <c r="L553" s="331"/>
      <c r="M553" s="331"/>
      <c r="N553" s="331"/>
      <c r="O553" s="331"/>
      <c r="P553" s="331"/>
      <c r="Q553" s="331"/>
      <c r="R553" s="331"/>
      <c r="S553" s="331"/>
      <c r="T553" s="331"/>
      <c r="U553" s="331"/>
      <c r="V553" s="331"/>
      <c r="W553" s="331"/>
      <c r="X553" s="331"/>
      <c r="Y553" s="331"/>
      <c r="Z553" s="331"/>
      <c r="AA553" s="331"/>
      <c r="AB553" s="331"/>
      <c r="AC553" s="331"/>
      <c r="AD553" s="331"/>
      <c r="AE553" s="331"/>
      <c r="AF553" s="331"/>
      <c r="AG553" s="331"/>
      <c r="AH553" s="331"/>
      <c r="AI553" s="331"/>
      <c r="AJ553" s="331"/>
      <c r="AK553" s="331"/>
      <c r="AL553" s="331"/>
    </row>
    <row r="554" ht="15.75" customHeight="1">
      <c r="A554" s="331"/>
      <c r="B554" s="331"/>
      <c r="C554" s="331"/>
      <c r="D554" s="331"/>
      <c r="E554" s="331"/>
      <c r="F554" s="331"/>
      <c r="G554" s="331"/>
      <c r="H554" s="331"/>
      <c r="I554" s="331"/>
      <c r="J554" s="331"/>
      <c r="K554" s="331"/>
      <c r="L554" s="331"/>
      <c r="M554" s="331"/>
      <c r="N554" s="331"/>
      <c r="O554" s="331"/>
      <c r="P554" s="331"/>
      <c r="Q554" s="331"/>
      <c r="R554" s="331"/>
      <c r="S554" s="331"/>
      <c r="T554" s="331"/>
      <c r="U554" s="331"/>
      <c r="V554" s="331"/>
      <c r="W554" s="331"/>
      <c r="X554" s="331"/>
      <c r="Y554" s="331"/>
      <c r="Z554" s="331"/>
      <c r="AA554" s="331"/>
      <c r="AB554" s="331"/>
      <c r="AC554" s="331"/>
      <c r="AD554" s="331"/>
      <c r="AE554" s="331"/>
      <c r="AF554" s="331"/>
      <c r="AG554" s="331"/>
      <c r="AH554" s="331"/>
      <c r="AI554" s="331"/>
      <c r="AJ554" s="331"/>
      <c r="AK554" s="331"/>
      <c r="AL554" s="331"/>
    </row>
    <row r="555" ht="15.75" customHeight="1">
      <c r="A555" s="331"/>
      <c r="B555" s="331"/>
      <c r="C555" s="331"/>
      <c r="D555" s="331"/>
      <c r="E555" s="331"/>
      <c r="F555" s="331"/>
      <c r="G555" s="331"/>
      <c r="H555" s="331"/>
      <c r="I555" s="331"/>
      <c r="J555" s="331"/>
      <c r="K555" s="331"/>
      <c r="L555" s="331"/>
      <c r="M555" s="331"/>
      <c r="N555" s="331"/>
      <c r="O555" s="331"/>
      <c r="P555" s="331"/>
      <c r="Q555" s="331"/>
      <c r="R555" s="331"/>
      <c r="S555" s="331"/>
      <c r="T555" s="331"/>
      <c r="U555" s="331"/>
      <c r="V555" s="331"/>
      <c r="W555" s="331"/>
      <c r="X555" s="331"/>
      <c r="Y555" s="331"/>
      <c r="Z555" s="331"/>
      <c r="AA555" s="331"/>
      <c r="AB555" s="331"/>
      <c r="AC555" s="331"/>
      <c r="AD555" s="331"/>
      <c r="AE555" s="331"/>
      <c r="AF555" s="331"/>
      <c r="AG555" s="331"/>
      <c r="AH555" s="331"/>
      <c r="AI555" s="331"/>
      <c r="AJ555" s="331"/>
      <c r="AK555" s="331"/>
      <c r="AL555" s="331"/>
    </row>
    <row r="556" ht="15.75" customHeight="1">
      <c r="A556" s="331"/>
      <c r="B556" s="331"/>
      <c r="C556" s="331"/>
      <c r="D556" s="331"/>
      <c r="E556" s="331"/>
      <c r="F556" s="331"/>
      <c r="G556" s="331"/>
      <c r="H556" s="331"/>
      <c r="I556" s="331"/>
      <c r="J556" s="331"/>
      <c r="K556" s="331"/>
      <c r="L556" s="331"/>
      <c r="M556" s="331"/>
      <c r="N556" s="331"/>
      <c r="O556" s="331"/>
      <c r="P556" s="331"/>
      <c r="Q556" s="331"/>
      <c r="R556" s="331"/>
      <c r="S556" s="331"/>
      <c r="T556" s="331"/>
      <c r="U556" s="331"/>
      <c r="V556" s="331"/>
      <c r="W556" s="331"/>
      <c r="X556" s="331"/>
      <c r="Y556" s="331"/>
      <c r="Z556" s="331"/>
      <c r="AA556" s="331"/>
      <c r="AB556" s="331"/>
      <c r="AC556" s="331"/>
      <c r="AD556" s="331"/>
      <c r="AE556" s="331"/>
      <c r="AF556" s="331"/>
      <c r="AG556" s="331"/>
      <c r="AH556" s="331"/>
      <c r="AI556" s="331"/>
      <c r="AJ556" s="331"/>
      <c r="AK556" s="331"/>
      <c r="AL556" s="331"/>
    </row>
    <row r="557" ht="15.75" customHeight="1">
      <c r="A557" s="331"/>
      <c r="B557" s="331"/>
      <c r="C557" s="331"/>
      <c r="D557" s="331"/>
      <c r="E557" s="331"/>
      <c r="F557" s="331"/>
      <c r="G557" s="331"/>
      <c r="H557" s="331"/>
      <c r="I557" s="331"/>
      <c r="J557" s="331"/>
      <c r="K557" s="331"/>
      <c r="L557" s="331"/>
      <c r="M557" s="331"/>
      <c r="N557" s="331"/>
      <c r="O557" s="331"/>
      <c r="P557" s="331"/>
      <c r="Q557" s="331"/>
      <c r="R557" s="331"/>
      <c r="S557" s="331"/>
      <c r="T557" s="331"/>
      <c r="U557" s="331"/>
      <c r="V557" s="331"/>
      <c r="W557" s="331"/>
      <c r="X557" s="331"/>
      <c r="Y557" s="331"/>
      <c r="Z557" s="331"/>
      <c r="AA557" s="331"/>
      <c r="AB557" s="331"/>
      <c r="AC557" s="331"/>
      <c r="AD557" s="331"/>
      <c r="AE557" s="331"/>
      <c r="AF557" s="331"/>
      <c r="AG557" s="331"/>
      <c r="AH557" s="331"/>
      <c r="AI557" s="331"/>
      <c r="AJ557" s="331"/>
      <c r="AK557" s="331"/>
      <c r="AL557" s="331"/>
    </row>
    <row r="558" ht="15.75" customHeight="1">
      <c r="A558" s="331"/>
      <c r="B558" s="331"/>
      <c r="C558" s="331"/>
      <c r="D558" s="331"/>
      <c r="E558" s="331"/>
      <c r="F558" s="331"/>
      <c r="G558" s="331"/>
      <c r="H558" s="331"/>
      <c r="I558" s="331"/>
      <c r="J558" s="331"/>
      <c r="K558" s="331"/>
      <c r="L558" s="331"/>
      <c r="M558" s="331"/>
      <c r="N558" s="331"/>
      <c r="O558" s="331"/>
      <c r="P558" s="331"/>
      <c r="Q558" s="331"/>
      <c r="R558" s="331"/>
      <c r="S558" s="331"/>
      <c r="T558" s="331"/>
      <c r="U558" s="331"/>
      <c r="V558" s="331"/>
      <c r="W558" s="331"/>
      <c r="X558" s="331"/>
      <c r="Y558" s="331"/>
      <c r="Z558" s="331"/>
      <c r="AA558" s="331"/>
      <c r="AB558" s="331"/>
      <c r="AC558" s="331"/>
      <c r="AD558" s="331"/>
      <c r="AE558" s="331"/>
      <c r="AF558" s="331"/>
      <c r="AG558" s="331"/>
      <c r="AH558" s="331"/>
      <c r="AI558" s="331"/>
      <c r="AJ558" s="331"/>
      <c r="AK558" s="331"/>
      <c r="AL558" s="331"/>
    </row>
    <row r="559" ht="15.75" customHeight="1">
      <c r="A559" s="331"/>
      <c r="B559" s="331"/>
      <c r="C559" s="331"/>
      <c r="D559" s="331"/>
      <c r="E559" s="331"/>
      <c r="F559" s="331"/>
      <c r="G559" s="331"/>
      <c r="H559" s="331"/>
      <c r="I559" s="331"/>
      <c r="J559" s="331"/>
      <c r="K559" s="331"/>
      <c r="L559" s="331"/>
      <c r="M559" s="331"/>
      <c r="N559" s="331"/>
      <c r="O559" s="331"/>
      <c r="P559" s="331"/>
      <c r="Q559" s="331"/>
      <c r="R559" s="331"/>
      <c r="S559" s="331"/>
      <c r="T559" s="331"/>
      <c r="U559" s="331"/>
      <c r="V559" s="331"/>
      <c r="W559" s="331"/>
      <c r="X559" s="331"/>
      <c r="Y559" s="331"/>
      <c r="Z559" s="331"/>
      <c r="AA559" s="331"/>
      <c r="AB559" s="331"/>
      <c r="AC559" s="331"/>
      <c r="AD559" s="331"/>
      <c r="AE559" s="331"/>
      <c r="AF559" s="331"/>
      <c r="AG559" s="331"/>
      <c r="AH559" s="331"/>
      <c r="AI559" s="331"/>
      <c r="AJ559" s="331"/>
      <c r="AK559" s="331"/>
      <c r="AL559" s="331"/>
    </row>
    <row r="560" ht="15.75" customHeight="1">
      <c r="A560" s="331"/>
      <c r="B560" s="331"/>
      <c r="C560" s="331"/>
      <c r="D560" s="331"/>
      <c r="E560" s="331"/>
      <c r="F560" s="331"/>
      <c r="G560" s="331"/>
      <c r="H560" s="331"/>
      <c r="I560" s="331"/>
      <c r="J560" s="331"/>
      <c r="K560" s="331"/>
      <c r="L560" s="331"/>
      <c r="M560" s="331"/>
      <c r="N560" s="331"/>
      <c r="O560" s="331"/>
      <c r="P560" s="331"/>
      <c r="Q560" s="331"/>
      <c r="R560" s="331"/>
      <c r="S560" s="331"/>
      <c r="T560" s="331"/>
      <c r="U560" s="331"/>
      <c r="V560" s="331"/>
      <c r="W560" s="331"/>
      <c r="X560" s="331"/>
      <c r="Y560" s="331"/>
      <c r="Z560" s="331"/>
      <c r="AA560" s="331"/>
      <c r="AB560" s="331"/>
      <c r="AC560" s="331"/>
      <c r="AD560" s="331"/>
      <c r="AE560" s="331"/>
      <c r="AF560" s="331"/>
      <c r="AG560" s="331"/>
      <c r="AH560" s="331"/>
      <c r="AI560" s="331"/>
      <c r="AJ560" s="331"/>
      <c r="AK560" s="331"/>
      <c r="AL560" s="331"/>
    </row>
    <row r="561" ht="15.75" customHeight="1">
      <c r="A561" s="331"/>
      <c r="B561" s="331"/>
      <c r="C561" s="331"/>
      <c r="D561" s="331"/>
      <c r="E561" s="331"/>
      <c r="F561" s="331"/>
      <c r="G561" s="331"/>
      <c r="H561" s="331"/>
      <c r="I561" s="331"/>
      <c r="J561" s="331"/>
      <c r="K561" s="331"/>
      <c r="L561" s="331"/>
      <c r="M561" s="331"/>
      <c r="N561" s="331"/>
      <c r="O561" s="331"/>
      <c r="P561" s="331"/>
      <c r="Q561" s="331"/>
      <c r="R561" s="331"/>
      <c r="S561" s="331"/>
      <c r="T561" s="331"/>
      <c r="U561" s="331"/>
      <c r="V561" s="331"/>
      <c r="W561" s="331"/>
      <c r="X561" s="331"/>
      <c r="Y561" s="331"/>
      <c r="Z561" s="331"/>
      <c r="AA561" s="331"/>
      <c r="AB561" s="331"/>
      <c r="AC561" s="331"/>
      <c r="AD561" s="331"/>
      <c r="AE561" s="331"/>
      <c r="AF561" s="331"/>
      <c r="AG561" s="331"/>
      <c r="AH561" s="331"/>
      <c r="AI561" s="331"/>
      <c r="AJ561" s="331"/>
      <c r="AK561" s="331"/>
      <c r="AL561" s="331"/>
    </row>
    <row r="562" ht="15.75" customHeight="1">
      <c r="A562" s="331"/>
      <c r="B562" s="331"/>
      <c r="C562" s="331"/>
      <c r="D562" s="331"/>
      <c r="E562" s="331"/>
      <c r="F562" s="331"/>
      <c r="G562" s="331"/>
      <c r="H562" s="331"/>
      <c r="I562" s="331"/>
      <c r="J562" s="331"/>
      <c r="K562" s="331"/>
      <c r="L562" s="331"/>
      <c r="M562" s="331"/>
      <c r="N562" s="331"/>
      <c r="O562" s="331"/>
      <c r="P562" s="331"/>
      <c r="Q562" s="331"/>
      <c r="R562" s="331"/>
      <c r="S562" s="331"/>
      <c r="T562" s="331"/>
      <c r="U562" s="331"/>
      <c r="V562" s="331"/>
      <c r="W562" s="331"/>
      <c r="X562" s="331"/>
      <c r="Y562" s="331"/>
      <c r="Z562" s="331"/>
      <c r="AA562" s="331"/>
      <c r="AB562" s="331"/>
      <c r="AC562" s="331"/>
      <c r="AD562" s="331"/>
      <c r="AE562" s="331"/>
      <c r="AF562" s="331"/>
      <c r="AG562" s="331"/>
      <c r="AH562" s="331"/>
      <c r="AI562" s="331"/>
      <c r="AJ562" s="331"/>
      <c r="AK562" s="331"/>
      <c r="AL562" s="331"/>
    </row>
    <row r="563" ht="15.75" customHeight="1">
      <c r="A563" s="331"/>
      <c r="B563" s="331"/>
      <c r="C563" s="331"/>
      <c r="D563" s="331"/>
      <c r="E563" s="331"/>
      <c r="F563" s="331"/>
      <c r="G563" s="331"/>
      <c r="H563" s="331"/>
      <c r="I563" s="331"/>
      <c r="J563" s="331"/>
      <c r="K563" s="331"/>
      <c r="L563" s="331"/>
      <c r="M563" s="331"/>
      <c r="N563" s="331"/>
      <c r="O563" s="331"/>
      <c r="P563" s="331"/>
      <c r="Q563" s="331"/>
      <c r="R563" s="331"/>
      <c r="S563" s="331"/>
      <c r="T563" s="331"/>
      <c r="U563" s="331"/>
      <c r="V563" s="331"/>
      <c r="W563" s="331"/>
      <c r="X563" s="331"/>
      <c r="Y563" s="331"/>
      <c r="Z563" s="331"/>
      <c r="AA563" s="331"/>
      <c r="AB563" s="331"/>
      <c r="AC563" s="331"/>
      <c r="AD563" s="331"/>
      <c r="AE563" s="331"/>
      <c r="AF563" s="331"/>
      <c r="AG563" s="331"/>
      <c r="AH563" s="331"/>
      <c r="AI563" s="331"/>
      <c r="AJ563" s="331"/>
      <c r="AK563" s="331"/>
      <c r="AL563" s="331"/>
    </row>
    <row r="564" ht="15.75" customHeight="1">
      <c r="A564" s="331"/>
      <c r="B564" s="331"/>
      <c r="C564" s="331"/>
      <c r="D564" s="331"/>
      <c r="E564" s="331"/>
      <c r="F564" s="331"/>
      <c r="G564" s="331"/>
      <c r="H564" s="331"/>
      <c r="I564" s="331"/>
      <c r="J564" s="331"/>
      <c r="K564" s="331"/>
      <c r="L564" s="331"/>
      <c r="M564" s="331"/>
      <c r="N564" s="331"/>
      <c r="O564" s="331"/>
      <c r="P564" s="331"/>
      <c r="Q564" s="331"/>
      <c r="R564" s="331"/>
      <c r="S564" s="331"/>
      <c r="T564" s="331"/>
      <c r="U564" s="331"/>
      <c r="V564" s="331"/>
      <c r="W564" s="331"/>
      <c r="X564" s="331"/>
      <c r="Y564" s="331"/>
      <c r="Z564" s="331"/>
      <c r="AA564" s="331"/>
      <c r="AB564" s="331"/>
      <c r="AC564" s="331"/>
      <c r="AD564" s="331"/>
      <c r="AE564" s="331"/>
      <c r="AF564" s="331"/>
      <c r="AG564" s="331"/>
      <c r="AH564" s="331"/>
      <c r="AI564" s="331"/>
      <c r="AJ564" s="331"/>
      <c r="AK564" s="331"/>
      <c r="AL564" s="331"/>
    </row>
    <row r="565" ht="15.75" customHeight="1">
      <c r="A565" s="331"/>
      <c r="B565" s="331"/>
      <c r="C565" s="331"/>
      <c r="D565" s="331"/>
      <c r="E565" s="331"/>
      <c r="F565" s="331"/>
      <c r="G565" s="331"/>
      <c r="H565" s="331"/>
      <c r="I565" s="331"/>
      <c r="J565" s="331"/>
      <c r="K565" s="331"/>
      <c r="L565" s="331"/>
      <c r="M565" s="331"/>
      <c r="N565" s="331"/>
      <c r="O565" s="331"/>
      <c r="P565" s="331"/>
      <c r="Q565" s="331"/>
      <c r="R565" s="331"/>
      <c r="S565" s="331"/>
      <c r="T565" s="331"/>
      <c r="U565" s="331"/>
      <c r="V565" s="331"/>
      <c r="W565" s="331"/>
      <c r="X565" s="331"/>
      <c r="Y565" s="331"/>
      <c r="Z565" s="331"/>
      <c r="AA565" s="331"/>
      <c r="AB565" s="331"/>
      <c r="AC565" s="331"/>
      <c r="AD565" s="331"/>
      <c r="AE565" s="331"/>
      <c r="AF565" s="331"/>
      <c r="AG565" s="331"/>
      <c r="AH565" s="331"/>
      <c r="AI565" s="331"/>
      <c r="AJ565" s="331"/>
      <c r="AK565" s="331"/>
      <c r="AL565" s="331"/>
    </row>
    <row r="566" ht="15.75" customHeight="1">
      <c r="A566" s="331"/>
      <c r="B566" s="331"/>
      <c r="C566" s="331"/>
      <c r="D566" s="331"/>
      <c r="E566" s="331"/>
      <c r="F566" s="331"/>
      <c r="G566" s="331"/>
      <c r="H566" s="331"/>
      <c r="I566" s="331"/>
      <c r="J566" s="331"/>
      <c r="K566" s="331"/>
      <c r="L566" s="331"/>
      <c r="M566" s="331"/>
      <c r="N566" s="331"/>
      <c r="O566" s="331"/>
      <c r="P566" s="331"/>
      <c r="Q566" s="331"/>
      <c r="R566" s="331"/>
      <c r="S566" s="331"/>
      <c r="T566" s="331"/>
      <c r="U566" s="331"/>
      <c r="V566" s="331"/>
      <c r="W566" s="331"/>
      <c r="X566" s="331"/>
      <c r="Y566" s="331"/>
      <c r="Z566" s="331"/>
      <c r="AA566" s="331"/>
      <c r="AB566" s="331"/>
      <c r="AC566" s="331"/>
      <c r="AD566" s="331"/>
      <c r="AE566" s="331"/>
      <c r="AF566" s="331"/>
      <c r="AG566" s="331"/>
      <c r="AH566" s="331"/>
      <c r="AI566" s="331"/>
      <c r="AJ566" s="331"/>
      <c r="AK566" s="331"/>
      <c r="AL566" s="331"/>
    </row>
    <row r="567" ht="15.75" customHeight="1">
      <c r="A567" s="331"/>
      <c r="B567" s="331"/>
      <c r="C567" s="331"/>
      <c r="D567" s="331"/>
      <c r="E567" s="331"/>
      <c r="F567" s="331"/>
      <c r="G567" s="331"/>
      <c r="H567" s="331"/>
      <c r="I567" s="331"/>
      <c r="J567" s="331"/>
      <c r="K567" s="331"/>
      <c r="L567" s="331"/>
      <c r="M567" s="331"/>
      <c r="N567" s="331"/>
      <c r="O567" s="331"/>
      <c r="P567" s="331"/>
      <c r="Q567" s="331"/>
      <c r="R567" s="331"/>
      <c r="S567" s="331"/>
      <c r="T567" s="331"/>
      <c r="U567" s="331"/>
      <c r="V567" s="331"/>
      <c r="W567" s="331"/>
      <c r="X567" s="331"/>
      <c r="Y567" s="331"/>
      <c r="Z567" s="331"/>
      <c r="AA567" s="331"/>
      <c r="AB567" s="331"/>
      <c r="AC567" s="331"/>
      <c r="AD567" s="331"/>
      <c r="AE567" s="331"/>
      <c r="AF567" s="331"/>
      <c r="AG567" s="331"/>
      <c r="AH567" s="331"/>
      <c r="AI567" s="331"/>
      <c r="AJ567" s="331"/>
      <c r="AK567" s="331"/>
      <c r="AL567" s="331"/>
    </row>
    <row r="568" ht="15.75" customHeight="1">
      <c r="A568" s="331"/>
      <c r="B568" s="331"/>
      <c r="C568" s="331"/>
      <c r="D568" s="331"/>
      <c r="E568" s="331"/>
      <c r="F568" s="331"/>
      <c r="G568" s="331"/>
      <c r="H568" s="331"/>
      <c r="I568" s="331"/>
      <c r="J568" s="331"/>
      <c r="K568" s="331"/>
      <c r="L568" s="331"/>
      <c r="M568" s="331"/>
      <c r="N568" s="331"/>
      <c r="O568" s="331"/>
      <c r="P568" s="331"/>
      <c r="Q568" s="331"/>
      <c r="R568" s="331"/>
      <c r="S568" s="331"/>
      <c r="T568" s="331"/>
      <c r="U568" s="331"/>
      <c r="V568" s="331"/>
      <c r="W568" s="331"/>
      <c r="X568" s="331"/>
      <c r="Y568" s="331"/>
      <c r="Z568" s="331"/>
      <c r="AA568" s="331"/>
      <c r="AB568" s="331"/>
      <c r="AC568" s="331"/>
      <c r="AD568" s="331"/>
      <c r="AE568" s="331"/>
      <c r="AF568" s="331"/>
      <c r="AG568" s="331"/>
      <c r="AH568" s="331"/>
      <c r="AI568" s="331"/>
      <c r="AJ568" s="331"/>
      <c r="AK568" s="331"/>
      <c r="AL568" s="331"/>
    </row>
    <row r="569" ht="15.75" customHeight="1">
      <c r="A569" s="331"/>
      <c r="B569" s="331"/>
      <c r="C569" s="331"/>
      <c r="D569" s="331"/>
      <c r="E569" s="331"/>
      <c r="F569" s="331"/>
      <c r="G569" s="331"/>
      <c r="H569" s="331"/>
      <c r="I569" s="331"/>
      <c r="J569" s="331"/>
      <c r="K569" s="331"/>
      <c r="L569" s="331"/>
      <c r="M569" s="331"/>
      <c r="N569" s="331"/>
      <c r="O569" s="331"/>
      <c r="P569" s="331"/>
      <c r="Q569" s="331"/>
      <c r="R569" s="331"/>
      <c r="S569" s="331"/>
      <c r="T569" s="331"/>
      <c r="U569" s="331"/>
      <c r="V569" s="331"/>
      <c r="W569" s="331"/>
      <c r="X569" s="331"/>
      <c r="Y569" s="331"/>
      <c r="Z569" s="331"/>
      <c r="AA569" s="331"/>
      <c r="AB569" s="331"/>
      <c r="AC569" s="331"/>
      <c r="AD569" s="331"/>
      <c r="AE569" s="331"/>
      <c r="AF569" s="331"/>
      <c r="AG569" s="331"/>
      <c r="AH569" s="331"/>
      <c r="AI569" s="331"/>
      <c r="AJ569" s="331"/>
      <c r="AK569" s="331"/>
      <c r="AL569" s="331"/>
    </row>
    <row r="570" ht="15.75" customHeight="1">
      <c r="A570" s="331"/>
      <c r="B570" s="331"/>
      <c r="C570" s="331"/>
      <c r="D570" s="331"/>
      <c r="E570" s="331"/>
      <c r="F570" s="331"/>
      <c r="G570" s="331"/>
      <c r="H570" s="331"/>
      <c r="I570" s="331"/>
      <c r="J570" s="331"/>
      <c r="K570" s="331"/>
      <c r="L570" s="331"/>
      <c r="M570" s="331"/>
      <c r="N570" s="331"/>
      <c r="O570" s="331"/>
      <c r="P570" s="331"/>
      <c r="Q570" s="331"/>
      <c r="R570" s="331"/>
      <c r="S570" s="331"/>
      <c r="T570" s="331"/>
      <c r="U570" s="331"/>
      <c r="V570" s="331"/>
      <c r="W570" s="331"/>
      <c r="X570" s="331"/>
      <c r="Y570" s="331"/>
      <c r="Z570" s="331"/>
      <c r="AA570" s="331"/>
      <c r="AB570" s="331"/>
      <c r="AC570" s="331"/>
      <c r="AD570" s="331"/>
      <c r="AE570" s="331"/>
      <c r="AF570" s="331"/>
      <c r="AG570" s="331"/>
      <c r="AH570" s="331"/>
      <c r="AI570" s="331"/>
      <c r="AJ570" s="331"/>
      <c r="AK570" s="331"/>
      <c r="AL570" s="331"/>
    </row>
    <row r="571" ht="15.75" customHeight="1">
      <c r="A571" s="331"/>
      <c r="B571" s="331"/>
      <c r="C571" s="331"/>
      <c r="D571" s="331"/>
      <c r="E571" s="331"/>
      <c r="F571" s="331"/>
      <c r="G571" s="331"/>
      <c r="H571" s="331"/>
      <c r="I571" s="331"/>
      <c r="J571" s="331"/>
      <c r="K571" s="331"/>
      <c r="L571" s="331"/>
      <c r="M571" s="331"/>
      <c r="N571" s="331"/>
      <c r="O571" s="331"/>
      <c r="P571" s="331"/>
      <c r="Q571" s="331"/>
      <c r="R571" s="331"/>
      <c r="S571" s="331"/>
      <c r="T571" s="331"/>
      <c r="U571" s="331"/>
      <c r="V571" s="331"/>
      <c r="W571" s="331"/>
      <c r="X571" s="331"/>
      <c r="Y571" s="331"/>
      <c r="Z571" s="331"/>
      <c r="AA571" s="331"/>
      <c r="AB571" s="331"/>
      <c r="AC571" s="331"/>
      <c r="AD571" s="331"/>
      <c r="AE571" s="331"/>
      <c r="AF571" s="331"/>
      <c r="AG571" s="331"/>
      <c r="AH571" s="331"/>
      <c r="AI571" s="331"/>
      <c r="AJ571" s="331"/>
      <c r="AK571" s="331"/>
      <c r="AL571" s="331"/>
    </row>
    <row r="572" ht="15.75" customHeight="1">
      <c r="A572" s="331"/>
      <c r="B572" s="331"/>
      <c r="C572" s="331"/>
      <c r="D572" s="331"/>
      <c r="E572" s="331"/>
      <c r="F572" s="331"/>
      <c r="G572" s="331"/>
      <c r="H572" s="331"/>
      <c r="I572" s="331"/>
      <c r="J572" s="331"/>
      <c r="K572" s="331"/>
      <c r="L572" s="331"/>
      <c r="M572" s="331"/>
      <c r="N572" s="331"/>
      <c r="O572" s="331"/>
      <c r="P572" s="331"/>
      <c r="Q572" s="331"/>
      <c r="R572" s="331"/>
      <c r="S572" s="331"/>
      <c r="T572" s="331"/>
      <c r="U572" s="331"/>
      <c r="V572" s="331"/>
      <c r="W572" s="331"/>
      <c r="X572" s="331"/>
      <c r="Y572" s="331"/>
      <c r="Z572" s="331"/>
      <c r="AA572" s="331"/>
      <c r="AB572" s="331"/>
      <c r="AC572" s="331"/>
      <c r="AD572" s="331"/>
      <c r="AE572" s="331"/>
      <c r="AF572" s="331"/>
      <c r="AG572" s="331"/>
      <c r="AH572" s="331"/>
      <c r="AI572" s="331"/>
      <c r="AJ572" s="331"/>
      <c r="AK572" s="331"/>
      <c r="AL572" s="331"/>
    </row>
    <row r="573" ht="15.75" customHeight="1">
      <c r="A573" s="331"/>
      <c r="B573" s="331"/>
      <c r="C573" s="331"/>
      <c r="D573" s="331"/>
      <c r="E573" s="331"/>
      <c r="F573" s="331"/>
      <c r="G573" s="331"/>
      <c r="H573" s="331"/>
      <c r="I573" s="331"/>
      <c r="J573" s="331"/>
      <c r="K573" s="331"/>
      <c r="L573" s="331"/>
      <c r="M573" s="331"/>
      <c r="N573" s="331"/>
      <c r="O573" s="331"/>
      <c r="P573" s="331"/>
      <c r="Q573" s="331"/>
      <c r="R573" s="331"/>
      <c r="S573" s="331"/>
      <c r="T573" s="331"/>
      <c r="U573" s="331"/>
      <c r="V573" s="331"/>
      <c r="W573" s="331"/>
      <c r="X573" s="331"/>
      <c r="Y573" s="331"/>
      <c r="Z573" s="331"/>
      <c r="AA573" s="331"/>
      <c r="AB573" s="331"/>
      <c r="AC573" s="331"/>
      <c r="AD573" s="331"/>
      <c r="AE573" s="331"/>
      <c r="AF573" s="331"/>
      <c r="AG573" s="331"/>
      <c r="AH573" s="331"/>
      <c r="AI573" s="331"/>
      <c r="AJ573" s="331"/>
      <c r="AK573" s="331"/>
      <c r="AL573" s="331"/>
    </row>
    <row r="574" ht="15.75" customHeight="1">
      <c r="A574" s="331"/>
      <c r="B574" s="331"/>
      <c r="C574" s="331"/>
      <c r="D574" s="331"/>
      <c r="E574" s="331"/>
      <c r="F574" s="331"/>
      <c r="G574" s="331"/>
      <c r="H574" s="331"/>
      <c r="I574" s="331"/>
      <c r="J574" s="331"/>
      <c r="K574" s="331"/>
      <c r="L574" s="331"/>
      <c r="M574" s="331"/>
      <c r="N574" s="331"/>
      <c r="O574" s="331"/>
      <c r="P574" s="331"/>
      <c r="Q574" s="331"/>
      <c r="R574" s="331"/>
      <c r="S574" s="331"/>
      <c r="T574" s="331"/>
      <c r="U574" s="331"/>
      <c r="V574" s="331"/>
      <c r="W574" s="331"/>
      <c r="X574" s="331"/>
      <c r="Y574" s="331"/>
      <c r="Z574" s="331"/>
      <c r="AA574" s="331"/>
      <c r="AB574" s="331"/>
      <c r="AC574" s="331"/>
      <c r="AD574" s="331"/>
      <c r="AE574" s="331"/>
      <c r="AF574" s="331"/>
      <c r="AG574" s="331"/>
      <c r="AH574" s="331"/>
      <c r="AI574" s="331"/>
      <c r="AJ574" s="331"/>
      <c r="AK574" s="331"/>
      <c r="AL574" s="331"/>
    </row>
    <row r="575" ht="15.75" customHeight="1">
      <c r="A575" s="331"/>
      <c r="B575" s="331"/>
      <c r="C575" s="331"/>
      <c r="D575" s="331"/>
      <c r="E575" s="331"/>
      <c r="F575" s="331"/>
      <c r="G575" s="331"/>
      <c r="H575" s="331"/>
      <c r="I575" s="331"/>
      <c r="J575" s="331"/>
      <c r="K575" s="331"/>
      <c r="L575" s="331"/>
      <c r="M575" s="331"/>
      <c r="N575" s="331"/>
      <c r="O575" s="331"/>
      <c r="P575" s="331"/>
      <c r="Q575" s="331"/>
      <c r="R575" s="331"/>
      <c r="S575" s="331"/>
      <c r="T575" s="331"/>
      <c r="U575" s="331"/>
      <c r="V575" s="331"/>
      <c r="W575" s="331"/>
      <c r="X575" s="331"/>
      <c r="Y575" s="331"/>
      <c r="Z575" s="331"/>
      <c r="AA575" s="331"/>
      <c r="AB575" s="331"/>
      <c r="AC575" s="331"/>
      <c r="AD575" s="331"/>
      <c r="AE575" s="331"/>
      <c r="AF575" s="331"/>
      <c r="AG575" s="331"/>
      <c r="AH575" s="331"/>
      <c r="AI575" s="331"/>
      <c r="AJ575" s="331"/>
      <c r="AK575" s="331"/>
      <c r="AL575" s="331"/>
    </row>
    <row r="576" ht="15.75" customHeight="1">
      <c r="A576" s="331"/>
      <c r="B576" s="331"/>
      <c r="C576" s="331"/>
      <c r="D576" s="331"/>
      <c r="E576" s="331"/>
      <c r="F576" s="331"/>
      <c r="G576" s="331"/>
      <c r="H576" s="331"/>
      <c r="I576" s="331"/>
      <c r="J576" s="331"/>
      <c r="K576" s="331"/>
      <c r="L576" s="331"/>
      <c r="M576" s="331"/>
      <c r="N576" s="331"/>
      <c r="O576" s="331"/>
      <c r="P576" s="331"/>
      <c r="Q576" s="331"/>
      <c r="R576" s="331"/>
      <c r="S576" s="331"/>
      <c r="T576" s="331"/>
      <c r="U576" s="331"/>
      <c r="V576" s="331"/>
      <c r="W576" s="331"/>
      <c r="X576" s="331"/>
      <c r="Y576" s="331"/>
      <c r="Z576" s="331"/>
      <c r="AA576" s="331"/>
      <c r="AB576" s="331"/>
      <c r="AC576" s="331"/>
      <c r="AD576" s="331"/>
      <c r="AE576" s="331"/>
      <c r="AF576" s="331"/>
      <c r="AG576" s="331"/>
      <c r="AH576" s="331"/>
      <c r="AI576" s="331"/>
      <c r="AJ576" s="331"/>
      <c r="AK576" s="331"/>
      <c r="AL576" s="331"/>
    </row>
    <row r="577" ht="15.75" customHeight="1">
      <c r="A577" s="331"/>
      <c r="B577" s="331"/>
      <c r="C577" s="331"/>
      <c r="D577" s="331"/>
      <c r="E577" s="331"/>
      <c r="F577" s="331"/>
      <c r="G577" s="331"/>
      <c r="H577" s="331"/>
      <c r="I577" s="331"/>
      <c r="J577" s="331"/>
      <c r="K577" s="331"/>
      <c r="L577" s="331"/>
      <c r="M577" s="331"/>
      <c r="N577" s="331"/>
      <c r="O577" s="331"/>
      <c r="P577" s="331"/>
      <c r="Q577" s="331"/>
      <c r="R577" s="331"/>
      <c r="S577" s="331"/>
      <c r="T577" s="331"/>
      <c r="U577" s="331"/>
      <c r="V577" s="331"/>
      <c r="W577" s="331"/>
      <c r="X577" s="331"/>
      <c r="Y577" s="331"/>
      <c r="Z577" s="331"/>
      <c r="AA577" s="331"/>
      <c r="AB577" s="331"/>
      <c r="AC577" s="331"/>
      <c r="AD577" s="331"/>
      <c r="AE577" s="331"/>
      <c r="AF577" s="331"/>
      <c r="AG577" s="331"/>
      <c r="AH577" s="331"/>
      <c r="AI577" s="331"/>
      <c r="AJ577" s="331"/>
      <c r="AK577" s="331"/>
      <c r="AL577" s="331"/>
    </row>
    <row r="578" ht="15.75" customHeight="1">
      <c r="A578" s="331"/>
      <c r="B578" s="331"/>
      <c r="C578" s="331"/>
      <c r="D578" s="331"/>
      <c r="E578" s="331"/>
      <c r="F578" s="331"/>
      <c r="G578" s="331"/>
      <c r="H578" s="331"/>
      <c r="I578" s="331"/>
      <c r="J578" s="331"/>
      <c r="K578" s="331"/>
      <c r="L578" s="331"/>
      <c r="M578" s="331"/>
      <c r="N578" s="331"/>
      <c r="O578" s="331"/>
      <c r="P578" s="331"/>
      <c r="Q578" s="331"/>
      <c r="R578" s="331"/>
      <c r="S578" s="331"/>
      <c r="T578" s="331"/>
      <c r="U578" s="331"/>
      <c r="V578" s="331"/>
      <c r="W578" s="331"/>
      <c r="X578" s="331"/>
      <c r="Y578" s="331"/>
      <c r="Z578" s="331"/>
      <c r="AA578" s="331"/>
      <c r="AB578" s="331"/>
      <c r="AC578" s="331"/>
      <c r="AD578" s="331"/>
      <c r="AE578" s="331"/>
      <c r="AF578" s="331"/>
      <c r="AG578" s="331"/>
      <c r="AH578" s="331"/>
      <c r="AI578" s="331"/>
      <c r="AJ578" s="331"/>
      <c r="AK578" s="331"/>
      <c r="AL578" s="331"/>
    </row>
    <row r="579" ht="15.75" customHeight="1">
      <c r="A579" s="331"/>
      <c r="B579" s="331"/>
      <c r="C579" s="331"/>
      <c r="D579" s="331"/>
      <c r="E579" s="331"/>
      <c r="F579" s="331"/>
      <c r="G579" s="331"/>
      <c r="H579" s="331"/>
      <c r="I579" s="331"/>
      <c r="J579" s="331"/>
      <c r="K579" s="331"/>
      <c r="L579" s="331"/>
      <c r="M579" s="331"/>
      <c r="N579" s="331"/>
      <c r="O579" s="331"/>
      <c r="P579" s="331"/>
      <c r="Q579" s="331"/>
      <c r="R579" s="331"/>
      <c r="S579" s="331"/>
      <c r="T579" s="331"/>
      <c r="U579" s="331"/>
      <c r="V579" s="331"/>
      <c r="W579" s="331"/>
      <c r="X579" s="331"/>
      <c r="Y579" s="331"/>
      <c r="Z579" s="331"/>
      <c r="AA579" s="331"/>
      <c r="AB579" s="331"/>
      <c r="AC579" s="331"/>
      <c r="AD579" s="331"/>
      <c r="AE579" s="331"/>
      <c r="AF579" s="331"/>
      <c r="AG579" s="331"/>
      <c r="AH579" s="331"/>
      <c r="AI579" s="331"/>
      <c r="AJ579" s="331"/>
      <c r="AK579" s="331"/>
      <c r="AL579" s="331"/>
    </row>
    <row r="580" ht="15.75" customHeight="1">
      <c r="A580" s="331"/>
      <c r="B580" s="331"/>
      <c r="C580" s="331"/>
      <c r="D580" s="331"/>
      <c r="E580" s="331"/>
      <c r="F580" s="331"/>
      <c r="G580" s="331"/>
      <c r="H580" s="331"/>
      <c r="I580" s="331"/>
      <c r="J580" s="331"/>
      <c r="K580" s="331"/>
      <c r="L580" s="331"/>
      <c r="M580" s="331"/>
      <c r="N580" s="331"/>
      <c r="O580" s="331"/>
      <c r="P580" s="331"/>
      <c r="Q580" s="331"/>
      <c r="R580" s="331"/>
      <c r="S580" s="331"/>
      <c r="T580" s="331"/>
      <c r="U580" s="331"/>
      <c r="V580" s="331"/>
      <c r="W580" s="331"/>
      <c r="X580" s="331"/>
      <c r="Y580" s="331"/>
      <c r="Z580" s="331"/>
      <c r="AA580" s="331"/>
      <c r="AB580" s="331"/>
      <c r="AC580" s="331"/>
      <c r="AD580" s="331"/>
      <c r="AE580" s="331"/>
      <c r="AF580" s="331"/>
      <c r="AG580" s="331"/>
      <c r="AH580" s="331"/>
      <c r="AI580" s="331"/>
      <c r="AJ580" s="331"/>
      <c r="AK580" s="331"/>
      <c r="AL580" s="331"/>
    </row>
    <row r="581" ht="15.75" customHeight="1">
      <c r="A581" s="331"/>
      <c r="B581" s="331"/>
      <c r="C581" s="331"/>
      <c r="D581" s="331"/>
      <c r="E581" s="331"/>
      <c r="F581" s="331"/>
      <c r="G581" s="331"/>
      <c r="H581" s="331"/>
      <c r="I581" s="331"/>
      <c r="J581" s="331"/>
      <c r="K581" s="331"/>
      <c r="L581" s="331"/>
      <c r="M581" s="331"/>
      <c r="N581" s="331"/>
      <c r="O581" s="331"/>
      <c r="P581" s="331"/>
      <c r="Q581" s="331"/>
      <c r="R581" s="331"/>
      <c r="S581" s="331"/>
      <c r="T581" s="331"/>
      <c r="U581" s="331"/>
      <c r="V581" s="331"/>
      <c r="W581" s="331"/>
      <c r="X581" s="331"/>
      <c r="Y581" s="331"/>
      <c r="Z581" s="331"/>
      <c r="AA581" s="331"/>
      <c r="AB581" s="331"/>
      <c r="AC581" s="331"/>
      <c r="AD581" s="331"/>
      <c r="AE581" s="331"/>
      <c r="AF581" s="331"/>
      <c r="AG581" s="331"/>
      <c r="AH581" s="331"/>
      <c r="AI581" s="331"/>
      <c r="AJ581" s="331"/>
      <c r="AK581" s="331"/>
      <c r="AL581" s="331"/>
    </row>
    <row r="582" ht="15.75" customHeight="1">
      <c r="A582" s="331"/>
      <c r="B582" s="331"/>
      <c r="C582" s="331"/>
      <c r="D582" s="331"/>
      <c r="E582" s="331"/>
      <c r="F582" s="331"/>
      <c r="G582" s="331"/>
      <c r="H582" s="331"/>
      <c r="I582" s="331"/>
      <c r="J582" s="331"/>
      <c r="K582" s="331"/>
      <c r="L582" s="331"/>
      <c r="M582" s="331"/>
      <c r="N582" s="331"/>
      <c r="O582" s="331"/>
      <c r="P582" s="331"/>
      <c r="Q582" s="331"/>
      <c r="R582" s="331"/>
      <c r="S582" s="331"/>
      <c r="T582" s="331"/>
      <c r="U582" s="331"/>
      <c r="V582" s="331"/>
      <c r="W582" s="331"/>
      <c r="X582" s="331"/>
      <c r="Y582" s="331"/>
      <c r="Z582" s="331"/>
      <c r="AA582" s="331"/>
      <c r="AB582" s="331"/>
      <c r="AC582" s="331"/>
      <c r="AD582" s="331"/>
      <c r="AE582" s="331"/>
      <c r="AF582" s="331"/>
      <c r="AG582" s="331"/>
      <c r="AH582" s="331"/>
      <c r="AI582" s="331"/>
      <c r="AJ582" s="331"/>
      <c r="AK582" s="331"/>
      <c r="AL582" s="331"/>
    </row>
    <row r="583" ht="15.75" customHeight="1">
      <c r="A583" s="331"/>
      <c r="B583" s="331"/>
      <c r="C583" s="331"/>
      <c r="D583" s="331"/>
      <c r="E583" s="331"/>
      <c r="F583" s="331"/>
      <c r="G583" s="331"/>
      <c r="H583" s="331"/>
      <c r="I583" s="331"/>
      <c r="J583" s="331"/>
      <c r="K583" s="331"/>
      <c r="L583" s="331"/>
      <c r="M583" s="331"/>
      <c r="N583" s="331"/>
      <c r="O583" s="331"/>
      <c r="P583" s="331"/>
      <c r="Q583" s="331"/>
      <c r="R583" s="331"/>
      <c r="S583" s="331"/>
      <c r="T583" s="331"/>
      <c r="U583" s="331"/>
      <c r="V583" s="331"/>
      <c r="W583" s="331"/>
      <c r="X583" s="331"/>
      <c r="Y583" s="331"/>
      <c r="Z583" s="331"/>
      <c r="AA583" s="331"/>
      <c r="AB583" s="331"/>
      <c r="AC583" s="331"/>
      <c r="AD583" s="331"/>
      <c r="AE583" s="331"/>
      <c r="AF583" s="331"/>
      <c r="AG583" s="331"/>
      <c r="AH583" s="331"/>
      <c r="AI583" s="331"/>
      <c r="AJ583" s="331"/>
      <c r="AK583" s="331"/>
      <c r="AL583" s="331"/>
    </row>
    <row r="584" ht="15.75" customHeight="1">
      <c r="A584" s="331"/>
      <c r="B584" s="331"/>
      <c r="C584" s="331"/>
      <c r="D584" s="331"/>
      <c r="E584" s="331"/>
      <c r="F584" s="331"/>
      <c r="G584" s="331"/>
      <c r="H584" s="331"/>
      <c r="I584" s="331"/>
      <c r="J584" s="331"/>
      <c r="K584" s="331"/>
      <c r="L584" s="331"/>
      <c r="M584" s="331"/>
      <c r="N584" s="331"/>
      <c r="O584" s="331"/>
      <c r="P584" s="331"/>
      <c r="Q584" s="331"/>
      <c r="R584" s="331"/>
      <c r="S584" s="331"/>
      <c r="T584" s="331"/>
      <c r="U584" s="331"/>
      <c r="V584" s="331"/>
      <c r="W584" s="331"/>
      <c r="X584" s="331"/>
      <c r="Y584" s="331"/>
      <c r="Z584" s="331"/>
      <c r="AA584" s="331"/>
      <c r="AB584" s="331"/>
      <c r="AC584" s="331"/>
      <c r="AD584" s="331"/>
      <c r="AE584" s="331"/>
      <c r="AF584" s="331"/>
      <c r="AG584" s="331"/>
      <c r="AH584" s="331"/>
      <c r="AI584" s="331"/>
      <c r="AJ584" s="331"/>
      <c r="AK584" s="331"/>
      <c r="AL584" s="331"/>
    </row>
    <row r="585" ht="15.75" customHeight="1">
      <c r="A585" s="331"/>
      <c r="B585" s="331"/>
      <c r="C585" s="331"/>
      <c r="D585" s="331"/>
      <c r="E585" s="331"/>
      <c r="F585" s="331"/>
      <c r="G585" s="331"/>
      <c r="H585" s="331"/>
      <c r="I585" s="331"/>
      <c r="J585" s="331"/>
      <c r="K585" s="331"/>
      <c r="L585" s="331"/>
      <c r="M585" s="331"/>
      <c r="N585" s="331"/>
      <c r="O585" s="331"/>
      <c r="P585" s="331"/>
      <c r="Q585" s="331"/>
      <c r="R585" s="331"/>
      <c r="S585" s="331"/>
      <c r="T585" s="331"/>
      <c r="U585" s="331"/>
      <c r="V585" s="331"/>
      <c r="W585" s="331"/>
      <c r="X585" s="331"/>
      <c r="Y585" s="331"/>
      <c r="Z585" s="331"/>
      <c r="AA585" s="331"/>
      <c r="AB585" s="331"/>
      <c r="AC585" s="331"/>
      <c r="AD585" s="331"/>
      <c r="AE585" s="331"/>
      <c r="AF585" s="331"/>
      <c r="AG585" s="331"/>
      <c r="AH585" s="331"/>
      <c r="AI585" s="331"/>
      <c r="AJ585" s="331"/>
      <c r="AK585" s="331"/>
      <c r="AL585" s="331"/>
    </row>
    <row r="586" ht="15.75" customHeight="1">
      <c r="A586" s="331"/>
      <c r="B586" s="331"/>
      <c r="C586" s="331"/>
      <c r="D586" s="331"/>
      <c r="E586" s="331"/>
      <c r="F586" s="331"/>
      <c r="G586" s="331"/>
      <c r="H586" s="331"/>
      <c r="I586" s="331"/>
      <c r="J586" s="331"/>
      <c r="K586" s="331"/>
      <c r="L586" s="331"/>
      <c r="M586" s="331"/>
      <c r="N586" s="331"/>
      <c r="O586" s="331"/>
      <c r="P586" s="331"/>
      <c r="Q586" s="331"/>
      <c r="R586" s="331"/>
      <c r="S586" s="331"/>
      <c r="T586" s="331"/>
      <c r="U586" s="331"/>
      <c r="V586" s="331"/>
      <c r="W586" s="331"/>
      <c r="X586" s="331"/>
      <c r="Y586" s="331"/>
      <c r="Z586" s="331"/>
      <c r="AA586" s="331"/>
      <c r="AB586" s="331"/>
      <c r="AC586" s="331"/>
      <c r="AD586" s="331"/>
      <c r="AE586" s="331"/>
      <c r="AF586" s="331"/>
      <c r="AG586" s="331"/>
      <c r="AH586" s="331"/>
      <c r="AI586" s="331"/>
      <c r="AJ586" s="331"/>
      <c r="AK586" s="331"/>
      <c r="AL586" s="331"/>
    </row>
    <row r="587" ht="15.75" customHeight="1">
      <c r="A587" s="331"/>
      <c r="B587" s="331"/>
      <c r="C587" s="331"/>
      <c r="D587" s="331"/>
      <c r="E587" s="331"/>
      <c r="F587" s="331"/>
      <c r="G587" s="331"/>
      <c r="H587" s="331"/>
      <c r="I587" s="331"/>
      <c r="J587" s="331"/>
      <c r="K587" s="331"/>
      <c r="L587" s="331"/>
      <c r="M587" s="331"/>
      <c r="N587" s="331"/>
      <c r="O587" s="331"/>
      <c r="P587" s="331"/>
      <c r="Q587" s="331"/>
      <c r="R587" s="331"/>
      <c r="S587" s="331"/>
      <c r="T587" s="331"/>
      <c r="U587" s="331"/>
      <c r="V587" s="331"/>
      <c r="W587" s="331"/>
      <c r="X587" s="331"/>
      <c r="Y587" s="331"/>
      <c r="Z587" s="331"/>
      <c r="AA587" s="331"/>
      <c r="AB587" s="331"/>
      <c r="AC587" s="331"/>
      <c r="AD587" s="331"/>
      <c r="AE587" s="331"/>
      <c r="AF587" s="331"/>
      <c r="AG587" s="331"/>
      <c r="AH587" s="331"/>
      <c r="AI587" s="331"/>
      <c r="AJ587" s="331"/>
      <c r="AK587" s="331"/>
      <c r="AL587" s="331"/>
    </row>
    <row r="588" ht="15.75" customHeight="1">
      <c r="A588" s="331"/>
      <c r="B588" s="331"/>
      <c r="C588" s="331"/>
      <c r="D588" s="331"/>
      <c r="E588" s="331"/>
      <c r="F588" s="331"/>
      <c r="G588" s="331"/>
      <c r="H588" s="331"/>
      <c r="I588" s="331"/>
      <c r="J588" s="331"/>
      <c r="K588" s="331"/>
      <c r="L588" s="331"/>
      <c r="M588" s="331"/>
      <c r="N588" s="331"/>
      <c r="O588" s="331"/>
      <c r="P588" s="331"/>
      <c r="Q588" s="331"/>
      <c r="R588" s="331"/>
      <c r="S588" s="331"/>
      <c r="T588" s="331"/>
      <c r="U588" s="331"/>
      <c r="V588" s="331"/>
      <c r="W588" s="331"/>
      <c r="X588" s="331"/>
      <c r="Y588" s="331"/>
      <c r="Z588" s="331"/>
      <c r="AA588" s="331"/>
      <c r="AB588" s="331"/>
      <c r="AC588" s="331"/>
      <c r="AD588" s="331"/>
      <c r="AE588" s="331"/>
      <c r="AF588" s="331"/>
      <c r="AG588" s="331"/>
      <c r="AH588" s="331"/>
      <c r="AI588" s="331"/>
      <c r="AJ588" s="331"/>
      <c r="AK588" s="331"/>
      <c r="AL588" s="331"/>
    </row>
    <row r="589" ht="15.75" customHeight="1">
      <c r="A589" s="331"/>
      <c r="B589" s="331"/>
      <c r="C589" s="331"/>
      <c r="D589" s="331"/>
      <c r="E589" s="331"/>
      <c r="F589" s="331"/>
      <c r="G589" s="331"/>
      <c r="H589" s="331"/>
      <c r="I589" s="331"/>
      <c r="J589" s="331"/>
      <c r="K589" s="331"/>
      <c r="L589" s="331"/>
      <c r="M589" s="331"/>
      <c r="N589" s="331"/>
      <c r="O589" s="331"/>
      <c r="P589" s="331"/>
      <c r="Q589" s="331"/>
      <c r="R589" s="331"/>
      <c r="S589" s="331"/>
      <c r="T589" s="331"/>
      <c r="U589" s="331"/>
      <c r="V589" s="331"/>
      <c r="W589" s="331"/>
      <c r="X589" s="331"/>
      <c r="Y589" s="331"/>
      <c r="Z589" s="331"/>
      <c r="AA589" s="331"/>
      <c r="AB589" s="331"/>
      <c r="AC589" s="331"/>
      <c r="AD589" s="331"/>
      <c r="AE589" s="331"/>
      <c r="AF589" s="331"/>
      <c r="AG589" s="331"/>
      <c r="AH589" s="331"/>
      <c r="AI589" s="331"/>
      <c r="AJ589" s="331"/>
      <c r="AK589" s="331"/>
      <c r="AL589" s="331"/>
    </row>
    <row r="590" ht="15.75" customHeight="1">
      <c r="A590" s="331"/>
      <c r="B590" s="331"/>
      <c r="C590" s="331"/>
      <c r="D590" s="331"/>
      <c r="E590" s="331"/>
      <c r="F590" s="331"/>
      <c r="G590" s="331"/>
      <c r="H590" s="331"/>
      <c r="I590" s="331"/>
      <c r="J590" s="331"/>
      <c r="K590" s="331"/>
      <c r="L590" s="331"/>
      <c r="M590" s="331"/>
      <c r="N590" s="331"/>
      <c r="O590" s="331"/>
      <c r="P590" s="331"/>
      <c r="Q590" s="331"/>
      <c r="R590" s="331"/>
      <c r="S590" s="331"/>
      <c r="T590" s="331"/>
      <c r="U590" s="331"/>
      <c r="V590" s="331"/>
      <c r="W590" s="331"/>
      <c r="X590" s="331"/>
      <c r="Y590" s="331"/>
      <c r="Z590" s="331"/>
      <c r="AA590" s="331"/>
      <c r="AB590" s="331"/>
      <c r="AC590" s="331"/>
      <c r="AD590" s="331"/>
      <c r="AE590" s="331"/>
      <c r="AF590" s="331"/>
      <c r="AG590" s="331"/>
      <c r="AH590" s="331"/>
      <c r="AI590" s="331"/>
      <c r="AJ590" s="331"/>
      <c r="AK590" s="331"/>
      <c r="AL590" s="331"/>
    </row>
    <row r="591" ht="15.75" customHeight="1">
      <c r="A591" s="331"/>
      <c r="B591" s="331"/>
      <c r="C591" s="331"/>
      <c r="D591" s="331"/>
      <c r="E591" s="331"/>
      <c r="F591" s="331"/>
      <c r="G591" s="331"/>
      <c r="H591" s="331"/>
      <c r="I591" s="331"/>
      <c r="J591" s="331"/>
      <c r="K591" s="331"/>
      <c r="L591" s="331"/>
      <c r="M591" s="331"/>
      <c r="N591" s="331"/>
      <c r="O591" s="331"/>
      <c r="P591" s="331"/>
      <c r="Q591" s="331"/>
      <c r="R591" s="331"/>
      <c r="S591" s="331"/>
      <c r="T591" s="331"/>
      <c r="U591" s="331"/>
      <c r="V591" s="331"/>
      <c r="W591" s="331"/>
      <c r="X591" s="331"/>
      <c r="Y591" s="331"/>
      <c r="Z591" s="331"/>
      <c r="AA591" s="331"/>
      <c r="AB591" s="331"/>
      <c r="AC591" s="331"/>
      <c r="AD591" s="331"/>
      <c r="AE591" s="331"/>
      <c r="AF591" s="331"/>
      <c r="AG591" s="331"/>
      <c r="AH591" s="331"/>
      <c r="AI591" s="331"/>
      <c r="AJ591" s="331"/>
      <c r="AK591" s="331"/>
      <c r="AL591" s="331"/>
    </row>
    <row r="592" ht="15.75" customHeight="1">
      <c r="A592" s="331"/>
      <c r="B592" s="331"/>
      <c r="C592" s="331"/>
      <c r="D592" s="331"/>
      <c r="E592" s="331"/>
      <c r="F592" s="331"/>
      <c r="G592" s="331"/>
      <c r="H592" s="331"/>
      <c r="I592" s="331"/>
      <c r="J592" s="331"/>
      <c r="K592" s="331"/>
      <c r="L592" s="331"/>
      <c r="M592" s="331"/>
      <c r="N592" s="331"/>
      <c r="O592" s="331"/>
      <c r="P592" s="331"/>
      <c r="Q592" s="331"/>
      <c r="R592" s="331"/>
      <c r="S592" s="331"/>
      <c r="T592" s="331"/>
      <c r="U592" s="331"/>
      <c r="V592" s="331"/>
      <c r="W592" s="331"/>
      <c r="X592" s="331"/>
      <c r="Y592" s="331"/>
      <c r="Z592" s="331"/>
      <c r="AA592" s="331"/>
      <c r="AB592" s="331"/>
      <c r="AC592" s="331"/>
      <c r="AD592" s="331"/>
      <c r="AE592" s="331"/>
      <c r="AF592" s="331"/>
      <c r="AG592" s="331"/>
      <c r="AH592" s="331"/>
      <c r="AI592" s="331"/>
      <c r="AJ592" s="331"/>
      <c r="AK592" s="331"/>
      <c r="AL592" s="331"/>
    </row>
    <row r="593" ht="15.75" customHeight="1">
      <c r="A593" s="331"/>
      <c r="B593" s="331"/>
      <c r="C593" s="331"/>
      <c r="D593" s="331"/>
      <c r="E593" s="331"/>
      <c r="F593" s="331"/>
      <c r="G593" s="331"/>
      <c r="H593" s="331"/>
      <c r="I593" s="331"/>
      <c r="J593" s="331"/>
      <c r="K593" s="331"/>
      <c r="L593" s="331"/>
      <c r="M593" s="331"/>
      <c r="N593" s="331"/>
      <c r="O593" s="331"/>
      <c r="P593" s="331"/>
      <c r="Q593" s="331"/>
      <c r="R593" s="331"/>
      <c r="S593" s="331"/>
      <c r="T593" s="331"/>
      <c r="U593" s="331"/>
      <c r="V593" s="331"/>
      <c r="W593" s="331"/>
      <c r="X593" s="331"/>
      <c r="Y593" s="331"/>
      <c r="Z593" s="331"/>
      <c r="AA593" s="331"/>
      <c r="AB593" s="331"/>
      <c r="AC593" s="331"/>
      <c r="AD593" s="331"/>
      <c r="AE593" s="331"/>
      <c r="AF593" s="331"/>
      <c r="AG593" s="331"/>
      <c r="AH593" s="331"/>
      <c r="AI593" s="331"/>
      <c r="AJ593" s="331"/>
      <c r="AK593" s="331"/>
      <c r="AL593" s="331"/>
    </row>
    <row r="594" ht="15.75" customHeight="1">
      <c r="A594" s="331"/>
      <c r="B594" s="331"/>
      <c r="C594" s="331"/>
      <c r="D594" s="331"/>
      <c r="E594" s="331"/>
      <c r="F594" s="331"/>
      <c r="G594" s="331"/>
      <c r="H594" s="331"/>
      <c r="I594" s="331"/>
      <c r="J594" s="331"/>
      <c r="K594" s="331"/>
      <c r="L594" s="331"/>
      <c r="M594" s="331"/>
      <c r="N594" s="331"/>
      <c r="O594" s="331"/>
      <c r="P594" s="331"/>
      <c r="Q594" s="331"/>
      <c r="R594" s="331"/>
      <c r="S594" s="331"/>
      <c r="T594" s="331"/>
      <c r="U594" s="331"/>
      <c r="V594" s="331"/>
      <c r="W594" s="331"/>
      <c r="X594" s="331"/>
      <c r="Y594" s="331"/>
      <c r="Z594" s="331"/>
      <c r="AA594" s="331"/>
      <c r="AB594" s="331"/>
      <c r="AC594" s="331"/>
      <c r="AD594" s="331"/>
      <c r="AE594" s="331"/>
      <c r="AF594" s="331"/>
      <c r="AG594" s="331"/>
      <c r="AH594" s="331"/>
      <c r="AI594" s="331"/>
      <c r="AJ594" s="331"/>
      <c r="AK594" s="331"/>
      <c r="AL594" s="331"/>
    </row>
    <row r="595" ht="15.75" customHeight="1">
      <c r="A595" s="331"/>
      <c r="B595" s="331"/>
      <c r="C595" s="331"/>
      <c r="D595" s="331"/>
      <c r="E595" s="331"/>
      <c r="F595" s="331"/>
      <c r="G595" s="331"/>
      <c r="H595" s="331"/>
      <c r="I595" s="331"/>
      <c r="J595" s="331"/>
      <c r="K595" s="331"/>
      <c r="L595" s="331"/>
      <c r="M595" s="331"/>
      <c r="N595" s="331"/>
      <c r="O595" s="331"/>
      <c r="P595" s="331"/>
      <c r="Q595" s="331"/>
      <c r="R595" s="331"/>
      <c r="S595" s="331"/>
      <c r="T595" s="331"/>
      <c r="U595" s="331"/>
      <c r="V595" s="331"/>
      <c r="W595" s="331"/>
      <c r="X595" s="331"/>
      <c r="Y595" s="331"/>
      <c r="Z595" s="331"/>
      <c r="AA595" s="331"/>
      <c r="AB595" s="331"/>
      <c r="AC595" s="331"/>
      <c r="AD595" s="331"/>
      <c r="AE595" s="331"/>
      <c r="AF595" s="331"/>
      <c r="AG595" s="331"/>
      <c r="AH595" s="331"/>
      <c r="AI595" s="331"/>
      <c r="AJ595" s="331"/>
      <c r="AK595" s="331"/>
      <c r="AL595" s="331"/>
    </row>
    <row r="596" ht="15.75" customHeight="1">
      <c r="A596" s="331"/>
      <c r="B596" s="331"/>
      <c r="C596" s="331"/>
      <c r="D596" s="331"/>
      <c r="E596" s="331"/>
      <c r="F596" s="331"/>
      <c r="G596" s="331"/>
      <c r="H596" s="331"/>
      <c r="I596" s="331"/>
      <c r="J596" s="331"/>
      <c r="K596" s="331"/>
      <c r="L596" s="331"/>
      <c r="M596" s="331"/>
      <c r="N596" s="331"/>
      <c r="O596" s="331"/>
      <c r="P596" s="331"/>
      <c r="Q596" s="331"/>
      <c r="R596" s="331"/>
      <c r="S596" s="331"/>
      <c r="T596" s="331"/>
      <c r="U596" s="331"/>
      <c r="V596" s="331"/>
      <c r="W596" s="331"/>
      <c r="X596" s="331"/>
      <c r="Y596" s="331"/>
      <c r="Z596" s="331"/>
      <c r="AA596" s="331"/>
      <c r="AB596" s="331"/>
      <c r="AC596" s="331"/>
      <c r="AD596" s="331"/>
      <c r="AE596" s="331"/>
      <c r="AF596" s="331"/>
      <c r="AG596" s="331"/>
      <c r="AH596" s="331"/>
      <c r="AI596" s="331"/>
      <c r="AJ596" s="331"/>
      <c r="AK596" s="331"/>
      <c r="AL596" s="331"/>
    </row>
    <row r="597" ht="15.75" customHeight="1">
      <c r="A597" s="331"/>
      <c r="B597" s="331"/>
      <c r="C597" s="331"/>
      <c r="D597" s="331"/>
      <c r="E597" s="331"/>
      <c r="F597" s="331"/>
      <c r="G597" s="331"/>
      <c r="H597" s="331"/>
      <c r="I597" s="331"/>
      <c r="J597" s="331"/>
      <c r="K597" s="331"/>
      <c r="L597" s="331"/>
      <c r="M597" s="331"/>
      <c r="N597" s="331"/>
      <c r="O597" s="331"/>
      <c r="P597" s="331"/>
      <c r="Q597" s="331"/>
      <c r="R597" s="331"/>
      <c r="S597" s="331"/>
      <c r="T597" s="331"/>
      <c r="U597" s="331"/>
      <c r="V597" s="331"/>
      <c r="W597" s="331"/>
      <c r="X597" s="331"/>
      <c r="Y597" s="331"/>
      <c r="Z597" s="331"/>
      <c r="AA597" s="331"/>
      <c r="AB597" s="331"/>
      <c r="AC597" s="331"/>
      <c r="AD597" s="331"/>
      <c r="AE597" s="331"/>
      <c r="AF597" s="331"/>
      <c r="AG597" s="331"/>
      <c r="AH597" s="331"/>
      <c r="AI597" s="331"/>
      <c r="AJ597" s="331"/>
      <c r="AK597" s="331"/>
      <c r="AL597" s="331"/>
    </row>
    <row r="598" ht="15.75" customHeight="1">
      <c r="A598" s="331"/>
      <c r="B598" s="331"/>
      <c r="C598" s="331"/>
      <c r="D598" s="331"/>
      <c r="E598" s="331"/>
      <c r="F598" s="331"/>
      <c r="G598" s="331"/>
      <c r="H598" s="331"/>
      <c r="I598" s="331"/>
      <c r="J598" s="331"/>
      <c r="K598" s="331"/>
      <c r="L598" s="331"/>
      <c r="M598" s="331"/>
      <c r="N598" s="331"/>
      <c r="O598" s="331"/>
      <c r="P598" s="331"/>
      <c r="Q598" s="331"/>
      <c r="R598" s="331"/>
      <c r="S598" s="331"/>
      <c r="T598" s="331"/>
      <c r="U598" s="331"/>
      <c r="V598" s="331"/>
      <c r="W598" s="331"/>
      <c r="X598" s="331"/>
      <c r="Y598" s="331"/>
      <c r="Z598" s="331"/>
      <c r="AA598" s="331"/>
      <c r="AB598" s="331"/>
      <c r="AC598" s="331"/>
      <c r="AD598" s="331"/>
      <c r="AE598" s="331"/>
      <c r="AF598" s="331"/>
      <c r="AG598" s="331"/>
      <c r="AH598" s="331"/>
      <c r="AI598" s="331"/>
      <c r="AJ598" s="331"/>
      <c r="AK598" s="331"/>
      <c r="AL598" s="331"/>
    </row>
    <row r="599" ht="15.75" customHeight="1">
      <c r="A599" s="331"/>
      <c r="B599" s="331"/>
      <c r="C599" s="331"/>
      <c r="D599" s="331"/>
      <c r="E599" s="331"/>
      <c r="F599" s="331"/>
      <c r="G599" s="331"/>
      <c r="H599" s="331"/>
      <c r="I599" s="331"/>
      <c r="J599" s="331"/>
      <c r="K599" s="331"/>
      <c r="L599" s="331"/>
      <c r="M599" s="331"/>
      <c r="N599" s="331"/>
      <c r="O599" s="331"/>
      <c r="P599" s="331"/>
      <c r="Q599" s="331"/>
      <c r="R599" s="331"/>
      <c r="S599" s="331"/>
      <c r="T599" s="331"/>
      <c r="U599" s="331"/>
      <c r="V599" s="331"/>
      <c r="W599" s="331"/>
      <c r="X599" s="331"/>
      <c r="Y599" s="331"/>
      <c r="Z599" s="331"/>
      <c r="AA599" s="331"/>
      <c r="AB599" s="331"/>
      <c r="AC599" s="331"/>
      <c r="AD599" s="331"/>
      <c r="AE599" s="331"/>
      <c r="AF599" s="331"/>
      <c r="AG599" s="331"/>
      <c r="AH599" s="331"/>
      <c r="AI599" s="331"/>
      <c r="AJ599" s="331"/>
      <c r="AK599" s="331"/>
      <c r="AL599" s="331"/>
    </row>
    <row r="600" ht="15.75" customHeight="1">
      <c r="A600" s="331"/>
      <c r="B600" s="331"/>
      <c r="C600" s="331"/>
      <c r="D600" s="331"/>
      <c r="E600" s="331"/>
      <c r="F600" s="331"/>
      <c r="G600" s="331"/>
      <c r="H600" s="331"/>
      <c r="I600" s="331"/>
      <c r="J600" s="331"/>
      <c r="K600" s="331"/>
      <c r="L600" s="331"/>
      <c r="M600" s="331"/>
      <c r="N600" s="331"/>
      <c r="O600" s="331"/>
      <c r="P600" s="331"/>
      <c r="Q600" s="331"/>
      <c r="R600" s="331"/>
      <c r="S600" s="331"/>
      <c r="T600" s="331"/>
      <c r="U600" s="331"/>
      <c r="V600" s="331"/>
      <c r="W600" s="331"/>
      <c r="X600" s="331"/>
      <c r="Y600" s="331"/>
      <c r="Z600" s="331"/>
      <c r="AA600" s="331"/>
      <c r="AB600" s="331"/>
      <c r="AC600" s="331"/>
      <c r="AD600" s="331"/>
      <c r="AE600" s="331"/>
      <c r="AF600" s="331"/>
      <c r="AG600" s="331"/>
      <c r="AH600" s="331"/>
      <c r="AI600" s="331"/>
      <c r="AJ600" s="331"/>
      <c r="AK600" s="331"/>
      <c r="AL600" s="331"/>
    </row>
    <row r="601" ht="15.75" customHeight="1">
      <c r="A601" s="331"/>
      <c r="B601" s="331"/>
      <c r="C601" s="331"/>
      <c r="D601" s="331"/>
      <c r="E601" s="331"/>
      <c r="F601" s="331"/>
      <c r="G601" s="331"/>
      <c r="H601" s="331"/>
      <c r="I601" s="331"/>
      <c r="J601" s="331"/>
      <c r="K601" s="331"/>
      <c r="L601" s="331"/>
      <c r="M601" s="331"/>
      <c r="N601" s="331"/>
      <c r="O601" s="331"/>
      <c r="P601" s="331"/>
      <c r="Q601" s="331"/>
      <c r="R601" s="331"/>
      <c r="S601" s="331"/>
      <c r="T601" s="331"/>
      <c r="U601" s="331"/>
      <c r="V601" s="331"/>
      <c r="W601" s="331"/>
      <c r="X601" s="331"/>
      <c r="Y601" s="331"/>
      <c r="Z601" s="331"/>
      <c r="AA601" s="331"/>
      <c r="AB601" s="331"/>
      <c r="AC601" s="331"/>
      <c r="AD601" s="331"/>
      <c r="AE601" s="331"/>
      <c r="AF601" s="331"/>
      <c r="AG601" s="331"/>
      <c r="AH601" s="331"/>
      <c r="AI601" s="331"/>
      <c r="AJ601" s="331"/>
      <c r="AK601" s="331"/>
      <c r="AL601" s="331"/>
    </row>
    <row r="602" ht="15.75" customHeight="1">
      <c r="A602" s="331"/>
      <c r="B602" s="331"/>
      <c r="C602" s="331"/>
      <c r="D602" s="331"/>
      <c r="E602" s="331"/>
      <c r="F602" s="331"/>
      <c r="G602" s="331"/>
      <c r="H602" s="331"/>
      <c r="I602" s="331"/>
      <c r="J602" s="331"/>
      <c r="K602" s="331"/>
      <c r="L602" s="331"/>
      <c r="M602" s="331"/>
      <c r="N602" s="331"/>
      <c r="O602" s="331"/>
      <c r="P602" s="331"/>
      <c r="Q602" s="331"/>
      <c r="R602" s="331"/>
      <c r="S602" s="331"/>
      <c r="T602" s="331"/>
      <c r="U602" s="331"/>
      <c r="V602" s="331"/>
      <c r="W602" s="331"/>
      <c r="X602" s="331"/>
      <c r="Y602" s="331"/>
      <c r="Z602" s="331"/>
      <c r="AA602" s="331"/>
      <c r="AB602" s="331"/>
      <c r="AC602" s="331"/>
      <c r="AD602" s="331"/>
      <c r="AE602" s="331"/>
      <c r="AF602" s="331"/>
      <c r="AG602" s="331"/>
      <c r="AH602" s="331"/>
      <c r="AI602" s="331"/>
      <c r="AJ602" s="331"/>
      <c r="AK602" s="331"/>
      <c r="AL602" s="331"/>
    </row>
    <row r="603" ht="15.75" customHeight="1">
      <c r="A603" s="331"/>
      <c r="B603" s="331"/>
      <c r="C603" s="331"/>
      <c r="D603" s="331"/>
      <c r="E603" s="331"/>
      <c r="F603" s="331"/>
      <c r="G603" s="331"/>
      <c r="H603" s="331"/>
      <c r="I603" s="331"/>
      <c r="J603" s="331"/>
      <c r="K603" s="331"/>
      <c r="L603" s="331"/>
      <c r="M603" s="331"/>
      <c r="N603" s="331"/>
      <c r="O603" s="331"/>
      <c r="P603" s="331"/>
      <c r="Q603" s="331"/>
      <c r="R603" s="331"/>
      <c r="S603" s="331"/>
      <c r="T603" s="331"/>
      <c r="U603" s="331"/>
      <c r="V603" s="331"/>
      <c r="W603" s="331"/>
      <c r="X603" s="331"/>
      <c r="Y603" s="331"/>
      <c r="Z603" s="331"/>
      <c r="AA603" s="331"/>
      <c r="AB603" s="331"/>
      <c r="AC603" s="331"/>
      <c r="AD603" s="331"/>
      <c r="AE603" s="331"/>
      <c r="AF603" s="331"/>
      <c r="AG603" s="331"/>
      <c r="AH603" s="331"/>
      <c r="AI603" s="331"/>
      <c r="AJ603" s="331"/>
      <c r="AK603" s="331"/>
      <c r="AL603" s="331"/>
    </row>
    <row r="604" ht="15.75" customHeight="1">
      <c r="A604" s="331"/>
      <c r="B604" s="331"/>
      <c r="C604" s="331"/>
      <c r="D604" s="331"/>
      <c r="E604" s="331"/>
      <c r="F604" s="331"/>
      <c r="G604" s="331"/>
      <c r="H604" s="331"/>
      <c r="I604" s="331"/>
      <c r="J604" s="331"/>
      <c r="K604" s="331"/>
      <c r="L604" s="331"/>
      <c r="M604" s="331"/>
      <c r="N604" s="331"/>
      <c r="O604" s="331"/>
      <c r="P604" s="331"/>
      <c r="Q604" s="331"/>
      <c r="R604" s="331"/>
      <c r="S604" s="331"/>
      <c r="T604" s="331"/>
      <c r="U604" s="331"/>
      <c r="V604" s="331"/>
      <c r="W604" s="331"/>
      <c r="X604" s="331"/>
      <c r="Y604" s="331"/>
      <c r="Z604" s="331"/>
      <c r="AA604" s="331"/>
      <c r="AB604" s="331"/>
      <c r="AC604" s="331"/>
      <c r="AD604" s="331"/>
      <c r="AE604" s="331"/>
      <c r="AF604" s="331"/>
      <c r="AG604" s="331"/>
      <c r="AH604" s="331"/>
      <c r="AI604" s="331"/>
      <c r="AJ604" s="331"/>
      <c r="AK604" s="331"/>
      <c r="AL604" s="331"/>
    </row>
    <row r="605" ht="15.75" customHeight="1">
      <c r="A605" s="331"/>
      <c r="B605" s="331"/>
      <c r="C605" s="331"/>
      <c r="D605" s="331"/>
      <c r="E605" s="331"/>
      <c r="F605" s="331"/>
      <c r="G605" s="331"/>
      <c r="H605" s="331"/>
      <c r="I605" s="331"/>
      <c r="J605" s="331"/>
      <c r="K605" s="331"/>
      <c r="L605" s="331"/>
      <c r="M605" s="331"/>
      <c r="N605" s="331"/>
      <c r="O605" s="331"/>
      <c r="P605" s="331"/>
      <c r="Q605" s="331"/>
      <c r="R605" s="331"/>
      <c r="S605" s="331"/>
      <c r="T605" s="331"/>
      <c r="U605" s="331"/>
      <c r="V605" s="331"/>
      <c r="W605" s="331"/>
      <c r="X605" s="331"/>
      <c r="Y605" s="331"/>
      <c r="Z605" s="331"/>
      <c r="AA605" s="331"/>
      <c r="AB605" s="331"/>
      <c r="AC605" s="331"/>
      <c r="AD605" s="331"/>
      <c r="AE605" s="331"/>
      <c r="AF605" s="331"/>
      <c r="AG605" s="331"/>
      <c r="AH605" s="331"/>
      <c r="AI605" s="331"/>
      <c r="AJ605" s="331"/>
      <c r="AK605" s="331"/>
      <c r="AL605" s="331"/>
    </row>
    <row r="606" ht="15.75" customHeight="1">
      <c r="A606" s="331"/>
      <c r="B606" s="331"/>
      <c r="C606" s="331"/>
      <c r="D606" s="331"/>
      <c r="E606" s="331"/>
      <c r="F606" s="331"/>
      <c r="G606" s="331"/>
      <c r="H606" s="331"/>
      <c r="I606" s="331"/>
      <c r="J606" s="331"/>
      <c r="K606" s="331"/>
      <c r="L606" s="331"/>
      <c r="M606" s="331"/>
      <c r="N606" s="331"/>
      <c r="O606" s="331"/>
      <c r="P606" s="331"/>
      <c r="Q606" s="331"/>
      <c r="R606" s="331"/>
      <c r="S606" s="331"/>
      <c r="T606" s="331"/>
      <c r="U606" s="331"/>
      <c r="V606" s="331"/>
      <c r="W606" s="331"/>
      <c r="X606" s="331"/>
      <c r="Y606" s="331"/>
      <c r="Z606" s="331"/>
      <c r="AA606" s="331"/>
      <c r="AB606" s="331"/>
      <c r="AC606" s="331"/>
      <c r="AD606" s="331"/>
      <c r="AE606" s="331"/>
      <c r="AF606" s="331"/>
      <c r="AG606" s="331"/>
      <c r="AH606" s="331"/>
      <c r="AI606" s="331"/>
      <c r="AJ606" s="331"/>
      <c r="AK606" s="331"/>
      <c r="AL606" s="331"/>
    </row>
    <row r="607" ht="15.75" customHeight="1">
      <c r="A607" s="331"/>
      <c r="B607" s="331"/>
      <c r="C607" s="331"/>
      <c r="D607" s="331"/>
      <c r="E607" s="331"/>
      <c r="F607" s="331"/>
      <c r="G607" s="331"/>
      <c r="H607" s="331"/>
      <c r="I607" s="331"/>
      <c r="J607" s="331"/>
      <c r="K607" s="331"/>
      <c r="L607" s="331"/>
      <c r="M607" s="331"/>
      <c r="N607" s="331"/>
      <c r="O607" s="331"/>
      <c r="P607" s="331"/>
      <c r="Q607" s="331"/>
      <c r="R607" s="331"/>
      <c r="S607" s="331"/>
      <c r="T607" s="331"/>
      <c r="U607" s="331"/>
      <c r="V607" s="331"/>
      <c r="W607" s="331"/>
      <c r="X607" s="331"/>
      <c r="Y607" s="331"/>
      <c r="Z607" s="331"/>
      <c r="AA607" s="331"/>
      <c r="AB607" s="331"/>
      <c r="AC607" s="331"/>
      <c r="AD607" s="331"/>
      <c r="AE607" s="331"/>
      <c r="AF607" s="331"/>
      <c r="AG607" s="331"/>
      <c r="AH607" s="331"/>
      <c r="AI607" s="331"/>
      <c r="AJ607" s="331"/>
      <c r="AK607" s="331"/>
      <c r="AL607" s="331"/>
    </row>
    <row r="608" ht="15.75" customHeight="1">
      <c r="A608" s="331"/>
      <c r="B608" s="331"/>
      <c r="C608" s="331"/>
      <c r="D608" s="331"/>
      <c r="E608" s="331"/>
      <c r="F608" s="331"/>
      <c r="G608" s="331"/>
      <c r="H608" s="331"/>
      <c r="I608" s="331"/>
      <c r="J608" s="331"/>
      <c r="K608" s="331"/>
      <c r="L608" s="331"/>
      <c r="M608" s="331"/>
      <c r="N608" s="331"/>
      <c r="O608" s="331"/>
      <c r="P608" s="331"/>
      <c r="Q608" s="331"/>
      <c r="R608" s="331"/>
      <c r="S608" s="331"/>
      <c r="T608" s="331"/>
      <c r="U608" s="331"/>
      <c r="V608" s="331"/>
      <c r="W608" s="331"/>
      <c r="X608" s="331"/>
      <c r="Y608" s="331"/>
      <c r="Z608" s="331"/>
      <c r="AA608" s="331"/>
      <c r="AB608" s="331"/>
      <c r="AC608" s="331"/>
      <c r="AD608" s="331"/>
      <c r="AE608" s="331"/>
      <c r="AF608" s="331"/>
      <c r="AG608" s="331"/>
      <c r="AH608" s="331"/>
      <c r="AI608" s="331"/>
      <c r="AJ608" s="331"/>
      <c r="AK608" s="331"/>
      <c r="AL608" s="331"/>
    </row>
    <row r="609" ht="15.75" customHeight="1">
      <c r="A609" s="331"/>
      <c r="B609" s="331"/>
      <c r="C609" s="331"/>
      <c r="D609" s="331"/>
      <c r="E609" s="331"/>
      <c r="F609" s="331"/>
      <c r="G609" s="331"/>
      <c r="H609" s="331"/>
      <c r="I609" s="331"/>
      <c r="J609" s="331"/>
      <c r="K609" s="331"/>
      <c r="L609" s="331"/>
      <c r="M609" s="331"/>
      <c r="N609" s="331"/>
      <c r="O609" s="331"/>
      <c r="P609" s="331"/>
      <c r="Q609" s="331"/>
      <c r="R609" s="331"/>
      <c r="S609" s="331"/>
      <c r="T609" s="331"/>
      <c r="U609" s="331"/>
      <c r="V609" s="331"/>
      <c r="W609" s="331"/>
      <c r="X609" s="331"/>
      <c r="Y609" s="331"/>
      <c r="Z609" s="331"/>
      <c r="AA609" s="331"/>
      <c r="AB609" s="331"/>
      <c r="AC609" s="331"/>
      <c r="AD609" s="331"/>
      <c r="AE609" s="331"/>
      <c r="AF609" s="331"/>
      <c r="AG609" s="331"/>
      <c r="AH609" s="331"/>
      <c r="AI609" s="331"/>
      <c r="AJ609" s="331"/>
      <c r="AK609" s="331"/>
      <c r="AL609" s="331"/>
    </row>
    <row r="610" ht="15.75" customHeight="1">
      <c r="A610" s="331"/>
      <c r="B610" s="331"/>
      <c r="C610" s="331"/>
      <c r="D610" s="331"/>
      <c r="E610" s="331"/>
      <c r="F610" s="331"/>
      <c r="G610" s="331"/>
      <c r="H610" s="331"/>
      <c r="I610" s="331"/>
      <c r="J610" s="331"/>
      <c r="K610" s="331"/>
      <c r="L610" s="331"/>
      <c r="M610" s="331"/>
      <c r="N610" s="331"/>
      <c r="O610" s="331"/>
      <c r="P610" s="331"/>
      <c r="Q610" s="331"/>
      <c r="R610" s="331"/>
      <c r="S610" s="331"/>
      <c r="T610" s="331"/>
      <c r="U610" s="331"/>
      <c r="V610" s="331"/>
      <c r="W610" s="331"/>
      <c r="X610" s="331"/>
      <c r="Y610" s="331"/>
      <c r="Z610" s="331"/>
      <c r="AA610" s="331"/>
      <c r="AB610" s="331"/>
      <c r="AC610" s="331"/>
      <c r="AD610" s="331"/>
      <c r="AE610" s="331"/>
      <c r="AF610" s="331"/>
      <c r="AG610" s="331"/>
      <c r="AH610" s="331"/>
      <c r="AI610" s="331"/>
      <c r="AJ610" s="331"/>
      <c r="AK610" s="331"/>
      <c r="AL610" s="331"/>
    </row>
    <row r="611" ht="15.75" customHeight="1">
      <c r="A611" s="331"/>
      <c r="B611" s="331"/>
      <c r="C611" s="331"/>
      <c r="D611" s="331"/>
      <c r="E611" s="331"/>
      <c r="F611" s="331"/>
      <c r="G611" s="331"/>
      <c r="H611" s="331"/>
      <c r="I611" s="331"/>
      <c r="J611" s="331"/>
      <c r="K611" s="331"/>
      <c r="L611" s="331"/>
      <c r="M611" s="331"/>
      <c r="N611" s="331"/>
      <c r="O611" s="331"/>
      <c r="P611" s="331"/>
      <c r="Q611" s="331"/>
      <c r="R611" s="331"/>
      <c r="S611" s="331"/>
      <c r="T611" s="331"/>
      <c r="U611" s="331"/>
      <c r="V611" s="331"/>
      <c r="W611" s="331"/>
      <c r="X611" s="331"/>
      <c r="Y611" s="331"/>
      <c r="Z611" s="331"/>
      <c r="AA611" s="331"/>
      <c r="AB611" s="331"/>
      <c r="AC611" s="331"/>
      <c r="AD611" s="331"/>
      <c r="AE611" s="331"/>
      <c r="AF611" s="331"/>
      <c r="AG611" s="331"/>
      <c r="AH611" s="331"/>
      <c r="AI611" s="331"/>
      <c r="AJ611" s="331"/>
      <c r="AK611" s="331"/>
      <c r="AL611" s="331"/>
    </row>
    <row r="612" ht="15.75" customHeight="1">
      <c r="A612" s="331"/>
      <c r="B612" s="331"/>
      <c r="C612" s="331"/>
      <c r="D612" s="331"/>
      <c r="E612" s="331"/>
      <c r="F612" s="331"/>
      <c r="G612" s="331"/>
      <c r="H612" s="331"/>
      <c r="I612" s="331"/>
      <c r="J612" s="331"/>
      <c r="K612" s="331"/>
      <c r="L612" s="331"/>
      <c r="M612" s="331"/>
      <c r="N612" s="331"/>
      <c r="O612" s="331"/>
      <c r="P612" s="331"/>
      <c r="Q612" s="331"/>
      <c r="R612" s="331"/>
      <c r="S612" s="331"/>
      <c r="T612" s="331"/>
      <c r="U612" s="331"/>
      <c r="V612" s="331"/>
      <c r="W612" s="331"/>
      <c r="X612" s="331"/>
      <c r="Y612" s="331"/>
      <c r="Z612" s="331"/>
      <c r="AA612" s="331"/>
      <c r="AB612" s="331"/>
      <c r="AC612" s="331"/>
      <c r="AD612" s="331"/>
      <c r="AE612" s="331"/>
      <c r="AF612" s="331"/>
      <c r="AG612" s="331"/>
      <c r="AH612" s="331"/>
      <c r="AI612" s="331"/>
      <c r="AJ612" s="331"/>
      <c r="AK612" s="331"/>
      <c r="AL612" s="331"/>
    </row>
    <row r="613" ht="15.75" customHeight="1">
      <c r="A613" s="331"/>
      <c r="B613" s="331"/>
      <c r="C613" s="331"/>
      <c r="D613" s="331"/>
      <c r="E613" s="331"/>
      <c r="F613" s="331"/>
      <c r="G613" s="331"/>
      <c r="H613" s="331"/>
      <c r="I613" s="331"/>
      <c r="J613" s="331"/>
      <c r="K613" s="331"/>
      <c r="L613" s="331"/>
      <c r="M613" s="331"/>
      <c r="N613" s="331"/>
      <c r="O613" s="331"/>
      <c r="P613" s="331"/>
      <c r="Q613" s="331"/>
      <c r="R613" s="331"/>
      <c r="S613" s="331"/>
      <c r="T613" s="331"/>
      <c r="U613" s="331"/>
      <c r="V613" s="331"/>
      <c r="W613" s="331"/>
      <c r="X613" s="331"/>
      <c r="Y613" s="331"/>
      <c r="Z613" s="331"/>
      <c r="AA613" s="331"/>
      <c r="AB613" s="331"/>
      <c r="AC613" s="331"/>
      <c r="AD613" s="331"/>
      <c r="AE613" s="331"/>
      <c r="AF613" s="331"/>
      <c r="AG613" s="331"/>
      <c r="AH613" s="331"/>
      <c r="AI613" s="331"/>
      <c r="AJ613" s="331"/>
      <c r="AK613" s="331"/>
      <c r="AL613" s="331"/>
    </row>
    <row r="614" ht="15.75" customHeight="1">
      <c r="A614" s="331"/>
      <c r="B614" s="331"/>
      <c r="C614" s="331"/>
      <c r="D614" s="331"/>
      <c r="E614" s="331"/>
      <c r="F614" s="331"/>
      <c r="G614" s="331"/>
      <c r="H614" s="331"/>
      <c r="I614" s="331"/>
      <c r="J614" s="331"/>
      <c r="K614" s="331"/>
      <c r="L614" s="331"/>
      <c r="M614" s="331"/>
      <c r="N614" s="331"/>
      <c r="O614" s="331"/>
      <c r="P614" s="331"/>
      <c r="Q614" s="331"/>
      <c r="R614" s="331"/>
      <c r="S614" s="331"/>
      <c r="T614" s="331"/>
      <c r="U614" s="331"/>
      <c r="V614" s="331"/>
      <c r="W614" s="331"/>
      <c r="X614" s="331"/>
      <c r="Y614" s="331"/>
      <c r="Z614" s="331"/>
      <c r="AA614" s="331"/>
      <c r="AB614" s="331"/>
      <c r="AC614" s="331"/>
      <c r="AD614" s="331"/>
      <c r="AE614" s="331"/>
      <c r="AF614" s="331"/>
      <c r="AG614" s="331"/>
      <c r="AH614" s="331"/>
      <c r="AI614" s="331"/>
      <c r="AJ614" s="331"/>
      <c r="AK614" s="331"/>
      <c r="AL614" s="331"/>
    </row>
    <row r="615" ht="15.75" customHeight="1">
      <c r="A615" s="331"/>
      <c r="B615" s="331"/>
      <c r="C615" s="331"/>
      <c r="D615" s="331"/>
      <c r="E615" s="331"/>
      <c r="F615" s="331"/>
      <c r="G615" s="331"/>
      <c r="H615" s="331"/>
      <c r="I615" s="331"/>
      <c r="J615" s="331"/>
      <c r="K615" s="331"/>
      <c r="L615" s="331"/>
      <c r="M615" s="331"/>
      <c r="N615" s="331"/>
      <c r="O615" s="331"/>
      <c r="P615" s="331"/>
      <c r="Q615" s="331"/>
      <c r="R615" s="331"/>
      <c r="S615" s="331"/>
      <c r="T615" s="331"/>
      <c r="U615" s="331"/>
      <c r="V615" s="331"/>
      <c r="W615" s="331"/>
      <c r="X615" s="331"/>
      <c r="Y615" s="331"/>
      <c r="Z615" s="331"/>
      <c r="AA615" s="331"/>
      <c r="AB615" s="331"/>
      <c r="AC615" s="331"/>
      <c r="AD615" s="331"/>
      <c r="AE615" s="331"/>
      <c r="AF615" s="331"/>
      <c r="AG615" s="331"/>
      <c r="AH615" s="331"/>
      <c r="AI615" s="331"/>
      <c r="AJ615" s="331"/>
      <c r="AK615" s="331"/>
      <c r="AL615" s="331"/>
    </row>
    <row r="616" ht="15.75" customHeight="1">
      <c r="A616" s="331"/>
      <c r="B616" s="331"/>
      <c r="C616" s="331"/>
      <c r="D616" s="331"/>
      <c r="E616" s="331"/>
      <c r="F616" s="331"/>
      <c r="G616" s="331"/>
      <c r="H616" s="331"/>
      <c r="I616" s="331"/>
      <c r="J616" s="331"/>
      <c r="K616" s="331"/>
      <c r="L616" s="331"/>
      <c r="M616" s="331"/>
      <c r="N616" s="331"/>
      <c r="O616" s="331"/>
      <c r="P616" s="331"/>
      <c r="Q616" s="331"/>
      <c r="R616" s="331"/>
      <c r="S616" s="331"/>
      <c r="T616" s="331"/>
      <c r="U616" s="331"/>
      <c r="V616" s="331"/>
      <c r="W616" s="331"/>
      <c r="X616" s="331"/>
      <c r="Y616" s="331"/>
      <c r="Z616" s="331"/>
      <c r="AA616" s="331"/>
      <c r="AB616" s="331"/>
      <c r="AC616" s="331"/>
      <c r="AD616" s="331"/>
      <c r="AE616" s="331"/>
      <c r="AF616" s="331"/>
      <c r="AG616" s="331"/>
      <c r="AH616" s="331"/>
      <c r="AI616" s="331"/>
      <c r="AJ616" s="331"/>
      <c r="AK616" s="331"/>
      <c r="AL616" s="331"/>
    </row>
    <row r="617" ht="15.75" customHeight="1">
      <c r="A617" s="331"/>
      <c r="B617" s="331"/>
      <c r="C617" s="331"/>
      <c r="D617" s="331"/>
      <c r="E617" s="331"/>
      <c r="F617" s="331"/>
      <c r="G617" s="331"/>
      <c r="H617" s="331"/>
      <c r="I617" s="331"/>
      <c r="J617" s="331"/>
      <c r="K617" s="331"/>
      <c r="L617" s="331"/>
      <c r="M617" s="331"/>
      <c r="N617" s="331"/>
      <c r="O617" s="331"/>
      <c r="P617" s="331"/>
      <c r="Q617" s="331"/>
      <c r="R617" s="331"/>
      <c r="S617" s="331"/>
      <c r="T617" s="331"/>
      <c r="U617" s="331"/>
      <c r="V617" s="331"/>
      <c r="W617" s="331"/>
      <c r="X617" s="331"/>
      <c r="Y617" s="331"/>
      <c r="Z617" s="331"/>
      <c r="AA617" s="331"/>
      <c r="AB617" s="331"/>
      <c r="AC617" s="331"/>
      <c r="AD617" s="331"/>
      <c r="AE617" s="331"/>
      <c r="AF617" s="331"/>
      <c r="AG617" s="331"/>
      <c r="AH617" s="331"/>
      <c r="AI617" s="331"/>
      <c r="AJ617" s="331"/>
      <c r="AK617" s="331"/>
      <c r="AL617" s="331"/>
    </row>
    <row r="618" ht="15.75" customHeight="1">
      <c r="A618" s="331"/>
      <c r="B618" s="331"/>
      <c r="C618" s="331"/>
      <c r="D618" s="331"/>
      <c r="E618" s="331"/>
      <c r="F618" s="331"/>
      <c r="G618" s="331"/>
      <c r="H618" s="331"/>
      <c r="I618" s="331"/>
      <c r="J618" s="331"/>
      <c r="K618" s="331"/>
      <c r="L618" s="331"/>
      <c r="M618" s="331"/>
      <c r="N618" s="331"/>
      <c r="O618" s="331"/>
      <c r="P618" s="331"/>
      <c r="Q618" s="331"/>
      <c r="R618" s="331"/>
      <c r="S618" s="331"/>
      <c r="T618" s="331"/>
      <c r="U618" s="331"/>
      <c r="V618" s="331"/>
      <c r="W618" s="331"/>
      <c r="X618" s="331"/>
      <c r="Y618" s="331"/>
      <c r="Z618" s="331"/>
      <c r="AA618" s="331"/>
      <c r="AB618" s="331"/>
      <c r="AC618" s="331"/>
      <c r="AD618" s="331"/>
      <c r="AE618" s="331"/>
      <c r="AF618" s="331"/>
      <c r="AG618" s="331"/>
      <c r="AH618" s="331"/>
      <c r="AI618" s="331"/>
      <c r="AJ618" s="331"/>
      <c r="AK618" s="331"/>
      <c r="AL618" s="331"/>
    </row>
    <row r="619" ht="15.75" customHeight="1">
      <c r="A619" s="331"/>
      <c r="B619" s="331"/>
      <c r="C619" s="331"/>
      <c r="D619" s="331"/>
      <c r="E619" s="331"/>
      <c r="F619" s="331"/>
      <c r="G619" s="331"/>
      <c r="H619" s="331"/>
      <c r="I619" s="331"/>
      <c r="J619" s="331"/>
      <c r="K619" s="331"/>
      <c r="L619" s="331"/>
      <c r="M619" s="331"/>
      <c r="N619" s="331"/>
      <c r="O619" s="331"/>
      <c r="P619" s="331"/>
      <c r="Q619" s="331"/>
      <c r="R619" s="331"/>
      <c r="S619" s="331"/>
      <c r="T619" s="331"/>
      <c r="U619" s="331"/>
      <c r="V619" s="331"/>
      <c r="W619" s="331"/>
      <c r="X619" s="331"/>
      <c r="Y619" s="331"/>
      <c r="Z619" s="331"/>
      <c r="AA619" s="331"/>
      <c r="AB619" s="331"/>
      <c r="AC619" s="331"/>
      <c r="AD619" s="331"/>
      <c r="AE619" s="331"/>
      <c r="AF619" s="331"/>
      <c r="AG619" s="331"/>
      <c r="AH619" s="331"/>
      <c r="AI619" s="331"/>
      <c r="AJ619" s="331"/>
      <c r="AK619" s="331"/>
      <c r="AL619" s="331"/>
    </row>
    <row r="620" ht="15.75" customHeight="1">
      <c r="A620" s="331"/>
      <c r="B620" s="331"/>
      <c r="C620" s="331"/>
      <c r="D620" s="331"/>
      <c r="E620" s="331"/>
      <c r="F620" s="331"/>
      <c r="G620" s="331"/>
      <c r="H620" s="331"/>
      <c r="I620" s="331"/>
      <c r="J620" s="331"/>
      <c r="K620" s="331"/>
      <c r="L620" s="331"/>
      <c r="M620" s="331"/>
      <c r="N620" s="331"/>
      <c r="O620" s="331"/>
      <c r="P620" s="331"/>
      <c r="Q620" s="331"/>
      <c r="R620" s="331"/>
      <c r="S620" s="331"/>
      <c r="T620" s="331"/>
      <c r="U620" s="331"/>
      <c r="V620" s="331"/>
      <c r="W620" s="331"/>
      <c r="X620" s="331"/>
      <c r="Y620" s="331"/>
      <c r="Z620" s="331"/>
      <c r="AA620" s="331"/>
      <c r="AB620" s="331"/>
      <c r="AC620" s="331"/>
      <c r="AD620" s="331"/>
      <c r="AE620" s="331"/>
      <c r="AF620" s="331"/>
      <c r="AG620" s="331"/>
      <c r="AH620" s="331"/>
      <c r="AI620" s="331"/>
      <c r="AJ620" s="331"/>
      <c r="AK620" s="331"/>
      <c r="AL620" s="331"/>
    </row>
    <row r="621" ht="15.75" customHeight="1">
      <c r="A621" s="331"/>
      <c r="B621" s="331"/>
      <c r="C621" s="331"/>
      <c r="D621" s="331"/>
      <c r="E621" s="331"/>
      <c r="F621" s="331"/>
      <c r="G621" s="331"/>
      <c r="H621" s="331"/>
      <c r="I621" s="331"/>
      <c r="J621" s="331"/>
      <c r="K621" s="331"/>
      <c r="L621" s="331"/>
      <c r="M621" s="331"/>
      <c r="N621" s="331"/>
      <c r="O621" s="331"/>
      <c r="P621" s="331"/>
      <c r="Q621" s="331"/>
      <c r="R621" s="331"/>
      <c r="S621" s="331"/>
      <c r="T621" s="331"/>
      <c r="U621" s="331"/>
      <c r="V621" s="331"/>
      <c r="W621" s="331"/>
      <c r="X621" s="331"/>
      <c r="Y621" s="331"/>
      <c r="Z621" s="331"/>
      <c r="AA621" s="331"/>
      <c r="AB621" s="331"/>
      <c r="AC621" s="331"/>
      <c r="AD621" s="331"/>
      <c r="AE621" s="331"/>
      <c r="AF621" s="331"/>
      <c r="AG621" s="331"/>
      <c r="AH621" s="331"/>
      <c r="AI621" s="331"/>
      <c r="AJ621" s="331"/>
      <c r="AK621" s="331"/>
      <c r="AL621" s="331"/>
    </row>
    <row r="622" ht="15.75" customHeight="1">
      <c r="A622" s="331"/>
      <c r="B622" s="331"/>
      <c r="C622" s="331"/>
      <c r="D622" s="331"/>
      <c r="E622" s="331"/>
      <c r="F622" s="331"/>
      <c r="G622" s="331"/>
      <c r="H622" s="331"/>
      <c r="I622" s="331"/>
      <c r="J622" s="331"/>
      <c r="K622" s="331"/>
      <c r="L622" s="331"/>
      <c r="M622" s="331"/>
      <c r="N622" s="331"/>
      <c r="O622" s="331"/>
      <c r="P622" s="331"/>
      <c r="Q622" s="331"/>
      <c r="R622" s="331"/>
      <c r="S622" s="331"/>
      <c r="T622" s="331"/>
      <c r="U622" s="331"/>
      <c r="V622" s="331"/>
      <c r="W622" s="331"/>
      <c r="X622" s="331"/>
      <c r="Y622" s="331"/>
      <c r="Z622" s="331"/>
      <c r="AA622" s="331"/>
      <c r="AB622" s="331"/>
      <c r="AC622" s="331"/>
      <c r="AD622" s="331"/>
      <c r="AE622" s="331"/>
      <c r="AF622" s="331"/>
      <c r="AG622" s="331"/>
      <c r="AH622" s="331"/>
      <c r="AI622" s="331"/>
      <c r="AJ622" s="331"/>
      <c r="AK622" s="331"/>
      <c r="AL622" s="331"/>
    </row>
    <row r="623" ht="15.75" customHeight="1">
      <c r="A623" s="331"/>
      <c r="B623" s="331"/>
      <c r="C623" s="331"/>
      <c r="D623" s="331"/>
      <c r="E623" s="331"/>
      <c r="F623" s="331"/>
      <c r="G623" s="331"/>
      <c r="H623" s="331"/>
      <c r="I623" s="331"/>
      <c r="J623" s="331"/>
      <c r="K623" s="331"/>
      <c r="L623" s="331"/>
      <c r="M623" s="331"/>
      <c r="N623" s="331"/>
      <c r="O623" s="331"/>
      <c r="P623" s="331"/>
      <c r="Q623" s="331"/>
      <c r="R623" s="331"/>
      <c r="S623" s="331"/>
      <c r="T623" s="331"/>
      <c r="U623" s="331"/>
      <c r="V623" s="331"/>
      <c r="W623" s="331"/>
      <c r="X623" s="331"/>
      <c r="Y623" s="331"/>
      <c r="Z623" s="331"/>
      <c r="AA623" s="331"/>
      <c r="AB623" s="331"/>
      <c r="AC623" s="331"/>
      <c r="AD623" s="331"/>
      <c r="AE623" s="331"/>
      <c r="AF623" s="331"/>
      <c r="AG623" s="331"/>
      <c r="AH623" s="331"/>
      <c r="AI623" s="331"/>
      <c r="AJ623" s="331"/>
      <c r="AK623" s="331"/>
      <c r="AL623" s="331"/>
    </row>
    <row r="624" ht="15.75" customHeight="1">
      <c r="A624" s="331"/>
      <c r="B624" s="331"/>
      <c r="C624" s="331"/>
      <c r="D624" s="331"/>
      <c r="E624" s="331"/>
      <c r="F624" s="331"/>
      <c r="G624" s="331"/>
      <c r="H624" s="331"/>
      <c r="I624" s="331"/>
      <c r="J624" s="331"/>
      <c r="K624" s="331"/>
      <c r="L624" s="331"/>
      <c r="M624" s="331"/>
      <c r="N624" s="331"/>
      <c r="O624" s="331"/>
      <c r="P624" s="331"/>
      <c r="Q624" s="331"/>
      <c r="R624" s="331"/>
      <c r="S624" s="331"/>
      <c r="T624" s="331"/>
      <c r="U624" s="331"/>
      <c r="V624" s="331"/>
      <c r="W624" s="331"/>
      <c r="X624" s="331"/>
      <c r="Y624" s="331"/>
      <c r="Z624" s="331"/>
      <c r="AA624" s="331"/>
      <c r="AB624" s="331"/>
      <c r="AC624" s="331"/>
      <c r="AD624" s="331"/>
      <c r="AE624" s="331"/>
      <c r="AF624" s="331"/>
      <c r="AG624" s="331"/>
      <c r="AH624" s="331"/>
      <c r="AI624" s="331"/>
      <c r="AJ624" s="331"/>
      <c r="AK624" s="331"/>
      <c r="AL624" s="331"/>
    </row>
    <row r="625" ht="15.75" customHeight="1">
      <c r="A625" s="331"/>
      <c r="B625" s="331"/>
      <c r="C625" s="331"/>
      <c r="D625" s="331"/>
      <c r="E625" s="331"/>
      <c r="F625" s="331"/>
      <c r="G625" s="331"/>
      <c r="H625" s="331"/>
      <c r="I625" s="331"/>
      <c r="J625" s="331"/>
      <c r="K625" s="331"/>
      <c r="L625" s="331"/>
      <c r="M625" s="331"/>
      <c r="N625" s="331"/>
      <c r="O625" s="331"/>
      <c r="P625" s="331"/>
      <c r="Q625" s="331"/>
      <c r="R625" s="331"/>
      <c r="S625" s="331"/>
      <c r="T625" s="331"/>
      <c r="U625" s="331"/>
      <c r="V625" s="331"/>
      <c r="W625" s="331"/>
      <c r="X625" s="331"/>
      <c r="Y625" s="331"/>
      <c r="Z625" s="331"/>
      <c r="AA625" s="331"/>
      <c r="AB625" s="331"/>
      <c r="AC625" s="331"/>
      <c r="AD625" s="331"/>
      <c r="AE625" s="331"/>
      <c r="AF625" s="331"/>
      <c r="AG625" s="331"/>
      <c r="AH625" s="331"/>
      <c r="AI625" s="331"/>
      <c r="AJ625" s="331"/>
      <c r="AK625" s="331"/>
      <c r="AL625" s="331"/>
    </row>
    <row r="626" ht="15.75" customHeight="1">
      <c r="A626" s="331"/>
      <c r="B626" s="331"/>
      <c r="C626" s="331"/>
      <c r="D626" s="331"/>
      <c r="E626" s="331"/>
      <c r="F626" s="331"/>
      <c r="G626" s="331"/>
      <c r="H626" s="331"/>
      <c r="I626" s="331"/>
      <c r="J626" s="331"/>
      <c r="K626" s="331"/>
      <c r="L626" s="331"/>
      <c r="M626" s="331"/>
      <c r="N626" s="331"/>
      <c r="O626" s="331"/>
      <c r="P626" s="331"/>
      <c r="Q626" s="331"/>
      <c r="R626" s="331"/>
      <c r="S626" s="331"/>
      <c r="T626" s="331"/>
      <c r="U626" s="331"/>
      <c r="V626" s="331"/>
      <c r="W626" s="331"/>
      <c r="X626" s="331"/>
      <c r="Y626" s="331"/>
      <c r="Z626" s="331"/>
      <c r="AA626" s="331"/>
      <c r="AB626" s="331"/>
      <c r="AC626" s="331"/>
      <c r="AD626" s="331"/>
      <c r="AE626" s="331"/>
      <c r="AF626" s="331"/>
      <c r="AG626" s="331"/>
      <c r="AH626" s="331"/>
      <c r="AI626" s="331"/>
      <c r="AJ626" s="331"/>
      <c r="AK626" s="331"/>
      <c r="AL626" s="331"/>
    </row>
    <row r="627" ht="15.75" customHeight="1">
      <c r="A627" s="331"/>
      <c r="B627" s="331"/>
      <c r="C627" s="331"/>
      <c r="D627" s="331"/>
      <c r="E627" s="331"/>
      <c r="F627" s="331"/>
      <c r="G627" s="331"/>
      <c r="H627" s="331"/>
      <c r="I627" s="331"/>
      <c r="J627" s="331"/>
      <c r="K627" s="331"/>
      <c r="L627" s="331"/>
      <c r="M627" s="331"/>
      <c r="N627" s="331"/>
      <c r="O627" s="331"/>
      <c r="P627" s="331"/>
      <c r="Q627" s="331"/>
      <c r="R627" s="331"/>
      <c r="S627" s="331"/>
      <c r="T627" s="331"/>
      <c r="U627" s="331"/>
      <c r="V627" s="331"/>
      <c r="W627" s="331"/>
      <c r="X627" s="331"/>
      <c r="Y627" s="331"/>
      <c r="Z627" s="331"/>
      <c r="AA627" s="331"/>
      <c r="AB627" s="331"/>
      <c r="AC627" s="331"/>
      <c r="AD627" s="331"/>
      <c r="AE627" s="331"/>
      <c r="AF627" s="331"/>
      <c r="AG627" s="331"/>
      <c r="AH627" s="331"/>
      <c r="AI627" s="331"/>
      <c r="AJ627" s="331"/>
      <c r="AK627" s="331"/>
      <c r="AL627" s="331"/>
    </row>
    <row r="628" ht="15.75" customHeight="1">
      <c r="A628" s="331"/>
      <c r="B628" s="331"/>
      <c r="C628" s="331"/>
      <c r="D628" s="331"/>
      <c r="E628" s="331"/>
      <c r="F628" s="331"/>
      <c r="G628" s="331"/>
      <c r="H628" s="331"/>
      <c r="I628" s="331"/>
      <c r="J628" s="331"/>
      <c r="K628" s="331"/>
      <c r="L628" s="331"/>
      <c r="M628" s="331"/>
      <c r="N628" s="331"/>
      <c r="O628" s="331"/>
      <c r="P628" s="331"/>
      <c r="Q628" s="331"/>
      <c r="R628" s="331"/>
      <c r="S628" s="331"/>
      <c r="T628" s="331"/>
      <c r="U628" s="331"/>
      <c r="V628" s="331"/>
      <c r="W628" s="331"/>
      <c r="X628" s="331"/>
      <c r="Y628" s="331"/>
      <c r="Z628" s="331"/>
      <c r="AA628" s="331"/>
      <c r="AB628" s="331"/>
      <c r="AC628" s="331"/>
      <c r="AD628" s="331"/>
      <c r="AE628" s="331"/>
      <c r="AF628" s="331"/>
      <c r="AG628" s="331"/>
      <c r="AH628" s="331"/>
      <c r="AI628" s="331"/>
      <c r="AJ628" s="331"/>
      <c r="AK628" s="331"/>
      <c r="AL628" s="331"/>
    </row>
    <row r="629" ht="15.75" customHeight="1">
      <c r="A629" s="331"/>
      <c r="B629" s="331"/>
      <c r="C629" s="331"/>
      <c r="D629" s="331"/>
      <c r="E629" s="331"/>
      <c r="F629" s="331"/>
      <c r="G629" s="331"/>
      <c r="H629" s="331"/>
      <c r="I629" s="331"/>
      <c r="J629" s="331"/>
      <c r="K629" s="331"/>
      <c r="L629" s="331"/>
      <c r="M629" s="331"/>
      <c r="N629" s="331"/>
      <c r="O629" s="331"/>
      <c r="P629" s="331"/>
      <c r="Q629" s="331"/>
      <c r="R629" s="331"/>
      <c r="S629" s="331"/>
      <c r="T629" s="331"/>
      <c r="U629" s="331"/>
      <c r="V629" s="331"/>
      <c r="W629" s="331"/>
      <c r="X629" s="331"/>
      <c r="Y629" s="331"/>
      <c r="Z629" s="331"/>
      <c r="AA629" s="331"/>
      <c r="AB629" s="331"/>
      <c r="AC629" s="331"/>
      <c r="AD629" s="331"/>
      <c r="AE629" s="331"/>
      <c r="AF629" s="331"/>
      <c r="AG629" s="331"/>
      <c r="AH629" s="331"/>
      <c r="AI629" s="331"/>
      <c r="AJ629" s="331"/>
      <c r="AK629" s="331"/>
      <c r="AL629" s="331"/>
    </row>
    <row r="630" ht="15.75" customHeight="1">
      <c r="A630" s="331"/>
      <c r="B630" s="331"/>
      <c r="C630" s="331"/>
      <c r="D630" s="331"/>
      <c r="E630" s="331"/>
      <c r="F630" s="331"/>
      <c r="G630" s="331"/>
      <c r="H630" s="331"/>
      <c r="I630" s="331"/>
      <c r="J630" s="331"/>
      <c r="K630" s="331"/>
      <c r="L630" s="331"/>
      <c r="M630" s="331"/>
      <c r="N630" s="331"/>
      <c r="O630" s="331"/>
      <c r="P630" s="331"/>
      <c r="Q630" s="331"/>
      <c r="R630" s="331"/>
      <c r="S630" s="331"/>
      <c r="T630" s="331"/>
      <c r="U630" s="331"/>
      <c r="V630" s="331"/>
      <c r="W630" s="331"/>
      <c r="X630" s="331"/>
      <c r="Y630" s="331"/>
      <c r="Z630" s="331"/>
      <c r="AA630" s="331"/>
      <c r="AB630" s="331"/>
      <c r="AC630" s="331"/>
      <c r="AD630" s="331"/>
      <c r="AE630" s="331"/>
      <c r="AF630" s="331"/>
      <c r="AG630" s="331"/>
      <c r="AH630" s="331"/>
      <c r="AI630" s="331"/>
      <c r="AJ630" s="331"/>
      <c r="AK630" s="331"/>
      <c r="AL630" s="331"/>
    </row>
    <row r="631" ht="15.75" customHeight="1">
      <c r="A631" s="331"/>
      <c r="B631" s="331"/>
      <c r="C631" s="331"/>
      <c r="D631" s="331"/>
      <c r="E631" s="331"/>
      <c r="F631" s="331"/>
      <c r="G631" s="331"/>
      <c r="H631" s="331"/>
      <c r="I631" s="331"/>
      <c r="J631" s="331"/>
      <c r="K631" s="331"/>
      <c r="L631" s="331"/>
      <c r="M631" s="331"/>
      <c r="N631" s="331"/>
      <c r="O631" s="331"/>
      <c r="P631" s="331"/>
      <c r="Q631" s="331"/>
      <c r="R631" s="331"/>
      <c r="S631" s="331"/>
      <c r="T631" s="331"/>
      <c r="U631" s="331"/>
      <c r="V631" s="331"/>
      <c r="W631" s="331"/>
      <c r="X631" s="331"/>
      <c r="Y631" s="331"/>
      <c r="Z631" s="331"/>
      <c r="AA631" s="331"/>
      <c r="AB631" s="331"/>
      <c r="AC631" s="331"/>
      <c r="AD631" s="331"/>
      <c r="AE631" s="331"/>
      <c r="AF631" s="331"/>
      <c r="AG631" s="331"/>
      <c r="AH631" s="331"/>
      <c r="AI631" s="331"/>
      <c r="AJ631" s="331"/>
      <c r="AK631" s="331"/>
      <c r="AL631" s="331"/>
    </row>
    <row r="632" ht="15.75" customHeight="1">
      <c r="A632" s="331"/>
      <c r="B632" s="331"/>
      <c r="C632" s="331"/>
      <c r="D632" s="331"/>
      <c r="E632" s="331"/>
      <c r="F632" s="331"/>
      <c r="G632" s="331"/>
      <c r="H632" s="331"/>
      <c r="I632" s="331"/>
      <c r="J632" s="331"/>
      <c r="K632" s="331"/>
      <c r="L632" s="331"/>
      <c r="M632" s="331"/>
      <c r="N632" s="331"/>
      <c r="O632" s="331"/>
      <c r="P632" s="331"/>
      <c r="Q632" s="331"/>
      <c r="R632" s="331"/>
      <c r="S632" s="331"/>
      <c r="T632" s="331"/>
      <c r="U632" s="331"/>
      <c r="V632" s="331"/>
      <c r="W632" s="331"/>
      <c r="X632" s="331"/>
      <c r="Y632" s="331"/>
      <c r="Z632" s="331"/>
      <c r="AA632" s="331"/>
      <c r="AB632" s="331"/>
      <c r="AC632" s="331"/>
      <c r="AD632" s="331"/>
      <c r="AE632" s="331"/>
      <c r="AF632" s="331"/>
      <c r="AG632" s="331"/>
      <c r="AH632" s="331"/>
      <c r="AI632" s="331"/>
      <c r="AJ632" s="331"/>
      <c r="AK632" s="331"/>
      <c r="AL632" s="331"/>
    </row>
    <row r="633" ht="15.75" customHeight="1">
      <c r="A633" s="331"/>
      <c r="B633" s="331"/>
      <c r="C633" s="331"/>
      <c r="D633" s="331"/>
      <c r="E633" s="331"/>
      <c r="F633" s="331"/>
      <c r="G633" s="331"/>
      <c r="H633" s="331"/>
      <c r="I633" s="331"/>
      <c r="J633" s="331"/>
      <c r="K633" s="331"/>
      <c r="L633" s="331"/>
      <c r="M633" s="331"/>
      <c r="N633" s="331"/>
      <c r="O633" s="331"/>
      <c r="P633" s="331"/>
      <c r="Q633" s="331"/>
      <c r="R633" s="331"/>
      <c r="S633" s="331"/>
      <c r="T633" s="331"/>
      <c r="U633" s="331"/>
      <c r="V633" s="331"/>
      <c r="W633" s="331"/>
      <c r="X633" s="331"/>
      <c r="Y633" s="331"/>
      <c r="Z633" s="331"/>
      <c r="AA633" s="331"/>
      <c r="AB633" s="331"/>
      <c r="AC633" s="331"/>
      <c r="AD633" s="331"/>
      <c r="AE633" s="331"/>
      <c r="AF633" s="331"/>
      <c r="AG633" s="331"/>
      <c r="AH633" s="331"/>
      <c r="AI633" s="331"/>
      <c r="AJ633" s="331"/>
      <c r="AK633" s="331"/>
      <c r="AL633" s="331"/>
    </row>
    <row r="634" ht="15.75" customHeight="1">
      <c r="A634" s="331"/>
      <c r="B634" s="331"/>
      <c r="C634" s="331"/>
      <c r="D634" s="331"/>
      <c r="E634" s="331"/>
      <c r="F634" s="331"/>
      <c r="G634" s="331"/>
      <c r="H634" s="331"/>
      <c r="I634" s="331"/>
      <c r="J634" s="331"/>
      <c r="K634" s="331"/>
      <c r="L634" s="331"/>
      <c r="M634" s="331"/>
      <c r="N634" s="331"/>
      <c r="O634" s="331"/>
      <c r="P634" s="331"/>
      <c r="Q634" s="331"/>
      <c r="R634" s="331"/>
      <c r="S634" s="331"/>
      <c r="T634" s="331"/>
      <c r="U634" s="331"/>
      <c r="V634" s="331"/>
      <c r="W634" s="331"/>
      <c r="X634" s="331"/>
      <c r="Y634" s="331"/>
      <c r="Z634" s="331"/>
      <c r="AA634" s="331"/>
      <c r="AB634" s="331"/>
      <c r="AC634" s="331"/>
      <c r="AD634" s="331"/>
      <c r="AE634" s="331"/>
      <c r="AF634" s="331"/>
      <c r="AG634" s="331"/>
      <c r="AH634" s="331"/>
      <c r="AI634" s="331"/>
      <c r="AJ634" s="331"/>
      <c r="AK634" s="331"/>
      <c r="AL634" s="331"/>
    </row>
    <row r="635" ht="15.75" customHeight="1">
      <c r="A635" s="331"/>
      <c r="B635" s="331"/>
      <c r="C635" s="331"/>
      <c r="D635" s="331"/>
      <c r="E635" s="331"/>
      <c r="F635" s="331"/>
      <c r="G635" s="331"/>
      <c r="H635" s="331"/>
      <c r="I635" s="331"/>
      <c r="J635" s="331"/>
      <c r="K635" s="331"/>
      <c r="L635" s="331"/>
      <c r="M635" s="331"/>
      <c r="N635" s="331"/>
      <c r="O635" s="331"/>
      <c r="P635" s="331"/>
      <c r="Q635" s="331"/>
      <c r="R635" s="331"/>
      <c r="S635" s="331"/>
      <c r="T635" s="331"/>
      <c r="U635" s="331"/>
      <c r="V635" s="331"/>
      <c r="W635" s="331"/>
      <c r="X635" s="331"/>
      <c r="Y635" s="331"/>
      <c r="Z635" s="331"/>
      <c r="AA635" s="331"/>
      <c r="AB635" s="331"/>
      <c r="AC635" s="331"/>
      <c r="AD635" s="331"/>
      <c r="AE635" s="331"/>
      <c r="AF635" s="331"/>
      <c r="AG635" s="331"/>
      <c r="AH635" s="331"/>
      <c r="AI635" s="331"/>
      <c r="AJ635" s="331"/>
      <c r="AK635" s="331"/>
      <c r="AL635" s="331"/>
    </row>
    <row r="636" ht="15.75" customHeight="1">
      <c r="A636" s="331"/>
      <c r="B636" s="331"/>
      <c r="C636" s="331"/>
      <c r="D636" s="331"/>
      <c r="E636" s="331"/>
      <c r="F636" s="331"/>
      <c r="G636" s="331"/>
      <c r="H636" s="331"/>
      <c r="I636" s="331"/>
      <c r="J636" s="331"/>
      <c r="K636" s="331"/>
      <c r="L636" s="331"/>
      <c r="M636" s="331"/>
      <c r="N636" s="331"/>
      <c r="O636" s="331"/>
      <c r="P636" s="331"/>
      <c r="Q636" s="331"/>
      <c r="R636" s="331"/>
      <c r="S636" s="331"/>
      <c r="T636" s="331"/>
      <c r="U636" s="331"/>
      <c r="V636" s="331"/>
      <c r="W636" s="331"/>
      <c r="X636" s="331"/>
      <c r="Y636" s="331"/>
      <c r="Z636" s="331"/>
      <c r="AA636" s="331"/>
      <c r="AB636" s="331"/>
      <c r="AC636" s="331"/>
      <c r="AD636" s="331"/>
      <c r="AE636" s="331"/>
      <c r="AF636" s="331"/>
      <c r="AG636" s="331"/>
      <c r="AH636" s="331"/>
      <c r="AI636" s="331"/>
      <c r="AJ636" s="331"/>
      <c r="AK636" s="331"/>
      <c r="AL636" s="331"/>
    </row>
    <row r="637" ht="15.75" customHeight="1">
      <c r="A637" s="331"/>
      <c r="B637" s="331"/>
      <c r="C637" s="331"/>
      <c r="D637" s="331"/>
      <c r="E637" s="331"/>
      <c r="F637" s="331"/>
      <c r="G637" s="331"/>
      <c r="H637" s="331"/>
      <c r="I637" s="331"/>
      <c r="J637" s="331"/>
      <c r="K637" s="331"/>
      <c r="L637" s="331"/>
      <c r="M637" s="331"/>
      <c r="N637" s="331"/>
      <c r="O637" s="331"/>
      <c r="P637" s="331"/>
      <c r="Q637" s="331"/>
      <c r="R637" s="331"/>
      <c r="S637" s="331"/>
      <c r="T637" s="331"/>
      <c r="U637" s="331"/>
      <c r="V637" s="331"/>
      <c r="W637" s="331"/>
      <c r="X637" s="331"/>
      <c r="Y637" s="331"/>
      <c r="Z637" s="331"/>
      <c r="AA637" s="331"/>
      <c r="AB637" s="331"/>
      <c r="AC637" s="331"/>
      <c r="AD637" s="331"/>
      <c r="AE637" s="331"/>
      <c r="AF637" s="331"/>
      <c r="AG637" s="331"/>
      <c r="AH637" s="331"/>
      <c r="AI637" s="331"/>
      <c r="AJ637" s="331"/>
      <c r="AK637" s="331"/>
      <c r="AL637" s="331"/>
    </row>
    <row r="638" ht="15.75" customHeight="1">
      <c r="A638" s="331"/>
      <c r="B638" s="331"/>
      <c r="C638" s="331"/>
      <c r="D638" s="331"/>
      <c r="E638" s="331"/>
      <c r="F638" s="331"/>
      <c r="G638" s="331"/>
      <c r="H638" s="331"/>
      <c r="I638" s="331"/>
      <c r="J638" s="331"/>
      <c r="K638" s="331"/>
      <c r="L638" s="331"/>
      <c r="M638" s="331"/>
      <c r="N638" s="331"/>
      <c r="O638" s="331"/>
      <c r="P638" s="331"/>
      <c r="Q638" s="331"/>
      <c r="R638" s="331"/>
      <c r="S638" s="331"/>
      <c r="T638" s="331"/>
      <c r="U638" s="331"/>
      <c r="V638" s="331"/>
      <c r="W638" s="331"/>
      <c r="X638" s="331"/>
      <c r="Y638" s="331"/>
      <c r="Z638" s="331"/>
      <c r="AA638" s="331"/>
      <c r="AB638" s="331"/>
      <c r="AC638" s="331"/>
      <c r="AD638" s="331"/>
      <c r="AE638" s="331"/>
      <c r="AF638" s="331"/>
      <c r="AG638" s="331"/>
      <c r="AH638" s="331"/>
      <c r="AI638" s="331"/>
      <c r="AJ638" s="331"/>
      <c r="AK638" s="331"/>
      <c r="AL638" s="331"/>
    </row>
    <row r="639" ht="15.75" customHeight="1">
      <c r="A639" s="331"/>
      <c r="B639" s="331"/>
      <c r="C639" s="331"/>
      <c r="D639" s="331"/>
      <c r="E639" s="331"/>
      <c r="F639" s="331"/>
      <c r="G639" s="331"/>
      <c r="H639" s="331"/>
      <c r="I639" s="331"/>
      <c r="J639" s="331"/>
      <c r="K639" s="331"/>
      <c r="L639" s="331"/>
      <c r="M639" s="331"/>
      <c r="N639" s="331"/>
      <c r="O639" s="331"/>
      <c r="P639" s="331"/>
      <c r="Q639" s="331"/>
      <c r="R639" s="331"/>
      <c r="S639" s="331"/>
      <c r="T639" s="331"/>
      <c r="U639" s="331"/>
      <c r="V639" s="331"/>
      <c r="W639" s="331"/>
      <c r="X639" s="331"/>
      <c r="Y639" s="331"/>
      <c r="Z639" s="331"/>
      <c r="AA639" s="331"/>
      <c r="AB639" s="331"/>
      <c r="AC639" s="331"/>
      <c r="AD639" s="331"/>
      <c r="AE639" s="331"/>
      <c r="AF639" s="331"/>
      <c r="AG639" s="331"/>
      <c r="AH639" s="331"/>
      <c r="AI639" s="331"/>
      <c r="AJ639" s="331"/>
      <c r="AK639" s="331"/>
      <c r="AL639" s="331"/>
    </row>
    <row r="640" ht="15.75" customHeight="1">
      <c r="A640" s="331"/>
      <c r="B640" s="331"/>
      <c r="C640" s="331"/>
      <c r="D640" s="331"/>
      <c r="E640" s="331"/>
      <c r="F640" s="331"/>
      <c r="G640" s="331"/>
      <c r="H640" s="331"/>
      <c r="I640" s="331"/>
      <c r="J640" s="331"/>
      <c r="K640" s="331"/>
      <c r="L640" s="331"/>
      <c r="M640" s="331"/>
      <c r="N640" s="331"/>
      <c r="O640" s="331"/>
      <c r="P640" s="331"/>
      <c r="Q640" s="331"/>
      <c r="R640" s="331"/>
      <c r="S640" s="331"/>
      <c r="T640" s="331"/>
      <c r="U640" s="331"/>
      <c r="V640" s="331"/>
      <c r="W640" s="331"/>
      <c r="X640" s="331"/>
      <c r="Y640" s="331"/>
      <c r="Z640" s="331"/>
      <c r="AA640" s="331"/>
      <c r="AB640" s="331"/>
      <c r="AC640" s="331"/>
      <c r="AD640" s="331"/>
      <c r="AE640" s="331"/>
      <c r="AF640" s="331"/>
      <c r="AG640" s="331"/>
      <c r="AH640" s="331"/>
      <c r="AI640" s="331"/>
      <c r="AJ640" s="331"/>
      <c r="AK640" s="331"/>
      <c r="AL640" s="331"/>
    </row>
    <row r="641" ht="15.75" customHeight="1">
      <c r="A641" s="331"/>
      <c r="B641" s="331"/>
      <c r="C641" s="331"/>
      <c r="D641" s="331"/>
      <c r="E641" s="331"/>
      <c r="F641" s="331"/>
      <c r="G641" s="331"/>
      <c r="H641" s="331"/>
      <c r="I641" s="331"/>
      <c r="J641" s="331"/>
      <c r="K641" s="331"/>
      <c r="L641" s="331"/>
      <c r="M641" s="331"/>
      <c r="N641" s="331"/>
      <c r="O641" s="331"/>
      <c r="P641" s="331"/>
      <c r="Q641" s="331"/>
      <c r="R641" s="331"/>
      <c r="S641" s="331"/>
      <c r="T641" s="331"/>
      <c r="U641" s="331"/>
      <c r="V641" s="331"/>
      <c r="W641" s="331"/>
      <c r="X641" s="331"/>
      <c r="Y641" s="331"/>
      <c r="Z641" s="331"/>
      <c r="AA641" s="331"/>
      <c r="AB641" s="331"/>
      <c r="AC641" s="331"/>
      <c r="AD641" s="331"/>
      <c r="AE641" s="331"/>
      <c r="AF641" s="331"/>
      <c r="AG641" s="331"/>
      <c r="AH641" s="331"/>
      <c r="AI641" s="331"/>
      <c r="AJ641" s="331"/>
      <c r="AK641" s="331"/>
      <c r="AL641" s="331"/>
    </row>
    <row r="642" ht="15.75" customHeight="1">
      <c r="A642" s="331"/>
      <c r="B642" s="331"/>
      <c r="C642" s="331"/>
      <c r="D642" s="331"/>
      <c r="E642" s="331"/>
      <c r="F642" s="331"/>
      <c r="G642" s="331"/>
      <c r="H642" s="331"/>
      <c r="I642" s="331"/>
      <c r="J642" s="331"/>
      <c r="K642" s="331"/>
      <c r="L642" s="331"/>
      <c r="M642" s="331"/>
      <c r="N642" s="331"/>
      <c r="O642" s="331"/>
      <c r="P642" s="331"/>
      <c r="Q642" s="331"/>
      <c r="R642" s="331"/>
      <c r="S642" s="331"/>
      <c r="T642" s="331"/>
      <c r="U642" s="331"/>
      <c r="V642" s="331"/>
      <c r="W642" s="331"/>
      <c r="X642" s="331"/>
      <c r="Y642" s="331"/>
      <c r="Z642" s="331"/>
      <c r="AA642" s="331"/>
      <c r="AB642" s="331"/>
      <c r="AC642" s="331"/>
      <c r="AD642" s="331"/>
      <c r="AE642" s="331"/>
      <c r="AF642" s="331"/>
      <c r="AG642" s="331"/>
      <c r="AH642" s="331"/>
      <c r="AI642" s="331"/>
      <c r="AJ642" s="331"/>
      <c r="AK642" s="331"/>
      <c r="AL642" s="331"/>
    </row>
    <row r="643" ht="15.75" customHeight="1">
      <c r="A643" s="331"/>
      <c r="B643" s="331"/>
      <c r="C643" s="331"/>
      <c r="D643" s="331"/>
      <c r="E643" s="331"/>
      <c r="F643" s="331"/>
      <c r="G643" s="331"/>
      <c r="H643" s="331"/>
      <c r="I643" s="331"/>
      <c r="J643" s="331"/>
      <c r="K643" s="331"/>
      <c r="L643" s="331"/>
      <c r="M643" s="331"/>
      <c r="N643" s="331"/>
      <c r="O643" s="331"/>
      <c r="P643" s="331"/>
      <c r="Q643" s="331"/>
      <c r="R643" s="331"/>
      <c r="S643" s="331"/>
      <c r="T643" s="331"/>
      <c r="U643" s="331"/>
      <c r="V643" s="331"/>
      <c r="W643" s="331"/>
      <c r="X643" s="331"/>
      <c r="Y643" s="331"/>
      <c r="Z643" s="331"/>
      <c r="AA643" s="331"/>
      <c r="AB643" s="331"/>
      <c r="AC643" s="331"/>
      <c r="AD643" s="331"/>
      <c r="AE643" s="331"/>
      <c r="AF643" s="331"/>
      <c r="AG643" s="331"/>
      <c r="AH643" s="331"/>
      <c r="AI643" s="331"/>
      <c r="AJ643" s="331"/>
      <c r="AK643" s="331"/>
      <c r="AL643" s="331"/>
    </row>
    <row r="644" ht="15.75" customHeight="1">
      <c r="A644" s="331"/>
      <c r="B644" s="331"/>
      <c r="C644" s="331"/>
      <c r="D644" s="331"/>
      <c r="E644" s="331"/>
      <c r="F644" s="331"/>
      <c r="G644" s="331"/>
      <c r="H644" s="331"/>
      <c r="I644" s="331"/>
      <c r="J644" s="331"/>
      <c r="K644" s="331"/>
      <c r="L644" s="331"/>
      <c r="M644" s="331"/>
      <c r="N644" s="331"/>
      <c r="O644" s="331"/>
      <c r="P644" s="331"/>
      <c r="Q644" s="331"/>
      <c r="R644" s="331"/>
      <c r="S644" s="331"/>
      <c r="T644" s="331"/>
      <c r="U644" s="331"/>
      <c r="V644" s="331"/>
      <c r="W644" s="331"/>
      <c r="X644" s="331"/>
      <c r="Y644" s="331"/>
      <c r="Z644" s="331"/>
      <c r="AA644" s="331"/>
      <c r="AB644" s="331"/>
      <c r="AC644" s="331"/>
      <c r="AD644" s="331"/>
      <c r="AE644" s="331"/>
      <c r="AF644" s="331"/>
      <c r="AG644" s="331"/>
      <c r="AH644" s="331"/>
      <c r="AI644" s="331"/>
      <c r="AJ644" s="331"/>
      <c r="AK644" s="331"/>
      <c r="AL644" s="331"/>
    </row>
    <row r="645" ht="15.75" customHeight="1">
      <c r="A645" s="331"/>
      <c r="B645" s="331"/>
      <c r="C645" s="331"/>
      <c r="D645" s="331"/>
      <c r="E645" s="331"/>
      <c r="F645" s="331"/>
      <c r="G645" s="331"/>
      <c r="H645" s="331"/>
      <c r="I645" s="331"/>
      <c r="J645" s="331"/>
      <c r="K645" s="331"/>
      <c r="L645" s="331"/>
      <c r="M645" s="331"/>
      <c r="N645" s="331"/>
      <c r="O645" s="331"/>
      <c r="P645" s="331"/>
      <c r="Q645" s="331"/>
      <c r="R645" s="331"/>
      <c r="S645" s="331"/>
      <c r="T645" s="331"/>
      <c r="U645" s="331"/>
      <c r="V645" s="331"/>
      <c r="W645" s="331"/>
      <c r="X645" s="331"/>
      <c r="Y645" s="331"/>
      <c r="Z645" s="331"/>
      <c r="AA645" s="331"/>
      <c r="AB645" s="331"/>
      <c r="AC645" s="331"/>
      <c r="AD645" s="331"/>
      <c r="AE645" s="331"/>
      <c r="AF645" s="331"/>
      <c r="AG645" s="331"/>
      <c r="AH645" s="331"/>
      <c r="AI645" s="331"/>
      <c r="AJ645" s="331"/>
      <c r="AK645" s="331"/>
      <c r="AL645" s="331"/>
    </row>
    <row r="646" ht="15.75" customHeight="1">
      <c r="A646" s="331"/>
      <c r="B646" s="331"/>
      <c r="C646" s="331"/>
      <c r="D646" s="331"/>
      <c r="E646" s="331"/>
      <c r="F646" s="331"/>
      <c r="G646" s="331"/>
      <c r="H646" s="331"/>
      <c r="I646" s="331"/>
      <c r="J646" s="331"/>
      <c r="K646" s="331"/>
      <c r="L646" s="331"/>
      <c r="M646" s="331"/>
      <c r="N646" s="331"/>
      <c r="O646" s="331"/>
      <c r="P646" s="331"/>
      <c r="Q646" s="331"/>
      <c r="R646" s="331"/>
      <c r="S646" s="331"/>
      <c r="T646" s="331"/>
      <c r="U646" s="331"/>
      <c r="V646" s="331"/>
      <c r="W646" s="331"/>
      <c r="X646" s="331"/>
      <c r="Y646" s="331"/>
      <c r="Z646" s="331"/>
      <c r="AA646" s="331"/>
      <c r="AB646" s="331"/>
      <c r="AC646" s="331"/>
      <c r="AD646" s="331"/>
      <c r="AE646" s="331"/>
      <c r="AF646" s="331"/>
      <c r="AG646" s="331"/>
      <c r="AH646" s="331"/>
      <c r="AI646" s="331"/>
      <c r="AJ646" s="331"/>
      <c r="AK646" s="331"/>
      <c r="AL646" s="331"/>
    </row>
    <row r="647" ht="15.75" customHeight="1">
      <c r="A647" s="331"/>
      <c r="B647" s="331"/>
      <c r="C647" s="331"/>
      <c r="D647" s="331"/>
      <c r="E647" s="331"/>
      <c r="F647" s="331"/>
      <c r="G647" s="331"/>
      <c r="H647" s="331"/>
      <c r="I647" s="331"/>
      <c r="J647" s="331"/>
      <c r="K647" s="331"/>
      <c r="L647" s="331"/>
      <c r="M647" s="331"/>
      <c r="N647" s="331"/>
      <c r="O647" s="331"/>
      <c r="P647" s="331"/>
      <c r="Q647" s="331"/>
      <c r="R647" s="331"/>
      <c r="S647" s="331"/>
      <c r="T647" s="331"/>
      <c r="U647" s="331"/>
      <c r="V647" s="331"/>
      <c r="W647" s="331"/>
      <c r="X647" s="331"/>
      <c r="Y647" s="331"/>
      <c r="Z647" s="331"/>
      <c r="AA647" s="331"/>
      <c r="AB647" s="331"/>
      <c r="AC647" s="331"/>
      <c r="AD647" s="331"/>
      <c r="AE647" s="331"/>
      <c r="AF647" s="331"/>
      <c r="AG647" s="331"/>
      <c r="AH647" s="331"/>
      <c r="AI647" s="331"/>
      <c r="AJ647" s="331"/>
      <c r="AK647" s="331"/>
      <c r="AL647" s="331"/>
    </row>
    <row r="648" ht="15.75" customHeight="1">
      <c r="A648" s="331"/>
      <c r="B648" s="331"/>
      <c r="C648" s="331"/>
      <c r="D648" s="331"/>
      <c r="E648" s="331"/>
      <c r="F648" s="331"/>
      <c r="G648" s="331"/>
      <c r="H648" s="331"/>
      <c r="I648" s="331"/>
      <c r="J648" s="331"/>
      <c r="K648" s="331"/>
      <c r="L648" s="331"/>
      <c r="M648" s="331"/>
      <c r="N648" s="331"/>
      <c r="O648" s="331"/>
      <c r="P648" s="331"/>
      <c r="Q648" s="331"/>
      <c r="R648" s="331"/>
      <c r="S648" s="331"/>
      <c r="T648" s="331"/>
      <c r="U648" s="331"/>
      <c r="V648" s="331"/>
      <c r="W648" s="331"/>
      <c r="X648" s="331"/>
      <c r="Y648" s="331"/>
      <c r="Z648" s="331"/>
      <c r="AA648" s="331"/>
      <c r="AB648" s="331"/>
      <c r="AC648" s="331"/>
      <c r="AD648" s="331"/>
      <c r="AE648" s="331"/>
      <c r="AF648" s="331"/>
      <c r="AG648" s="331"/>
      <c r="AH648" s="331"/>
      <c r="AI648" s="331"/>
      <c r="AJ648" s="331"/>
      <c r="AK648" s="331"/>
      <c r="AL648" s="331"/>
    </row>
    <row r="649" ht="15.75" customHeight="1">
      <c r="A649" s="331"/>
      <c r="B649" s="331"/>
      <c r="C649" s="331"/>
      <c r="D649" s="331"/>
      <c r="E649" s="331"/>
      <c r="F649" s="331"/>
      <c r="G649" s="331"/>
      <c r="H649" s="331"/>
      <c r="I649" s="331"/>
      <c r="J649" s="331"/>
      <c r="K649" s="331"/>
      <c r="L649" s="331"/>
      <c r="M649" s="331"/>
      <c r="N649" s="331"/>
      <c r="O649" s="331"/>
      <c r="P649" s="331"/>
      <c r="Q649" s="331"/>
      <c r="R649" s="331"/>
      <c r="S649" s="331"/>
      <c r="T649" s="331"/>
      <c r="U649" s="331"/>
      <c r="V649" s="331"/>
      <c r="W649" s="331"/>
      <c r="X649" s="331"/>
      <c r="Y649" s="331"/>
      <c r="Z649" s="331"/>
      <c r="AA649" s="331"/>
      <c r="AB649" s="331"/>
      <c r="AC649" s="331"/>
      <c r="AD649" s="331"/>
      <c r="AE649" s="331"/>
      <c r="AF649" s="331"/>
      <c r="AG649" s="331"/>
      <c r="AH649" s="331"/>
      <c r="AI649" s="331"/>
      <c r="AJ649" s="331"/>
      <c r="AK649" s="331"/>
      <c r="AL649" s="331"/>
    </row>
    <row r="650" ht="15.75" customHeight="1">
      <c r="A650" s="331"/>
      <c r="B650" s="331"/>
      <c r="C650" s="331"/>
      <c r="D650" s="331"/>
      <c r="E650" s="331"/>
      <c r="F650" s="331"/>
      <c r="G650" s="331"/>
      <c r="H650" s="331"/>
      <c r="I650" s="331"/>
      <c r="J650" s="331"/>
      <c r="K650" s="331"/>
      <c r="L650" s="331"/>
      <c r="M650" s="331"/>
      <c r="N650" s="331"/>
      <c r="O650" s="331"/>
      <c r="P650" s="331"/>
      <c r="Q650" s="331"/>
      <c r="R650" s="331"/>
      <c r="S650" s="331"/>
      <c r="T650" s="331"/>
      <c r="U650" s="331"/>
      <c r="V650" s="331"/>
      <c r="W650" s="331"/>
      <c r="X650" s="331"/>
      <c r="Y650" s="331"/>
      <c r="Z650" s="331"/>
      <c r="AA650" s="331"/>
      <c r="AB650" s="331"/>
      <c r="AC650" s="331"/>
      <c r="AD650" s="331"/>
      <c r="AE650" s="331"/>
      <c r="AF650" s="331"/>
      <c r="AG650" s="331"/>
      <c r="AH650" s="331"/>
      <c r="AI650" s="331"/>
      <c r="AJ650" s="331"/>
      <c r="AK650" s="331"/>
      <c r="AL650" s="331"/>
    </row>
    <row r="651" ht="15.75" customHeight="1">
      <c r="A651" s="331"/>
      <c r="B651" s="331"/>
      <c r="C651" s="331"/>
      <c r="D651" s="331"/>
      <c r="E651" s="331"/>
      <c r="F651" s="331"/>
      <c r="G651" s="331"/>
      <c r="H651" s="331"/>
      <c r="I651" s="331"/>
      <c r="J651" s="331"/>
      <c r="K651" s="331"/>
      <c r="L651" s="331"/>
      <c r="M651" s="331"/>
      <c r="N651" s="331"/>
      <c r="O651" s="331"/>
      <c r="P651" s="331"/>
      <c r="Q651" s="331"/>
      <c r="R651" s="331"/>
      <c r="S651" s="331"/>
      <c r="T651" s="331"/>
      <c r="U651" s="331"/>
      <c r="V651" s="331"/>
      <c r="W651" s="331"/>
      <c r="X651" s="331"/>
      <c r="Y651" s="331"/>
      <c r="Z651" s="331"/>
      <c r="AA651" s="331"/>
      <c r="AB651" s="331"/>
      <c r="AC651" s="331"/>
      <c r="AD651" s="331"/>
      <c r="AE651" s="331"/>
      <c r="AF651" s="331"/>
      <c r="AG651" s="331"/>
      <c r="AH651" s="331"/>
      <c r="AI651" s="331"/>
      <c r="AJ651" s="331"/>
      <c r="AK651" s="331"/>
      <c r="AL651" s="331"/>
    </row>
    <row r="652" ht="15.75" customHeight="1">
      <c r="A652" s="331"/>
      <c r="B652" s="331"/>
      <c r="C652" s="331"/>
      <c r="D652" s="331"/>
      <c r="E652" s="331"/>
      <c r="F652" s="331"/>
      <c r="G652" s="331"/>
      <c r="H652" s="331"/>
      <c r="I652" s="331"/>
      <c r="J652" s="331"/>
      <c r="K652" s="331"/>
      <c r="L652" s="331"/>
      <c r="M652" s="331"/>
      <c r="N652" s="331"/>
      <c r="O652" s="331"/>
      <c r="P652" s="331"/>
      <c r="Q652" s="331"/>
      <c r="R652" s="331"/>
      <c r="S652" s="331"/>
      <c r="T652" s="331"/>
      <c r="U652" s="331"/>
      <c r="V652" s="331"/>
      <c r="W652" s="331"/>
      <c r="X652" s="331"/>
      <c r="Y652" s="331"/>
      <c r="Z652" s="331"/>
      <c r="AA652" s="331"/>
      <c r="AB652" s="331"/>
      <c r="AC652" s="331"/>
      <c r="AD652" s="331"/>
      <c r="AE652" s="331"/>
      <c r="AF652" s="331"/>
      <c r="AG652" s="331"/>
      <c r="AH652" s="331"/>
      <c r="AI652" s="331"/>
      <c r="AJ652" s="331"/>
      <c r="AK652" s="331"/>
      <c r="AL652" s="331"/>
    </row>
    <row r="653" ht="15.75" customHeight="1">
      <c r="A653" s="331"/>
      <c r="B653" s="331"/>
      <c r="C653" s="331"/>
      <c r="D653" s="331"/>
      <c r="E653" s="331"/>
      <c r="F653" s="331"/>
      <c r="G653" s="331"/>
      <c r="H653" s="331"/>
      <c r="I653" s="331"/>
      <c r="J653" s="331"/>
      <c r="K653" s="331"/>
      <c r="L653" s="331"/>
      <c r="M653" s="331"/>
      <c r="N653" s="331"/>
      <c r="O653" s="331"/>
      <c r="P653" s="331"/>
      <c r="Q653" s="331"/>
      <c r="R653" s="331"/>
      <c r="S653" s="331"/>
      <c r="T653" s="331"/>
      <c r="U653" s="331"/>
      <c r="V653" s="331"/>
      <c r="W653" s="331"/>
      <c r="X653" s="331"/>
      <c r="Y653" s="331"/>
      <c r="Z653" s="331"/>
      <c r="AA653" s="331"/>
      <c r="AB653" s="331"/>
      <c r="AC653" s="331"/>
      <c r="AD653" s="331"/>
      <c r="AE653" s="331"/>
      <c r="AF653" s="331"/>
      <c r="AG653" s="331"/>
      <c r="AH653" s="331"/>
      <c r="AI653" s="331"/>
      <c r="AJ653" s="331"/>
      <c r="AK653" s="331"/>
      <c r="AL653" s="331"/>
    </row>
    <row r="654" ht="15.75" customHeight="1">
      <c r="A654" s="331"/>
      <c r="B654" s="331"/>
      <c r="C654" s="331"/>
      <c r="D654" s="331"/>
      <c r="E654" s="331"/>
      <c r="F654" s="331"/>
      <c r="G654" s="331"/>
      <c r="H654" s="331"/>
      <c r="I654" s="331"/>
      <c r="J654" s="331"/>
      <c r="K654" s="331"/>
      <c r="L654" s="331"/>
      <c r="M654" s="331"/>
      <c r="N654" s="331"/>
      <c r="O654" s="331"/>
      <c r="P654" s="331"/>
      <c r="Q654" s="331"/>
      <c r="R654" s="331"/>
      <c r="S654" s="331"/>
      <c r="T654" s="331"/>
      <c r="U654" s="331"/>
      <c r="V654" s="331"/>
      <c r="W654" s="331"/>
      <c r="X654" s="331"/>
      <c r="Y654" s="331"/>
      <c r="Z654" s="331"/>
      <c r="AA654" s="331"/>
      <c r="AB654" s="331"/>
      <c r="AC654" s="331"/>
      <c r="AD654" s="331"/>
      <c r="AE654" s="331"/>
      <c r="AF654" s="331"/>
      <c r="AG654" s="331"/>
      <c r="AH654" s="331"/>
      <c r="AI654" s="331"/>
      <c r="AJ654" s="331"/>
      <c r="AK654" s="331"/>
      <c r="AL654" s="331"/>
    </row>
    <row r="655" ht="15.75" customHeight="1">
      <c r="A655" s="331"/>
      <c r="B655" s="331"/>
      <c r="C655" s="331"/>
      <c r="D655" s="331"/>
      <c r="E655" s="331"/>
      <c r="F655" s="331"/>
      <c r="G655" s="331"/>
      <c r="H655" s="331"/>
      <c r="I655" s="331"/>
      <c r="J655" s="331"/>
      <c r="K655" s="331"/>
      <c r="L655" s="331"/>
      <c r="M655" s="331"/>
      <c r="N655" s="331"/>
      <c r="O655" s="331"/>
      <c r="P655" s="331"/>
      <c r="Q655" s="331"/>
      <c r="R655" s="331"/>
      <c r="S655" s="331"/>
      <c r="T655" s="331"/>
      <c r="U655" s="331"/>
      <c r="V655" s="331"/>
      <c r="W655" s="331"/>
      <c r="X655" s="331"/>
      <c r="Y655" s="331"/>
      <c r="Z655" s="331"/>
      <c r="AA655" s="331"/>
      <c r="AB655" s="331"/>
      <c r="AC655" s="331"/>
      <c r="AD655" s="331"/>
      <c r="AE655" s="331"/>
      <c r="AF655" s="331"/>
      <c r="AG655" s="331"/>
      <c r="AH655" s="331"/>
      <c r="AI655" s="331"/>
      <c r="AJ655" s="331"/>
      <c r="AK655" s="331"/>
      <c r="AL655" s="331"/>
    </row>
    <row r="656" ht="15.75" customHeight="1">
      <c r="A656" s="331"/>
      <c r="B656" s="331"/>
      <c r="C656" s="331"/>
      <c r="D656" s="331"/>
      <c r="E656" s="331"/>
      <c r="F656" s="331"/>
      <c r="G656" s="331"/>
      <c r="H656" s="331"/>
      <c r="I656" s="331"/>
      <c r="J656" s="331"/>
      <c r="K656" s="331"/>
      <c r="L656" s="331"/>
      <c r="M656" s="331"/>
      <c r="N656" s="331"/>
      <c r="O656" s="331"/>
      <c r="P656" s="331"/>
      <c r="Q656" s="331"/>
      <c r="R656" s="331"/>
      <c r="S656" s="331"/>
      <c r="T656" s="331"/>
      <c r="U656" s="331"/>
      <c r="V656" s="331"/>
      <c r="W656" s="331"/>
      <c r="X656" s="331"/>
      <c r="Y656" s="331"/>
      <c r="Z656" s="331"/>
      <c r="AA656" s="331"/>
      <c r="AB656" s="331"/>
      <c r="AC656" s="331"/>
      <c r="AD656" s="331"/>
      <c r="AE656" s="331"/>
      <c r="AF656" s="331"/>
      <c r="AG656" s="331"/>
      <c r="AH656" s="331"/>
      <c r="AI656" s="331"/>
      <c r="AJ656" s="331"/>
      <c r="AK656" s="331"/>
      <c r="AL656" s="331"/>
    </row>
    <row r="657" ht="15.75" customHeight="1">
      <c r="A657" s="331"/>
      <c r="B657" s="331"/>
      <c r="C657" s="331"/>
      <c r="D657" s="331"/>
      <c r="E657" s="331"/>
      <c r="F657" s="331"/>
      <c r="G657" s="331"/>
      <c r="H657" s="331"/>
      <c r="I657" s="331"/>
      <c r="J657" s="331"/>
      <c r="K657" s="331"/>
      <c r="L657" s="331"/>
      <c r="M657" s="331"/>
      <c r="N657" s="331"/>
      <c r="O657" s="331"/>
      <c r="P657" s="331"/>
      <c r="Q657" s="331"/>
      <c r="R657" s="331"/>
      <c r="S657" s="331"/>
      <c r="T657" s="331"/>
      <c r="U657" s="331"/>
      <c r="V657" s="331"/>
      <c r="W657" s="331"/>
      <c r="X657" s="331"/>
      <c r="Y657" s="331"/>
      <c r="Z657" s="331"/>
      <c r="AA657" s="331"/>
      <c r="AB657" s="331"/>
      <c r="AC657" s="331"/>
      <c r="AD657" s="331"/>
      <c r="AE657" s="331"/>
      <c r="AF657" s="331"/>
      <c r="AG657" s="331"/>
      <c r="AH657" s="331"/>
      <c r="AI657" s="331"/>
      <c r="AJ657" s="331"/>
      <c r="AK657" s="331"/>
      <c r="AL657" s="331"/>
    </row>
    <row r="658" ht="15.75" customHeight="1">
      <c r="A658" s="331"/>
      <c r="B658" s="331"/>
      <c r="C658" s="331"/>
      <c r="D658" s="331"/>
      <c r="E658" s="331"/>
      <c r="F658" s="331"/>
      <c r="G658" s="331"/>
      <c r="H658" s="331"/>
      <c r="I658" s="331"/>
      <c r="J658" s="331"/>
      <c r="K658" s="331"/>
      <c r="L658" s="331"/>
      <c r="M658" s="331"/>
      <c r="N658" s="331"/>
      <c r="O658" s="331"/>
      <c r="P658" s="331"/>
      <c r="Q658" s="331"/>
      <c r="R658" s="331"/>
      <c r="S658" s="331"/>
      <c r="T658" s="331"/>
      <c r="U658" s="331"/>
      <c r="V658" s="331"/>
      <c r="W658" s="331"/>
      <c r="X658" s="331"/>
      <c r="Y658" s="331"/>
      <c r="Z658" s="331"/>
      <c r="AA658" s="331"/>
      <c r="AB658" s="331"/>
      <c r="AC658" s="331"/>
      <c r="AD658" s="331"/>
      <c r="AE658" s="331"/>
      <c r="AF658" s="331"/>
      <c r="AG658" s="331"/>
      <c r="AH658" s="331"/>
      <c r="AI658" s="331"/>
      <c r="AJ658" s="331"/>
      <c r="AK658" s="331"/>
      <c r="AL658" s="331"/>
    </row>
    <row r="659" ht="15.75" customHeight="1">
      <c r="A659" s="331"/>
      <c r="B659" s="331"/>
      <c r="C659" s="331"/>
      <c r="D659" s="331"/>
      <c r="E659" s="331"/>
      <c r="F659" s="331"/>
      <c r="G659" s="331"/>
      <c r="H659" s="331"/>
      <c r="I659" s="331"/>
      <c r="J659" s="331"/>
      <c r="K659" s="331"/>
      <c r="L659" s="331"/>
      <c r="M659" s="331"/>
      <c r="N659" s="331"/>
      <c r="O659" s="331"/>
      <c r="P659" s="331"/>
      <c r="Q659" s="331"/>
      <c r="R659" s="331"/>
      <c r="S659" s="331"/>
      <c r="T659" s="331"/>
      <c r="U659" s="331"/>
      <c r="V659" s="331"/>
      <c r="W659" s="331"/>
      <c r="X659" s="331"/>
      <c r="Y659" s="331"/>
      <c r="Z659" s="331"/>
      <c r="AA659" s="331"/>
      <c r="AB659" s="331"/>
      <c r="AC659" s="331"/>
      <c r="AD659" s="331"/>
      <c r="AE659" s="331"/>
      <c r="AF659" s="331"/>
      <c r="AG659" s="331"/>
      <c r="AH659" s="331"/>
      <c r="AI659" s="331"/>
      <c r="AJ659" s="331"/>
      <c r="AK659" s="331"/>
      <c r="AL659" s="331"/>
    </row>
    <row r="660" ht="15.75" customHeight="1">
      <c r="A660" s="331"/>
      <c r="B660" s="331"/>
      <c r="C660" s="331"/>
      <c r="D660" s="331"/>
      <c r="E660" s="331"/>
      <c r="F660" s="331"/>
      <c r="G660" s="331"/>
      <c r="H660" s="331"/>
      <c r="I660" s="331"/>
      <c r="J660" s="331"/>
      <c r="K660" s="331"/>
      <c r="L660" s="331"/>
      <c r="M660" s="331"/>
      <c r="N660" s="331"/>
      <c r="O660" s="331"/>
      <c r="P660" s="331"/>
      <c r="Q660" s="331"/>
      <c r="R660" s="331"/>
      <c r="S660" s="331"/>
      <c r="T660" s="331"/>
      <c r="U660" s="331"/>
      <c r="V660" s="331"/>
      <c r="W660" s="331"/>
      <c r="X660" s="331"/>
      <c r="Y660" s="331"/>
      <c r="Z660" s="331"/>
      <c r="AA660" s="331"/>
      <c r="AB660" s="331"/>
      <c r="AC660" s="331"/>
      <c r="AD660" s="331"/>
      <c r="AE660" s="331"/>
      <c r="AF660" s="331"/>
      <c r="AG660" s="331"/>
      <c r="AH660" s="331"/>
      <c r="AI660" s="331"/>
      <c r="AJ660" s="331"/>
      <c r="AK660" s="331"/>
      <c r="AL660" s="331"/>
    </row>
    <row r="661" ht="15.75" customHeight="1">
      <c r="A661" s="331"/>
      <c r="B661" s="331"/>
      <c r="C661" s="331"/>
      <c r="D661" s="331"/>
      <c r="E661" s="331"/>
      <c r="F661" s="331"/>
      <c r="G661" s="331"/>
      <c r="H661" s="331"/>
      <c r="I661" s="331"/>
      <c r="J661" s="331"/>
      <c r="K661" s="331"/>
      <c r="L661" s="331"/>
      <c r="M661" s="331"/>
      <c r="N661" s="331"/>
      <c r="O661" s="331"/>
      <c r="P661" s="331"/>
      <c r="Q661" s="331"/>
      <c r="R661" s="331"/>
      <c r="S661" s="331"/>
      <c r="T661" s="331"/>
      <c r="U661" s="331"/>
      <c r="V661" s="331"/>
      <c r="W661" s="331"/>
      <c r="X661" s="331"/>
      <c r="Y661" s="331"/>
      <c r="Z661" s="331"/>
      <c r="AA661" s="331"/>
      <c r="AB661" s="331"/>
      <c r="AC661" s="331"/>
      <c r="AD661" s="331"/>
      <c r="AE661" s="331"/>
      <c r="AF661" s="331"/>
      <c r="AG661" s="331"/>
      <c r="AH661" s="331"/>
      <c r="AI661" s="331"/>
      <c r="AJ661" s="331"/>
      <c r="AK661" s="331"/>
      <c r="AL661" s="331"/>
    </row>
    <row r="662" ht="15.75" customHeight="1">
      <c r="A662" s="331"/>
      <c r="B662" s="331"/>
      <c r="C662" s="331"/>
      <c r="D662" s="331"/>
      <c r="E662" s="331"/>
      <c r="F662" s="331"/>
      <c r="G662" s="331"/>
      <c r="H662" s="331"/>
      <c r="I662" s="331"/>
      <c r="J662" s="331"/>
      <c r="K662" s="331"/>
      <c r="L662" s="331"/>
      <c r="M662" s="331"/>
      <c r="N662" s="331"/>
      <c r="O662" s="331"/>
      <c r="P662" s="331"/>
      <c r="Q662" s="331"/>
      <c r="R662" s="331"/>
      <c r="S662" s="331"/>
      <c r="T662" s="331"/>
      <c r="U662" s="331"/>
      <c r="V662" s="331"/>
      <c r="W662" s="331"/>
      <c r="X662" s="331"/>
      <c r="Y662" s="331"/>
      <c r="Z662" s="331"/>
      <c r="AA662" s="331"/>
      <c r="AB662" s="331"/>
      <c r="AC662" s="331"/>
      <c r="AD662" s="331"/>
      <c r="AE662" s="331"/>
      <c r="AF662" s="331"/>
      <c r="AG662" s="331"/>
      <c r="AH662" s="331"/>
      <c r="AI662" s="331"/>
      <c r="AJ662" s="331"/>
      <c r="AK662" s="331"/>
      <c r="AL662" s="331"/>
    </row>
    <row r="663" ht="15.75" customHeight="1">
      <c r="A663" s="331"/>
      <c r="B663" s="331"/>
      <c r="C663" s="331"/>
      <c r="D663" s="331"/>
      <c r="E663" s="331"/>
      <c r="F663" s="331"/>
      <c r="G663" s="331"/>
      <c r="H663" s="331"/>
      <c r="I663" s="331"/>
      <c r="J663" s="331"/>
      <c r="K663" s="331"/>
      <c r="L663" s="331"/>
      <c r="M663" s="331"/>
      <c r="N663" s="331"/>
      <c r="O663" s="331"/>
      <c r="P663" s="331"/>
      <c r="Q663" s="331"/>
      <c r="R663" s="331"/>
      <c r="S663" s="331"/>
      <c r="T663" s="331"/>
      <c r="U663" s="331"/>
      <c r="V663" s="331"/>
      <c r="W663" s="331"/>
      <c r="X663" s="331"/>
      <c r="Y663" s="331"/>
      <c r="Z663" s="331"/>
      <c r="AA663" s="331"/>
      <c r="AB663" s="331"/>
      <c r="AC663" s="331"/>
      <c r="AD663" s="331"/>
      <c r="AE663" s="331"/>
      <c r="AF663" s="331"/>
      <c r="AG663" s="331"/>
      <c r="AH663" s="331"/>
      <c r="AI663" s="331"/>
      <c r="AJ663" s="331"/>
      <c r="AK663" s="331"/>
      <c r="AL663" s="331"/>
    </row>
    <row r="664" ht="15.75" customHeight="1">
      <c r="A664" s="331"/>
      <c r="B664" s="331"/>
      <c r="C664" s="331"/>
      <c r="D664" s="331"/>
      <c r="E664" s="331"/>
      <c r="F664" s="331"/>
      <c r="G664" s="331"/>
      <c r="H664" s="331"/>
      <c r="I664" s="331"/>
      <c r="J664" s="331"/>
      <c r="K664" s="331"/>
      <c r="L664" s="331"/>
      <c r="M664" s="331"/>
      <c r="N664" s="331"/>
      <c r="O664" s="331"/>
      <c r="P664" s="331"/>
      <c r="Q664" s="331"/>
      <c r="R664" s="331"/>
      <c r="S664" s="331"/>
      <c r="T664" s="331"/>
      <c r="U664" s="331"/>
      <c r="V664" s="331"/>
      <c r="W664" s="331"/>
      <c r="X664" s="331"/>
      <c r="Y664" s="331"/>
      <c r="Z664" s="331"/>
      <c r="AA664" s="331"/>
      <c r="AB664" s="331"/>
      <c r="AC664" s="331"/>
      <c r="AD664" s="331"/>
      <c r="AE664" s="331"/>
      <c r="AF664" s="331"/>
      <c r="AG664" s="331"/>
      <c r="AH664" s="331"/>
      <c r="AI664" s="331"/>
      <c r="AJ664" s="331"/>
      <c r="AK664" s="331"/>
      <c r="AL664" s="331"/>
    </row>
    <row r="665" ht="15.75" customHeight="1">
      <c r="A665" s="331"/>
      <c r="B665" s="331"/>
      <c r="C665" s="331"/>
      <c r="D665" s="331"/>
      <c r="E665" s="331"/>
      <c r="F665" s="331"/>
      <c r="G665" s="331"/>
      <c r="H665" s="331"/>
      <c r="I665" s="331"/>
      <c r="J665" s="331"/>
      <c r="K665" s="331"/>
      <c r="L665" s="331"/>
      <c r="M665" s="331"/>
      <c r="N665" s="331"/>
      <c r="O665" s="331"/>
      <c r="P665" s="331"/>
      <c r="Q665" s="331"/>
      <c r="R665" s="331"/>
      <c r="S665" s="331"/>
      <c r="T665" s="331"/>
      <c r="U665" s="331"/>
      <c r="V665" s="331"/>
      <c r="W665" s="331"/>
      <c r="X665" s="331"/>
      <c r="Y665" s="331"/>
      <c r="Z665" s="331"/>
      <c r="AA665" s="331"/>
      <c r="AB665" s="331"/>
      <c r="AC665" s="331"/>
      <c r="AD665" s="331"/>
      <c r="AE665" s="331"/>
      <c r="AF665" s="331"/>
      <c r="AG665" s="331"/>
      <c r="AH665" s="331"/>
      <c r="AI665" s="331"/>
      <c r="AJ665" s="331"/>
      <c r="AK665" s="331"/>
      <c r="AL665" s="331"/>
    </row>
    <row r="666" ht="15.75" customHeight="1">
      <c r="A666" s="331"/>
      <c r="B666" s="331"/>
      <c r="C666" s="331"/>
      <c r="D666" s="331"/>
      <c r="E666" s="331"/>
      <c r="F666" s="331"/>
      <c r="G666" s="331"/>
      <c r="H666" s="331"/>
      <c r="I666" s="331"/>
      <c r="J666" s="331"/>
      <c r="K666" s="331"/>
      <c r="L666" s="331"/>
      <c r="M666" s="331"/>
      <c r="N666" s="331"/>
      <c r="O666" s="331"/>
      <c r="P666" s="331"/>
      <c r="Q666" s="331"/>
      <c r="R666" s="331"/>
      <c r="S666" s="331"/>
      <c r="T666" s="331"/>
      <c r="U666" s="331"/>
      <c r="V666" s="331"/>
      <c r="W666" s="331"/>
      <c r="X666" s="331"/>
      <c r="Y666" s="331"/>
      <c r="Z666" s="331"/>
      <c r="AA666" s="331"/>
      <c r="AB666" s="331"/>
      <c r="AC666" s="331"/>
      <c r="AD666" s="331"/>
      <c r="AE666" s="331"/>
      <c r="AF666" s="331"/>
      <c r="AG666" s="331"/>
      <c r="AH666" s="331"/>
      <c r="AI666" s="331"/>
      <c r="AJ666" s="331"/>
      <c r="AK666" s="331"/>
      <c r="AL666" s="331"/>
    </row>
    <row r="667" ht="15.75" customHeight="1">
      <c r="A667" s="331"/>
      <c r="B667" s="331"/>
      <c r="C667" s="331"/>
      <c r="D667" s="331"/>
      <c r="E667" s="331"/>
      <c r="F667" s="331"/>
      <c r="G667" s="331"/>
      <c r="H667" s="331"/>
      <c r="I667" s="331"/>
      <c r="J667" s="331"/>
      <c r="K667" s="331"/>
      <c r="L667" s="331"/>
      <c r="M667" s="331"/>
      <c r="N667" s="331"/>
      <c r="O667" s="331"/>
      <c r="P667" s="331"/>
      <c r="Q667" s="331"/>
      <c r="R667" s="331"/>
      <c r="S667" s="331"/>
      <c r="T667" s="331"/>
      <c r="U667" s="331"/>
      <c r="V667" s="331"/>
      <c r="W667" s="331"/>
      <c r="X667" s="331"/>
      <c r="Y667" s="331"/>
      <c r="Z667" s="331"/>
      <c r="AA667" s="331"/>
      <c r="AB667" s="331"/>
      <c r="AC667" s="331"/>
      <c r="AD667" s="331"/>
      <c r="AE667" s="331"/>
      <c r="AF667" s="331"/>
      <c r="AG667" s="331"/>
      <c r="AH667" s="331"/>
      <c r="AI667" s="331"/>
      <c r="AJ667" s="331"/>
      <c r="AK667" s="331"/>
      <c r="AL667" s="331"/>
    </row>
    <row r="668" ht="15.75" customHeight="1">
      <c r="A668" s="331"/>
      <c r="B668" s="331"/>
      <c r="C668" s="331"/>
      <c r="D668" s="331"/>
      <c r="E668" s="331"/>
      <c r="F668" s="331"/>
      <c r="G668" s="331"/>
      <c r="H668" s="331"/>
      <c r="I668" s="331"/>
      <c r="J668" s="331"/>
      <c r="K668" s="331"/>
      <c r="L668" s="331"/>
      <c r="M668" s="331"/>
      <c r="N668" s="331"/>
      <c r="O668" s="331"/>
      <c r="P668" s="331"/>
      <c r="Q668" s="331"/>
      <c r="R668" s="331"/>
      <c r="S668" s="331"/>
      <c r="T668" s="331"/>
      <c r="U668" s="331"/>
      <c r="V668" s="331"/>
      <c r="W668" s="331"/>
      <c r="X668" s="331"/>
      <c r="Y668" s="331"/>
      <c r="Z668" s="331"/>
      <c r="AA668" s="331"/>
      <c r="AB668" s="331"/>
      <c r="AC668" s="331"/>
      <c r="AD668" s="331"/>
      <c r="AE668" s="331"/>
      <c r="AF668" s="331"/>
      <c r="AG668" s="331"/>
      <c r="AH668" s="331"/>
      <c r="AI668" s="331"/>
      <c r="AJ668" s="331"/>
      <c r="AK668" s="331"/>
      <c r="AL668" s="331"/>
    </row>
    <row r="669" ht="15.75" customHeight="1">
      <c r="A669" s="331"/>
      <c r="B669" s="331"/>
      <c r="C669" s="331"/>
      <c r="D669" s="331"/>
      <c r="E669" s="331"/>
      <c r="F669" s="331"/>
      <c r="G669" s="331"/>
      <c r="H669" s="331"/>
      <c r="I669" s="331"/>
      <c r="J669" s="331"/>
      <c r="K669" s="331"/>
      <c r="L669" s="331"/>
      <c r="M669" s="331"/>
      <c r="N669" s="331"/>
      <c r="O669" s="331"/>
      <c r="P669" s="331"/>
      <c r="Q669" s="331"/>
      <c r="R669" s="331"/>
      <c r="S669" s="331"/>
      <c r="T669" s="331"/>
      <c r="U669" s="331"/>
      <c r="V669" s="331"/>
      <c r="W669" s="331"/>
      <c r="X669" s="331"/>
      <c r="Y669" s="331"/>
      <c r="Z669" s="331"/>
      <c r="AA669" s="331"/>
      <c r="AB669" s="331"/>
      <c r="AC669" s="331"/>
      <c r="AD669" s="331"/>
      <c r="AE669" s="331"/>
      <c r="AF669" s="331"/>
      <c r="AG669" s="331"/>
      <c r="AH669" s="331"/>
      <c r="AI669" s="331"/>
      <c r="AJ669" s="331"/>
      <c r="AK669" s="331"/>
      <c r="AL669" s="331"/>
    </row>
    <row r="670" ht="15.75" customHeight="1">
      <c r="A670" s="331"/>
      <c r="B670" s="331"/>
      <c r="C670" s="331"/>
      <c r="D670" s="331"/>
      <c r="E670" s="331"/>
      <c r="F670" s="331"/>
      <c r="G670" s="331"/>
      <c r="H670" s="331"/>
      <c r="I670" s="331"/>
      <c r="J670" s="331"/>
      <c r="K670" s="331"/>
      <c r="L670" s="331"/>
      <c r="M670" s="331"/>
      <c r="N670" s="331"/>
      <c r="O670" s="331"/>
      <c r="P670" s="331"/>
      <c r="Q670" s="331"/>
      <c r="R670" s="331"/>
      <c r="S670" s="331"/>
      <c r="T670" s="331"/>
      <c r="U670" s="331"/>
      <c r="V670" s="331"/>
      <c r="W670" s="331"/>
      <c r="X670" s="331"/>
      <c r="Y670" s="331"/>
      <c r="Z670" s="331"/>
      <c r="AA670" s="331"/>
      <c r="AB670" s="331"/>
      <c r="AC670" s="331"/>
      <c r="AD670" s="331"/>
      <c r="AE670" s="331"/>
      <c r="AF670" s="331"/>
      <c r="AG670" s="331"/>
      <c r="AH670" s="331"/>
      <c r="AI670" s="331"/>
      <c r="AJ670" s="331"/>
      <c r="AK670" s="331"/>
      <c r="AL670" s="331"/>
    </row>
    <row r="671" ht="15.75" customHeight="1">
      <c r="A671" s="331"/>
      <c r="B671" s="331"/>
      <c r="C671" s="331"/>
      <c r="D671" s="331"/>
      <c r="E671" s="331"/>
      <c r="F671" s="331"/>
      <c r="G671" s="331"/>
      <c r="H671" s="331"/>
      <c r="I671" s="331"/>
      <c r="J671" s="331"/>
      <c r="K671" s="331"/>
      <c r="L671" s="331"/>
      <c r="M671" s="331"/>
      <c r="N671" s="331"/>
      <c r="O671" s="331"/>
      <c r="P671" s="331"/>
      <c r="Q671" s="331"/>
      <c r="R671" s="331"/>
      <c r="S671" s="331"/>
      <c r="T671" s="331"/>
      <c r="U671" s="331"/>
      <c r="V671" s="331"/>
      <c r="W671" s="331"/>
      <c r="X671" s="331"/>
      <c r="Y671" s="331"/>
      <c r="Z671" s="331"/>
      <c r="AA671" s="331"/>
      <c r="AB671" s="331"/>
      <c r="AC671" s="331"/>
      <c r="AD671" s="331"/>
      <c r="AE671" s="331"/>
      <c r="AF671" s="331"/>
      <c r="AG671" s="331"/>
      <c r="AH671" s="331"/>
      <c r="AI671" s="331"/>
      <c r="AJ671" s="331"/>
      <c r="AK671" s="331"/>
      <c r="AL671" s="331"/>
    </row>
    <row r="672" ht="15.75" customHeight="1">
      <c r="A672" s="331"/>
      <c r="B672" s="331"/>
      <c r="C672" s="331"/>
      <c r="D672" s="331"/>
      <c r="E672" s="331"/>
      <c r="F672" s="331"/>
      <c r="G672" s="331"/>
      <c r="H672" s="331"/>
      <c r="I672" s="331"/>
      <c r="J672" s="331"/>
      <c r="K672" s="331"/>
      <c r="L672" s="331"/>
      <c r="M672" s="331"/>
      <c r="N672" s="331"/>
      <c r="O672" s="331"/>
      <c r="P672" s="331"/>
      <c r="Q672" s="331"/>
      <c r="R672" s="331"/>
      <c r="S672" s="331"/>
      <c r="T672" s="331"/>
      <c r="U672" s="331"/>
      <c r="V672" s="331"/>
      <c r="W672" s="331"/>
      <c r="X672" s="331"/>
      <c r="Y672" s="331"/>
      <c r="Z672" s="331"/>
      <c r="AA672" s="331"/>
      <c r="AB672" s="331"/>
      <c r="AC672" s="331"/>
      <c r="AD672" s="331"/>
      <c r="AE672" s="331"/>
      <c r="AF672" s="331"/>
      <c r="AG672" s="331"/>
      <c r="AH672" s="331"/>
      <c r="AI672" s="331"/>
      <c r="AJ672" s="331"/>
      <c r="AK672" s="331"/>
      <c r="AL672" s="331"/>
    </row>
    <row r="673" ht="15.75" customHeight="1">
      <c r="A673" s="331"/>
      <c r="B673" s="331"/>
      <c r="C673" s="331"/>
      <c r="D673" s="331"/>
      <c r="E673" s="331"/>
      <c r="F673" s="331"/>
      <c r="G673" s="331"/>
      <c r="H673" s="331"/>
      <c r="I673" s="331"/>
      <c r="J673" s="331"/>
      <c r="K673" s="331"/>
      <c r="L673" s="331"/>
      <c r="M673" s="331"/>
      <c r="N673" s="331"/>
      <c r="O673" s="331"/>
      <c r="P673" s="331"/>
      <c r="Q673" s="331"/>
      <c r="R673" s="331"/>
      <c r="S673" s="331"/>
      <c r="T673" s="331"/>
      <c r="U673" s="331"/>
      <c r="V673" s="331"/>
      <c r="W673" s="331"/>
      <c r="X673" s="331"/>
      <c r="Y673" s="331"/>
      <c r="Z673" s="331"/>
      <c r="AA673" s="331"/>
      <c r="AB673" s="331"/>
      <c r="AC673" s="331"/>
      <c r="AD673" s="331"/>
      <c r="AE673" s="331"/>
      <c r="AF673" s="331"/>
      <c r="AG673" s="331"/>
      <c r="AH673" s="331"/>
      <c r="AI673" s="331"/>
      <c r="AJ673" s="331"/>
      <c r="AK673" s="331"/>
      <c r="AL673" s="331"/>
    </row>
    <row r="674" ht="15.75" customHeight="1">
      <c r="A674" s="331"/>
      <c r="B674" s="331"/>
      <c r="C674" s="331"/>
      <c r="D674" s="331"/>
      <c r="E674" s="331"/>
      <c r="F674" s="331"/>
      <c r="G674" s="331"/>
      <c r="H674" s="331"/>
      <c r="I674" s="331"/>
      <c r="J674" s="331"/>
      <c r="K674" s="331"/>
      <c r="L674" s="331"/>
      <c r="M674" s="331"/>
      <c r="N674" s="331"/>
      <c r="O674" s="331"/>
      <c r="P674" s="331"/>
      <c r="Q674" s="331"/>
      <c r="R674" s="331"/>
      <c r="S674" s="331"/>
      <c r="T674" s="331"/>
      <c r="U674" s="331"/>
      <c r="V674" s="331"/>
      <c r="W674" s="331"/>
      <c r="X674" s="331"/>
      <c r="Y674" s="331"/>
      <c r="Z674" s="331"/>
      <c r="AA674" s="331"/>
      <c r="AB674" s="331"/>
      <c r="AC674" s="331"/>
      <c r="AD674" s="331"/>
      <c r="AE674" s="331"/>
      <c r="AF674" s="331"/>
      <c r="AG674" s="331"/>
      <c r="AH674" s="331"/>
      <c r="AI674" s="331"/>
      <c r="AJ674" s="331"/>
      <c r="AK674" s="331"/>
      <c r="AL674" s="331"/>
    </row>
    <row r="675" ht="15.75" customHeight="1">
      <c r="A675" s="331"/>
      <c r="B675" s="331"/>
      <c r="C675" s="331"/>
      <c r="D675" s="331"/>
      <c r="E675" s="331"/>
      <c r="F675" s="331"/>
      <c r="G675" s="331"/>
      <c r="H675" s="331"/>
      <c r="I675" s="331"/>
      <c r="J675" s="331"/>
      <c r="K675" s="331"/>
      <c r="L675" s="331"/>
      <c r="M675" s="331"/>
      <c r="N675" s="331"/>
      <c r="O675" s="331"/>
      <c r="P675" s="331"/>
      <c r="Q675" s="331"/>
      <c r="R675" s="331"/>
      <c r="S675" s="331"/>
      <c r="T675" s="331"/>
      <c r="U675" s="331"/>
      <c r="V675" s="331"/>
      <c r="W675" s="331"/>
      <c r="X675" s="331"/>
      <c r="Y675" s="331"/>
      <c r="Z675" s="331"/>
      <c r="AA675" s="331"/>
      <c r="AB675" s="331"/>
      <c r="AC675" s="331"/>
      <c r="AD675" s="331"/>
      <c r="AE675" s="331"/>
      <c r="AF675" s="331"/>
      <c r="AG675" s="331"/>
      <c r="AH675" s="331"/>
      <c r="AI675" s="331"/>
      <c r="AJ675" s="331"/>
      <c r="AK675" s="331"/>
      <c r="AL675" s="331"/>
    </row>
    <row r="676" ht="15.75" customHeight="1">
      <c r="A676" s="331"/>
      <c r="B676" s="331"/>
      <c r="C676" s="331"/>
      <c r="D676" s="331"/>
      <c r="E676" s="331"/>
      <c r="F676" s="331"/>
      <c r="G676" s="331"/>
      <c r="H676" s="331"/>
      <c r="I676" s="331"/>
      <c r="J676" s="331"/>
      <c r="K676" s="331"/>
      <c r="L676" s="331"/>
      <c r="M676" s="331"/>
      <c r="N676" s="331"/>
      <c r="O676" s="331"/>
      <c r="P676" s="331"/>
      <c r="Q676" s="331"/>
      <c r="R676" s="331"/>
      <c r="S676" s="331"/>
      <c r="T676" s="331"/>
      <c r="U676" s="331"/>
      <c r="V676" s="331"/>
      <c r="W676" s="331"/>
      <c r="X676" s="331"/>
      <c r="Y676" s="331"/>
      <c r="Z676" s="331"/>
      <c r="AA676" s="331"/>
      <c r="AB676" s="331"/>
      <c r="AC676" s="331"/>
      <c r="AD676" s="331"/>
      <c r="AE676" s="331"/>
      <c r="AF676" s="331"/>
      <c r="AG676" s="331"/>
      <c r="AH676" s="331"/>
      <c r="AI676" s="331"/>
      <c r="AJ676" s="331"/>
      <c r="AK676" s="331"/>
      <c r="AL676" s="331"/>
    </row>
    <row r="677" ht="15.75" customHeight="1">
      <c r="A677" s="331"/>
      <c r="B677" s="331"/>
      <c r="C677" s="331"/>
      <c r="D677" s="331"/>
      <c r="E677" s="331"/>
      <c r="F677" s="331"/>
      <c r="G677" s="331"/>
      <c r="H677" s="331"/>
      <c r="I677" s="331"/>
      <c r="J677" s="331"/>
      <c r="K677" s="331"/>
      <c r="L677" s="331"/>
      <c r="M677" s="331"/>
      <c r="N677" s="331"/>
      <c r="O677" s="331"/>
      <c r="P677" s="331"/>
      <c r="Q677" s="331"/>
      <c r="R677" s="331"/>
      <c r="S677" s="331"/>
      <c r="T677" s="331"/>
      <c r="U677" s="331"/>
      <c r="V677" s="331"/>
      <c r="W677" s="331"/>
      <c r="X677" s="331"/>
      <c r="Y677" s="331"/>
      <c r="Z677" s="331"/>
      <c r="AA677" s="331"/>
      <c r="AB677" s="331"/>
      <c r="AC677" s="331"/>
      <c r="AD677" s="331"/>
      <c r="AE677" s="331"/>
      <c r="AF677" s="331"/>
      <c r="AG677" s="331"/>
      <c r="AH677" s="331"/>
      <c r="AI677" s="331"/>
      <c r="AJ677" s="331"/>
      <c r="AK677" s="331"/>
      <c r="AL677" s="331"/>
    </row>
    <row r="678" ht="15.75" customHeight="1">
      <c r="A678" s="331"/>
      <c r="B678" s="331"/>
      <c r="C678" s="331"/>
      <c r="D678" s="331"/>
      <c r="E678" s="331"/>
      <c r="F678" s="331"/>
      <c r="G678" s="331"/>
      <c r="H678" s="331"/>
      <c r="I678" s="331"/>
      <c r="J678" s="331"/>
      <c r="K678" s="331"/>
      <c r="L678" s="331"/>
      <c r="M678" s="331"/>
      <c r="N678" s="331"/>
      <c r="O678" s="331"/>
      <c r="P678" s="331"/>
      <c r="Q678" s="331"/>
      <c r="R678" s="331"/>
      <c r="S678" s="331"/>
      <c r="T678" s="331"/>
      <c r="U678" s="331"/>
      <c r="V678" s="331"/>
      <c r="W678" s="331"/>
      <c r="X678" s="331"/>
      <c r="Y678" s="331"/>
      <c r="Z678" s="331"/>
      <c r="AA678" s="331"/>
      <c r="AB678" s="331"/>
      <c r="AC678" s="331"/>
      <c r="AD678" s="331"/>
      <c r="AE678" s="331"/>
      <c r="AF678" s="331"/>
      <c r="AG678" s="331"/>
      <c r="AH678" s="331"/>
      <c r="AI678" s="331"/>
      <c r="AJ678" s="331"/>
      <c r="AK678" s="331"/>
      <c r="AL678" s="331"/>
    </row>
    <row r="679" ht="15.75" customHeight="1">
      <c r="A679" s="331"/>
      <c r="B679" s="331"/>
      <c r="C679" s="331"/>
      <c r="D679" s="331"/>
      <c r="E679" s="331"/>
      <c r="F679" s="331"/>
      <c r="G679" s="331"/>
      <c r="H679" s="331"/>
      <c r="I679" s="331"/>
      <c r="J679" s="331"/>
      <c r="K679" s="331"/>
      <c r="L679" s="331"/>
      <c r="M679" s="331"/>
      <c r="N679" s="331"/>
      <c r="O679" s="331"/>
      <c r="P679" s="331"/>
      <c r="Q679" s="331"/>
      <c r="R679" s="331"/>
      <c r="S679" s="331"/>
      <c r="T679" s="331"/>
      <c r="U679" s="331"/>
      <c r="V679" s="331"/>
      <c r="W679" s="331"/>
      <c r="X679" s="331"/>
      <c r="Y679" s="331"/>
      <c r="Z679" s="331"/>
      <c r="AA679" s="331"/>
      <c r="AB679" s="331"/>
      <c r="AC679" s="331"/>
      <c r="AD679" s="331"/>
      <c r="AE679" s="331"/>
      <c r="AF679" s="331"/>
      <c r="AG679" s="331"/>
      <c r="AH679" s="331"/>
      <c r="AI679" s="331"/>
      <c r="AJ679" s="331"/>
      <c r="AK679" s="331"/>
      <c r="AL679" s="331"/>
    </row>
    <row r="680" ht="15.75" customHeight="1">
      <c r="A680" s="331"/>
      <c r="B680" s="331"/>
      <c r="C680" s="331"/>
      <c r="D680" s="331"/>
      <c r="E680" s="331"/>
      <c r="F680" s="331"/>
      <c r="G680" s="331"/>
      <c r="H680" s="331"/>
      <c r="I680" s="331"/>
      <c r="J680" s="331"/>
      <c r="K680" s="331"/>
      <c r="L680" s="331"/>
      <c r="M680" s="331"/>
      <c r="N680" s="331"/>
      <c r="O680" s="331"/>
      <c r="P680" s="331"/>
      <c r="Q680" s="331"/>
      <c r="R680" s="331"/>
      <c r="S680" s="331"/>
      <c r="T680" s="331"/>
      <c r="U680" s="331"/>
      <c r="V680" s="331"/>
      <c r="W680" s="331"/>
      <c r="X680" s="331"/>
      <c r="Y680" s="331"/>
      <c r="Z680" s="331"/>
      <c r="AA680" s="331"/>
      <c r="AB680" s="331"/>
      <c r="AC680" s="331"/>
      <c r="AD680" s="331"/>
      <c r="AE680" s="331"/>
      <c r="AF680" s="331"/>
      <c r="AG680" s="331"/>
      <c r="AH680" s="331"/>
      <c r="AI680" s="331"/>
      <c r="AJ680" s="331"/>
      <c r="AK680" s="331"/>
      <c r="AL680" s="331"/>
    </row>
    <row r="681" ht="15.75" customHeight="1">
      <c r="A681" s="331"/>
      <c r="B681" s="331"/>
      <c r="C681" s="331"/>
      <c r="D681" s="331"/>
      <c r="E681" s="331"/>
      <c r="F681" s="331"/>
      <c r="G681" s="331"/>
      <c r="H681" s="331"/>
      <c r="I681" s="331"/>
      <c r="J681" s="331"/>
      <c r="K681" s="331"/>
      <c r="L681" s="331"/>
      <c r="M681" s="331"/>
      <c r="N681" s="331"/>
      <c r="O681" s="331"/>
      <c r="P681" s="331"/>
      <c r="Q681" s="331"/>
      <c r="R681" s="331"/>
      <c r="S681" s="331"/>
      <c r="T681" s="331"/>
      <c r="U681" s="331"/>
      <c r="V681" s="331"/>
      <c r="W681" s="331"/>
      <c r="X681" s="331"/>
      <c r="Y681" s="331"/>
      <c r="Z681" s="331"/>
      <c r="AA681" s="331"/>
      <c r="AB681" s="331"/>
      <c r="AC681" s="331"/>
      <c r="AD681" s="331"/>
      <c r="AE681" s="331"/>
      <c r="AF681" s="331"/>
      <c r="AG681" s="331"/>
      <c r="AH681" s="331"/>
      <c r="AI681" s="331"/>
      <c r="AJ681" s="331"/>
      <c r="AK681" s="331"/>
      <c r="AL681" s="331"/>
    </row>
    <row r="682" ht="15.75" customHeight="1">
      <c r="A682" s="331"/>
      <c r="B682" s="331"/>
      <c r="C682" s="331"/>
      <c r="D682" s="331"/>
      <c r="E682" s="331"/>
      <c r="F682" s="331"/>
      <c r="G682" s="331"/>
      <c r="H682" s="331"/>
      <c r="I682" s="331"/>
      <c r="J682" s="331"/>
      <c r="K682" s="331"/>
      <c r="L682" s="331"/>
      <c r="M682" s="331"/>
      <c r="N682" s="331"/>
      <c r="O682" s="331"/>
      <c r="P682" s="331"/>
      <c r="Q682" s="331"/>
      <c r="R682" s="331"/>
      <c r="S682" s="331"/>
      <c r="T682" s="331"/>
      <c r="U682" s="331"/>
      <c r="V682" s="331"/>
      <c r="W682" s="331"/>
      <c r="X682" s="331"/>
      <c r="Y682" s="331"/>
      <c r="Z682" s="331"/>
      <c r="AA682" s="331"/>
      <c r="AB682" s="331"/>
      <c r="AC682" s="331"/>
      <c r="AD682" s="331"/>
      <c r="AE682" s="331"/>
      <c r="AF682" s="331"/>
      <c r="AG682" s="331"/>
      <c r="AH682" s="331"/>
      <c r="AI682" s="331"/>
      <c r="AJ682" s="331"/>
      <c r="AK682" s="331"/>
      <c r="AL682" s="331"/>
    </row>
    <row r="683" ht="15.75" customHeight="1">
      <c r="A683" s="331"/>
      <c r="B683" s="331"/>
      <c r="C683" s="331"/>
      <c r="D683" s="331"/>
      <c r="E683" s="331"/>
      <c r="F683" s="331"/>
      <c r="G683" s="331"/>
      <c r="H683" s="331"/>
      <c r="I683" s="331"/>
      <c r="J683" s="331"/>
      <c r="K683" s="331"/>
      <c r="L683" s="331"/>
      <c r="M683" s="331"/>
      <c r="N683" s="331"/>
      <c r="O683" s="331"/>
      <c r="P683" s="331"/>
      <c r="Q683" s="331"/>
      <c r="R683" s="331"/>
      <c r="S683" s="331"/>
      <c r="T683" s="331"/>
      <c r="U683" s="331"/>
      <c r="V683" s="331"/>
      <c r="W683" s="331"/>
      <c r="X683" s="331"/>
      <c r="Y683" s="331"/>
      <c r="Z683" s="331"/>
      <c r="AA683" s="331"/>
      <c r="AB683" s="331"/>
      <c r="AC683" s="331"/>
      <c r="AD683" s="331"/>
      <c r="AE683" s="331"/>
      <c r="AF683" s="331"/>
      <c r="AG683" s="331"/>
      <c r="AH683" s="331"/>
      <c r="AI683" s="331"/>
      <c r="AJ683" s="331"/>
      <c r="AK683" s="331"/>
      <c r="AL683" s="331"/>
    </row>
    <row r="684" ht="15.75" customHeight="1">
      <c r="A684" s="331"/>
      <c r="B684" s="331"/>
      <c r="C684" s="331"/>
      <c r="D684" s="331"/>
      <c r="E684" s="331"/>
      <c r="F684" s="331"/>
      <c r="G684" s="331"/>
      <c r="H684" s="331"/>
      <c r="I684" s="331"/>
      <c r="J684" s="331"/>
      <c r="K684" s="331"/>
      <c r="L684" s="331"/>
      <c r="M684" s="331"/>
      <c r="N684" s="331"/>
      <c r="O684" s="331"/>
      <c r="P684" s="331"/>
      <c r="Q684" s="331"/>
      <c r="R684" s="331"/>
      <c r="S684" s="331"/>
      <c r="T684" s="331"/>
      <c r="U684" s="331"/>
      <c r="V684" s="331"/>
      <c r="W684" s="331"/>
      <c r="X684" s="331"/>
      <c r="Y684" s="331"/>
      <c r="Z684" s="331"/>
      <c r="AA684" s="331"/>
      <c r="AB684" s="331"/>
      <c r="AC684" s="331"/>
      <c r="AD684" s="331"/>
      <c r="AE684" s="331"/>
      <c r="AF684" s="331"/>
      <c r="AG684" s="331"/>
      <c r="AH684" s="331"/>
      <c r="AI684" s="331"/>
      <c r="AJ684" s="331"/>
      <c r="AK684" s="331"/>
      <c r="AL684" s="331"/>
    </row>
    <row r="685" ht="15.75" customHeight="1">
      <c r="A685" s="331"/>
      <c r="B685" s="331"/>
      <c r="C685" s="331"/>
      <c r="D685" s="331"/>
      <c r="E685" s="331"/>
      <c r="F685" s="331"/>
      <c r="G685" s="331"/>
      <c r="H685" s="331"/>
      <c r="I685" s="331"/>
      <c r="J685" s="331"/>
      <c r="K685" s="331"/>
      <c r="L685" s="331"/>
      <c r="M685" s="331"/>
      <c r="N685" s="331"/>
      <c r="O685" s="331"/>
      <c r="P685" s="331"/>
      <c r="Q685" s="331"/>
      <c r="R685" s="331"/>
      <c r="S685" s="331"/>
      <c r="T685" s="331"/>
      <c r="U685" s="331"/>
      <c r="V685" s="331"/>
      <c r="W685" s="331"/>
      <c r="X685" s="331"/>
      <c r="Y685" s="331"/>
      <c r="Z685" s="331"/>
      <c r="AA685" s="331"/>
      <c r="AB685" s="331"/>
      <c r="AC685" s="331"/>
      <c r="AD685" s="331"/>
      <c r="AE685" s="331"/>
      <c r="AF685" s="331"/>
      <c r="AG685" s="331"/>
      <c r="AH685" s="331"/>
      <c r="AI685" s="331"/>
      <c r="AJ685" s="331"/>
      <c r="AK685" s="331"/>
      <c r="AL685" s="331"/>
    </row>
    <row r="686" ht="15.75" customHeight="1">
      <c r="A686" s="331"/>
      <c r="B686" s="331"/>
      <c r="C686" s="331"/>
      <c r="D686" s="331"/>
      <c r="E686" s="331"/>
      <c r="F686" s="331"/>
      <c r="G686" s="331"/>
      <c r="H686" s="331"/>
      <c r="I686" s="331"/>
      <c r="J686" s="331"/>
      <c r="K686" s="331"/>
      <c r="L686" s="331"/>
      <c r="M686" s="331"/>
      <c r="N686" s="331"/>
      <c r="O686" s="331"/>
      <c r="P686" s="331"/>
      <c r="Q686" s="331"/>
      <c r="R686" s="331"/>
      <c r="S686" s="331"/>
      <c r="T686" s="331"/>
      <c r="U686" s="331"/>
      <c r="V686" s="331"/>
      <c r="W686" s="331"/>
      <c r="X686" s="331"/>
      <c r="Y686" s="331"/>
      <c r="Z686" s="331"/>
      <c r="AA686" s="331"/>
      <c r="AB686" s="331"/>
      <c r="AC686" s="331"/>
      <c r="AD686" s="331"/>
      <c r="AE686" s="331"/>
      <c r="AF686" s="331"/>
      <c r="AG686" s="331"/>
      <c r="AH686" s="331"/>
      <c r="AI686" s="331"/>
      <c r="AJ686" s="331"/>
      <c r="AK686" s="331"/>
      <c r="AL686" s="331"/>
    </row>
    <row r="687" ht="15.75" customHeight="1">
      <c r="A687" s="331"/>
      <c r="B687" s="331"/>
      <c r="C687" s="331"/>
      <c r="D687" s="331"/>
      <c r="E687" s="331"/>
      <c r="F687" s="331"/>
      <c r="G687" s="331"/>
      <c r="H687" s="331"/>
      <c r="I687" s="331"/>
      <c r="J687" s="331"/>
      <c r="K687" s="331"/>
      <c r="L687" s="331"/>
      <c r="M687" s="331"/>
      <c r="N687" s="331"/>
      <c r="O687" s="331"/>
      <c r="P687" s="331"/>
      <c r="Q687" s="331"/>
      <c r="R687" s="331"/>
      <c r="S687" s="331"/>
      <c r="T687" s="331"/>
      <c r="U687" s="331"/>
      <c r="V687" s="331"/>
      <c r="W687" s="331"/>
      <c r="X687" s="331"/>
      <c r="Y687" s="331"/>
      <c r="Z687" s="331"/>
      <c r="AA687" s="331"/>
      <c r="AB687" s="331"/>
      <c r="AC687" s="331"/>
      <c r="AD687" s="331"/>
      <c r="AE687" s="331"/>
      <c r="AF687" s="331"/>
      <c r="AG687" s="331"/>
      <c r="AH687" s="331"/>
      <c r="AI687" s="331"/>
      <c r="AJ687" s="331"/>
      <c r="AK687" s="331"/>
      <c r="AL687" s="331"/>
    </row>
    <row r="688" ht="15.75" customHeight="1">
      <c r="A688" s="331"/>
      <c r="B688" s="331"/>
      <c r="C688" s="331"/>
      <c r="D688" s="331"/>
      <c r="E688" s="331"/>
      <c r="F688" s="331"/>
      <c r="G688" s="331"/>
      <c r="H688" s="331"/>
      <c r="I688" s="331"/>
      <c r="J688" s="331"/>
      <c r="K688" s="331"/>
      <c r="L688" s="331"/>
      <c r="M688" s="331"/>
      <c r="N688" s="331"/>
      <c r="O688" s="331"/>
      <c r="P688" s="331"/>
      <c r="Q688" s="331"/>
      <c r="R688" s="331"/>
      <c r="S688" s="331"/>
      <c r="T688" s="331"/>
      <c r="U688" s="331"/>
      <c r="V688" s="331"/>
      <c r="W688" s="331"/>
      <c r="X688" s="331"/>
      <c r="Y688" s="331"/>
      <c r="Z688" s="331"/>
      <c r="AA688" s="331"/>
      <c r="AB688" s="331"/>
      <c r="AC688" s="331"/>
      <c r="AD688" s="331"/>
      <c r="AE688" s="331"/>
      <c r="AF688" s="331"/>
      <c r="AG688" s="331"/>
      <c r="AH688" s="331"/>
      <c r="AI688" s="331"/>
      <c r="AJ688" s="331"/>
      <c r="AK688" s="331"/>
      <c r="AL688" s="331"/>
    </row>
    <row r="689" ht="15.75" customHeight="1">
      <c r="A689" s="331"/>
      <c r="B689" s="331"/>
      <c r="C689" s="331"/>
      <c r="D689" s="331"/>
      <c r="E689" s="331"/>
      <c r="F689" s="331"/>
      <c r="G689" s="331"/>
      <c r="H689" s="331"/>
      <c r="I689" s="331"/>
      <c r="J689" s="331"/>
      <c r="K689" s="331"/>
      <c r="L689" s="331"/>
      <c r="M689" s="331"/>
      <c r="N689" s="331"/>
      <c r="O689" s="331"/>
      <c r="P689" s="331"/>
      <c r="Q689" s="331"/>
      <c r="R689" s="331"/>
      <c r="S689" s="331"/>
      <c r="T689" s="331"/>
      <c r="U689" s="331"/>
      <c r="V689" s="331"/>
      <c r="W689" s="331"/>
      <c r="X689" s="331"/>
      <c r="Y689" s="331"/>
      <c r="Z689" s="331"/>
      <c r="AA689" s="331"/>
      <c r="AB689" s="331"/>
      <c r="AC689" s="331"/>
      <c r="AD689" s="331"/>
      <c r="AE689" s="331"/>
      <c r="AF689" s="331"/>
      <c r="AG689" s="331"/>
      <c r="AH689" s="331"/>
      <c r="AI689" s="331"/>
      <c r="AJ689" s="331"/>
      <c r="AK689" s="331"/>
      <c r="AL689" s="331"/>
    </row>
    <row r="690" ht="15.75" customHeight="1">
      <c r="A690" s="331"/>
      <c r="B690" s="331"/>
      <c r="C690" s="331"/>
      <c r="D690" s="331"/>
      <c r="E690" s="331"/>
      <c r="F690" s="331"/>
      <c r="G690" s="331"/>
      <c r="H690" s="331"/>
      <c r="I690" s="331"/>
      <c r="J690" s="331"/>
      <c r="K690" s="331"/>
      <c r="L690" s="331"/>
      <c r="M690" s="331"/>
      <c r="N690" s="331"/>
      <c r="O690" s="331"/>
      <c r="P690" s="331"/>
      <c r="Q690" s="331"/>
      <c r="R690" s="331"/>
      <c r="S690" s="331"/>
      <c r="T690" s="331"/>
      <c r="U690" s="331"/>
      <c r="V690" s="331"/>
      <c r="W690" s="331"/>
      <c r="X690" s="331"/>
      <c r="Y690" s="331"/>
      <c r="Z690" s="331"/>
      <c r="AA690" s="331"/>
      <c r="AB690" s="331"/>
      <c r="AC690" s="331"/>
      <c r="AD690" s="331"/>
      <c r="AE690" s="331"/>
      <c r="AF690" s="331"/>
      <c r="AG690" s="331"/>
      <c r="AH690" s="331"/>
      <c r="AI690" s="331"/>
      <c r="AJ690" s="331"/>
      <c r="AK690" s="331"/>
      <c r="AL690" s="331"/>
    </row>
    <row r="691" ht="15.75" customHeight="1">
      <c r="A691" s="331"/>
      <c r="B691" s="331"/>
      <c r="C691" s="331"/>
      <c r="D691" s="331"/>
      <c r="E691" s="331"/>
      <c r="F691" s="331"/>
      <c r="G691" s="331"/>
      <c r="H691" s="331"/>
      <c r="I691" s="331"/>
      <c r="J691" s="331"/>
      <c r="K691" s="331"/>
      <c r="L691" s="331"/>
      <c r="M691" s="331"/>
      <c r="N691" s="331"/>
      <c r="O691" s="331"/>
      <c r="P691" s="331"/>
      <c r="Q691" s="331"/>
      <c r="R691" s="331"/>
      <c r="S691" s="331"/>
      <c r="T691" s="331"/>
      <c r="U691" s="331"/>
      <c r="V691" s="331"/>
      <c r="W691" s="331"/>
      <c r="X691" s="331"/>
      <c r="Y691" s="331"/>
      <c r="Z691" s="331"/>
      <c r="AA691" s="331"/>
      <c r="AB691" s="331"/>
      <c r="AC691" s="331"/>
      <c r="AD691" s="331"/>
      <c r="AE691" s="331"/>
      <c r="AF691" s="331"/>
      <c r="AG691" s="331"/>
      <c r="AH691" s="331"/>
      <c r="AI691" s="331"/>
      <c r="AJ691" s="331"/>
      <c r="AK691" s="331"/>
      <c r="AL691" s="331"/>
    </row>
    <row r="692" ht="15.75" customHeight="1">
      <c r="A692" s="331"/>
      <c r="B692" s="331"/>
      <c r="C692" s="331"/>
      <c r="D692" s="331"/>
      <c r="E692" s="331"/>
      <c r="F692" s="331"/>
      <c r="G692" s="331"/>
      <c r="H692" s="331"/>
      <c r="I692" s="331"/>
      <c r="J692" s="331"/>
      <c r="K692" s="331"/>
      <c r="L692" s="331"/>
      <c r="M692" s="331"/>
      <c r="N692" s="331"/>
      <c r="O692" s="331"/>
      <c r="P692" s="331"/>
      <c r="Q692" s="331"/>
      <c r="R692" s="331"/>
      <c r="S692" s="331"/>
      <c r="T692" s="331"/>
      <c r="U692" s="331"/>
      <c r="V692" s="331"/>
      <c r="W692" s="331"/>
      <c r="X692" s="331"/>
      <c r="Y692" s="331"/>
      <c r="Z692" s="331"/>
      <c r="AA692" s="331"/>
      <c r="AB692" s="331"/>
      <c r="AC692" s="331"/>
      <c r="AD692" s="331"/>
      <c r="AE692" s="331"/>
      <c r="AF692" s="331"/>
      <c r="AG692" s="331"/>
      <c r="AH692" s="331"/>
      <c r="AI692" s="331"/>
      <c r="AJ692" s="331"/>
      <c r="AK692" s="331"/>
      <c r="AL692" s="331"/>
    </row>
    <row r="693" ht="15.75" customHeight="1">
      <c r="A693" s="331"/>
      <c r="B693" s="331"/>
      <c r="C693" s="331"/>
      <c r="D693" s="331"/>
      <c r="E693" s="331"/>
      <c r="F693" s="331"/>
      <c r="G693" s="331"/>
      <c r="H693" s="331"/>
      <c r="I693" s="331"/>
      <c r="J693" s="331"/>
      <c r="K693" s="331"/>
      <c r="L693" s="331"/>
      <c r="M693" s="331"/>
      <c r="N693" s="331"/>
      <c r="O693" s="331"/>
      <c r="P693" s="331"/>
      <c r="Q693" s="331"/>
      <c r="R693" s="331"/>
      <c r="S693" s="331"/>
      <c r="T693" s="331"/>
      <c r="U693" s="331"/>
      <c r="V693" s="331"/>
      <c r="W693" s="331"/>
      <c r="X693" s="331"/>
      <c r="Y693" s="331"/>
      <c r="Z693" s="331"/>
      <c r="AA693" s="331"/>
      <c r="AB693" s="331"/>
      <c r="AC693" s="331"/>
      <c r="AD693" s="331"/>
      <c r="AE693" s="331"/>
      <c r="AF693" s="331"/>
      <c r="AG693" s="331"/>
      <c r="AH693" s="331"/>
      <c r="AI693" s="331"/>
      <c r="AJ693" s="331"/>
      <c r="AK693" s="331"/>
      <c r="AL693" s="331"/>
    </row>
    <row r="694" ht="15.75" customHeight="1">
      <c r="A694" s="331"/>
      <c r="B694" s="331"/>
      <c r="C694" s="331"/>
      <c r="D694" s="331"/>
      <c r="E694" s="331"/>
      <c r="F694" s="331"/>
      <c r="G694" s="331"/>
      <c r="H694" s="331"/>
      <c r="I694" s="331"/>
      <c r="J694" s="331"/>
      <c r="K694" s="331"/>
      <c r="L694" s="331"/>
      <c r="M694" s="331"/>
      <c r="N694" s="331"/>
      <c r="O694" s="331"/>
      <c r="P694" s="331"/>
      <c r="Q694" s="331"/>
      <c r="R694" s="331"/>
      <c r="S694" s="331"/>
      <c r="T694" s="331"/>
      <c r="U694" s="331"/>
      <c r="V694" s="331"/>
      <c r="W694" s="331"/>
      <c r="X694" s="331"/>
      <c r="Y694" s="331"/>
      <c r="Z694" s="331"/>
      <c r="AA694" s="331"/>
      <c r="AB694" s="331"/>
      <c r="AC694" s="331"/>
      <c r="AD694" s="331"/>
      <c r="AE694" s="331"/>
      <c r="AF694" s="331"/>
      <c r="AG694" s="331"/>
      <c r="AH694" s="331"/>
      <c r="AI694" s="331"/>
      <c r="AJ694" s="331"/>
      <c r="AK694" s="331"/>
      <c r="AL694" s="331"/>
    </row>
    <row r="695" ht="15.75" customHeight="1">
      <c r="A695" s="331"/>
      <c r="B695" s="331"/>
      <c r="C695" s="331"/>
      <c r="D695" s="331"/>
      <c r="E695" s="331"/>
      <c r="F695" s="331"/>
      <c r="G695" s="331"/>
      <c r="H695" s="331"/>
      <c r="I695" s="331"/>
      <c r="J695" s="331"/>
      <c r="K695" s="331"/>
      <c r="L695" s="331"/>
      <c r="M695" s="331"/>
      <c r="N695" s="331"/>
      <c r="O695" s="331"/>
      <c r="P695" s="331"/>
      <c r="Q695" s="331"/>
      <c r="R695" s="331"/>
      <c r="S695" s="331"/>
      <c r="T695" s="331"/>
      <c r="U695" s="331"/>
      <c r="V695" s="331"/>
      <c r="W695" s="331"/>
      <c r="X695" s="331"/>
      <c r="Y695" s="331"/>
      <c r="Z695" s="331"/>
      <c r="AA695" s="331"/>
      <c r="AB695" s="331"/>
      <c r="AC695" s="331"/>
      <c r="AD695" s="331"/>
      <c r="AE695" s="331"/>
      <c r="AF695" s="331"/>
      <c r="AG695" s="331"/>
      <c r="AH695" s="331"/>
      <c r="AI695" s="331"/>
      <c r="AJ695" s="331"/>
      <c r="AK695" s="331"/>
      <c r="AL695" s="331"/>
    </row>
    <row r="696" ht="15.75" customHeight="1">
      <c r="A696" s="331"/>
      <c r="B696" s="331"/>
      <c r="C696" s="331"/>
      <c r="D696" s="331"/>
      <c r="E696" s="331"/>
      <c r="F696" s="331"/>
      <c r="G696" s="331"/>
      <c r="H696" s="331"/>
      <c r="I696" s="331"/>
      <c r="J696" s="331"/>
      <c r="K696" s="331"/>
      <c r="L696" s="331"/>
      <c r="M696" s="331"/>
      <c r="N696" s="331"/>
      <c r="O696" s="331"/>
      <c r="P696" s="331"/>
      <c r="Q696" s="331"/>
      <c r="R696" s="331"/>
      <c r="S696" s="331"/>
      <c r="T696" s="331"/>
      <c r="U696" s="331"/>
      <c r="V696" s="331"/>
      <c r="W696" s="331"/>
      <c r="X696" s="331"/>
      <c r="Y696" s="331"/>
      <c r="Z696" s="331"/>
      <c r="AA696" s="331"/>
      <c r="AB696" s="331"/>
      <c r="AC696" s="331"/>
      <c r="AD696" s="331"/>
      <c r="AE696" s="331"/>
      <c r="AF696" s="331"/>
      <c r="AG696" s="331"/>
      <c r="AH696" s="331"/>
      <c r="AI696" s="331"/>
      <c r="AJ696" s="331"/>
      <c r="AK696" s="331"/>
      <c r="AL696" s="331"/>
    </row>
    <row r="697" ht="15.75" customHeight="1">
      <c r="A697" s="331"/>
      <c r="B697" s="331"/>
      <c r="C697" s="331"/>
      <c r="D697" s="331"/>
      <c r="E697" s="331"/>
      <c r="F697" s="331"/>
      <c r="G697" s="331"/>
      <c r="H697" s="331"/>
      <c r="I697" s="331"/>
      <c r="J697" s="331"/>
      <c r="K697" s="331"/>
      <c r="L697" s="331"/>
      <c r="M697" s="331"/>
      <c r="N697" s="331"/>
      <c r="O697" s="331"/>
      <c r="P697" s="331"/>
      <c r="Q697" s="331"/>
      <c r="R697" s="331"/>
      <c r="S697" s="331"/>
      <c r="T697" s="331"/>
      <c r="U697" s="331"/>
      <c r="V697" s="331"/>
      <c r="W697" s="331"/>
      <c r="X697" s="331"/>
      <c r="Y697" s="331"/>
      <c r="Z697" s="331"/>
      <c r="AA697" s="331"/>
      <c r="AB697" s="331"/>
      <c r="AC697" s="331"/>
      <c r="AD697" s="331"/>
      <c r="AE697" s="331"/>
      <c r="AF697" s="331"/>
      <c r="AG697" s="331"/>
      <c r="AH697" s="331"/>
      <c r="AI697" s="331"/>
      <c r="AJ697" s="331"/>
      <c r="AK697" s="331"/>
      <c r="AL697" s="331"/>
    </row>
    <row r="698" ht="15.75" customHeight="1">
      <c r="A698" s="331"/>
      <c r="B698" s="331"/>
      <c r="C698" s="331"/>
      <c r="D698" s="331"/>
      <c r="E698" s="331"/>
      <c r="F698" s="331"/>
      <c r="G698" s="331"/>
      <c r="H698" s="331"/>
      <c r="I698" s="331"/>
      <c r="J698" s="331"/>
      <c r="K698" s="331"/>
      <c r="L698" s="331"/>
      <c r="M698" s="331"/>
      <c r="N698" s="331"/>
      <c r="O698" s="331"/>
      <c r="P698" s="331"/>
      <c r="Q698" s="331"/>
      <c r="R698" s="331"/>
      <c r="S698" s="331"/>
      <c r="T698" s="331"/>
      <c r="U698" s="331"/>
      <c r="V698" s="331"/>
      <c r="W698" s="331"/>
      <c r="X698" s="331"/>
      <c r="Y698" s="331"/>
      <c r="Z698" s="331"/>
      <c r="AA698" s="331"/>
      <c r="AB698" s="331"/>
      <c r="AC698" s="331"/>
      <c r="AD698" s="331"/>
      <c r="AE698" s="331"/>
      <c r="AF698" s="331"/>
      <c r="AG698" s="331"/>
      <c r="AH698" s="331"/>
      <c r="AI698" s="331"/>
      <c r="AJ698" s="331"/>
      <c r="AK698" s="331"/>
      <c r="AL698" s="331"/>
    </row>
    <row r="699" ht="15.75" customHeight="1">
      <c r="A699" s="331"/>
      <c r="B699" s="331"/>
      <c r="C699" s="331"/>
      <c r="D699" s="331"/>
      <c r="E699" s="331"/>
      <c r="F699" s="331"/>
      <c r="G699" s="331"/>
      <c r="H699" s="331"/>
      <c r="I699" s="331"/>
      <c r="J699" s="331"/>
      <c r="K699" s="331"/>
      <c r="L699" s="331"/>
      <c r="M699" s="331"/>
      <c r="N699" s="331"/>
      <c r="O699" s="331"/>
      <c r="P699" s="331"/>
      <c r="Q699" s="331"/>
      <c r="R699" s="331"/>
      <c r="S699" s="331"/>
      <c r="T699" s="331"/>
      <c r="U699" s="331"/>
      <c r="V699" s="331"/>
      <c r="W699" s="331"/>
      <c r="X699" s="331"/>
      <c r="Y699" s="331"/>
      <c r="Z699" s="331"/>
      <c r="AA699" s="331"/>
      <c r="AB699" s="331"/>
      <c r="AC699" s="331"/>
      <c r="AD699" s="331"/>
      <c r="AE699" s="331"/>
      <c r="AF699" s="331"/>
      <c r="AG699" s="331"/>
      <c r="AH699" s="331"/>
      <c r="AI699" s="331"/>
      <c r="AJ699" s="331"/>
      <c r="AK699" s="331"/>
      <c r="AL699" s="331"/>
    </row>
    <row r="700" ht="15.75" customHeight="1">
      <c r="A700" s="331"/>
      <c r="B700" s="331"/>
      <c r="C700" s="331"/>
      <c r="D700" s="331"/>
      <c r="E700" s="331"/>
      <c r="F700" s="331"/>
      <c r="G700" s="331"/>
      <c r="H700" s="331"/>
      <c r="I700" s="331"/>
      <c r="J700" s="331"/>
      <c r="K700" s="331"/>
      <c r="L700" s="331"/>
      <c r="M700" s="331"/>
      <c r="N700" s="331"/>
      <c r="O700" s="331"/>
      <c r="P700" s="331"/>
      <c r="Q700" s="331"/>
      <c r="R700" s="331"/>
      <c r="S700" s="331"/>
      <c r="T700" s="331"/>
      <c r="U700" s="331"/>
      <c r="V700" s="331"/>
      <c r="W700" s="331"/>
      <c r="X700" s="331"/>
      <c r="Y700" s="331"/>
      <c r="Z700" s="331"/>
      <c r="AA700" s="331"/>
      <c r="AB700" s="331"/>
      <c r="AC700" s="331"/>
      <c r="AD700" s="331"/>
      <c r="AE700" s="331"/>
      <c r="AF700" s="331"/>
      <c r="AG700" s="331"/>
      <c r="AH700" s="331"/>
      <c r="AI700" s="331"/>
      <c r="AJ700" s="331"/>
      <c r="AK700" s="331"/>
      <c r="AL700" s="331"/>
    </row>
    <row r="701" ht="15.75" customHeight="1">
      <c r="A701" s="331"/>
      <c r="B701" s="331"/>
      <c r="C701" s="331"/>
      <c r="D701" s="331"/>
      <c r="E701" s="331"/>
      <c r="F701" s="331"/>
      <c r="G701" s="331"/>
      <c r="H701" s="331"/>
      <c r="I701" s="331"/>
      <c r="J701" s="331"/>
      <c r="K701" s="331"/>
      <c r="L701" s="331"/>
      <c r="M701" s="331"/>
      <c r="N701" s="331"/>
      <c r="O701" s="331"/>
      <c r="P701" s="331"/>
      <c r="Q701" s="331"/>
      <c r="R701" s="331"/>
      <c r="S701" s="331"/>
      <c r="T701" s="331"/>
      <c r="U701" s="331"/>
      <c r="V701" s="331"/>
      <c r="W701" s="331"/>
      <c r="X701" s="331"/>
      <c r="Y701" s="331"/>
      <c r="Z701" s="331"/>
      <c r="AA701" s="331"/>
      <c r="AB701" s="331"/>
      <c r="AC701" s="331"/>
      <c r="AD701" s="331"/>
      <c r="AE701" s="331"/>
      <c r="AF701" s="331"/>
      <c r="AG701" s="331"/>
      <c r="AH701" s="331"/>
      <c r="AI701" s="331"/>
      <c r="AJ701" s="331"/>
      <c r="AK701" s="331"/>
      <c r="AL701" s="331"/>
    </row>
    <row r="702" ht="15.75" customHeight="1">
      <c r="A702" s="331"/>
      <c r="B702" s="331"/>
      <c r="C702" s="331"/>
      <c r="D702" s="331"/>
      <c r="E702" s="331"/>
      <c r="F702" s="331"/>
      <c r="G702" s="331"/>
      <c r="H702" s="331"/>
      <c r="I702" s="331"/>
      <c r="J702" s="331"/>
      <c r="K702" s="331"/>
      <c r="L702" s="331"/>
      <c r="M702" s="331"/>
      <c r="N702" s="331"/>
      <c r="O702" s="331"/>
      <c r="P702" s="331"/>
      <c r="Q702" s="331"/>
      <c r="R702" s="331"/>
      <c r="S702" s="331"/>
      <c r="T702" s="331"/>
      <c r="U702" s="331"/>
      <c r="V702" s="331"/>
      <c r="W702" s="331"/>
      <c r="X702" s="331"/>
      <c r="Y702" s="331"/>
      <c r="Z702" s="331"/>
      <c r="AA702" s="331"/>
      <c r="AB702" s="331"/>
      <c r="AC702" s="331"/>
      <c r="AD702" s="331"/>
      <c r="AE702" s="331"/>
      <c r="AF702" s="331"/>
      <c r="AG702" s="331"/>
      <c r="AH702" s="331"/>
      <c r="AI702" s="331"/>
      <c r="AJ702" s="331"/>
      <c r="AK702" s="331"/>
      <c r="AL702" s="331"/>
    </row>
    <row r="703" ht="15.75" customHeight="1">
      <c r="A703" s="331"/>
      <c r="B703" s="331"/>
      <c r="C703" s="331"/>
      <c r="D703" s="331"/>
      <c r="E703" s="331"/>
      <c r="F703" s="331"/>
      <c r="G703" s="331"/>
      <c r="H703" s="331"/>
      <c r="I703" s="331"/>
      <c r="J703" s="331"/>
      <c r="K703" s="331"/>
      <c r="L703" s="331"/>
      <c r="M703" s="331"/>
      <c r="N703" s="331"/>
      <c r="O703" s="331"/>
      <c r="P703" s="331"/>
      <c r="Q703" s="331"/>
      <c r="R703" s="331"/>
      <c r="S703" s="331"/>
      <c r="T703" s="331"/>
      <c r="U703" s="331"/>
      <c r="V703" s="331"/>
      <c r="W703" s="331"/>
      <c r="X703" s="331"/>
      <c r="Y703" s="331"/>
      <c r="Z703" s="331"/>
      <c r="AA703" s="331"/>
      <c r="AB703" s="331"/>
      <c r="AC703" s="331"/>
      <c r="AD703" s="331"/>
      <c r="AE703" s="331"/>
      <c r="AF703" s="331"/>
      <c r="AG703" s="331"/>
      <c r="AH703" s="331"/>
      <c r="AI703" s="331"/>
      <c r="AJ703" s="331"/>
      <c r="AK703" s="331"/>
      <c r="AL703" s="331"/>
    </row>
    <row r="704" ht="15.75" customHeight="1">
      <c r="A704" s="331"/>
      <c r="B704" s="331"/>
      <c r="C704" s="331"/>
      <c r="D704" s="331"/>
      <c r="E704" s="331"/>
      <c r="F704" s="331"/>
      <c r="G704" s="331"/>
      <c r="H704" s="331"/>
      <c r="I704" s="331"/>
      <c r="J704" s="331"/>
      <c r="K704" s="331"/>
      <c r="L704" s="331"/>
      <c r="M704" s="331"/>
      <c r="N704" s="331"/>
      <c r="O704" s="331"/>
      <c r="P704" s="331"/>
      <c r="Q704" s="331"/>
      <c r="R704" s="331"/>
      <c r="S704" s="331"/>
      <c r="T704" s="331"/>
      <c r="U704" s="331"/>
      <c r="V704" s="331"/>
      <c r="W704" s="331"/>
      <c r="X704" s="331"/>
      <c r="Y704" s="331"/>
      <c r="Z704" s="331"/>
      <c r="AA704" s="331"/>
      <c r="AB704" s="331"/>
      <c r="AC704" s="331"/>
      <c r="AD704" s="331"/>
      <c r="AE704" s="331"/>
      <c r="AF704" s="331"/>
      <c r="AG704" s="331"/>
      <c r="AH704" s="331"/>
      <c r="AI704" s="331"/>
      <c r="AJ704" s="331"/>
      <c r="AK704" s="331"/>
      <c r="AL704" s="331"/>
    </row>
    <row r="705" ht="15.75" customHeight="1">
      <c r="A705" s="331"/>
      <c r="B705" s="331"/>
      <c r="C705" s="331"/>
      <c r="D705" s="331"/>
      <c r="E705" s="331"/>
      <c r="F705" s="331"/>
      <c r="G705" s="331"/>
      <c r="H705" s="331"/>
      <c r="I705" s="331"/>
      <c r="J705" s="331"/>
      <c r="K705" s="331"/>
      <c r="L705" s="331"/>
      <c r="M705" s="331"/>
      <c r="N705" s="331"/>
      <c r="O705" s="331"/>
      <c r="P705" s="331"/>
      <c r="Q705" s="331"/>
      <c r="R705" s="331"/>
      <c r="S705" s="331"/>
      <c r="T705" s="331"/>
      <c r="U705" s="331"/>
      <c r="V705" s="331"/>
      <c r="W705" s="331"/>
      <c r="X705" s="331"/>
      <c r="Y705" s="331"/>
      <c r="Z705" s="331"/>
      <c r="AA705" s="331"/>
      <c r="AB705" s="331"/>
      <c r="AC705" s="331"/>
      <c r="AD705" s="331"/>
      <c r="AE705" s="331"/>
      <c r="AF705" s="331"/>
      <c r="AG705" s="331"/>
      <c r="AH705" s="331"/>
      <c r="AI705" s="331"/>
      <c r="AJ705" s="331"/>
      <c r="AK705" s="331"/>
      <c r="AL705" s="331"/>
    </row>
    <row r="706" ht="15.75" customHeight="1">
      <c r="A706" s="331"/>
      <c r="B706" s="331"/>
      <c r="C706" s="331"/>
      <c r="D706" s="331"/>
      <c r="E706" s="331"/>
      <c r="F706" s="331"/>
      <c r="G706" s="331"/>
      <c r="H706" s="331"/>
      <c r="I706" s="331"/>
      <c r="J706" s="331"/>
      <c r="K706" s="331"/>
      <c r="L706" s="331"/>
      <c r="M706" s="331"/>
      <c r="N706" s="331"/>
      <c r="O706" s="331"/>
      <c r="P706" s="331"/>
      <c r="Q706" s="331"/>
      <c r="R706" s="331"/>
      <c r="S706" s="331"/>
      <c r="T706" s="331"/>
      <c r="U706" s="331"/>
      <c r="V706" s="331"/>
      <c r="W706" s="331"/>
      <c r="X706" s="331"/>
      <c r="Y706" s="331"/>
      <c r="Z706" s="331"/>
      <c r="AA706" s="331"/>
      <c r="AB706" s="331"/>
      <c r="AC706" s="331"/>
      <c r="AD706" s="331"/>
      <c r="AE706" s="331"/>
      <c r="AF706" s="331"/>
      <c r="AG706" s="331"/>
      <c r="AH706" s="331"/>
      <c r="AI706" s="331"/>
      <c r="AJ706" s="331"/>
      <c r="AK706" s="331"/>
      <c r="AL706" s="331"/>
    </row>
    <row r="707" ht="15.75" customHeight="1">
      <c r="A707" s="331"/>
      <c r="B707" s="331"/>
      <c r="C707" s="331"/>
      <c r="D707" s="331"/>
      <c r="E707" s="331"/>
      <c r="F707" s="331"/>
      <c r="G707" s="331"/>
      <c r="H707" s="331"/>
      <c r="I707" s="331"/>
      <c r="J707" s="331"/>
      <c r="K707" s="331"/>
      <c r="L707" s="331"/>
      <c r="M707" s="331"/>
      <c r="N707" s="331"/>
      <c r="O707" s="331"/>
      <c r="P707" s="331"/>
      <c r="Q707" s="331"/>
      <c r="R707" s="331"/>
      <c r="S707" s="331"/>
      <c r="T707" s="331"/>
      <c r="U707" s="331"/>
      <c r="V707" s="331"/>
      <c r="W707" s="331"/>
      <c r="X707" s="331"/>
      <c r="Y707" s="331"/>
      <c r="Z707" s="331"/>
      <c r="AA707" s="331"/>
      <c r="AB707" s="331"/>
      <c r="AC707" s="331"/>
      <c r="AD707" s="331"/>
      <c r="AE707" s="331"/>
      <c r="AF707" s="331"/>
      <c r="AG707" s="331"/>
      <c r="AH707" s="331"/>
      <c r="AI707" s="331"/>
      <c r="AJ707" s="331"/>
      <c r="AK707" s="331"/>
      <c r="AL707" s="331"/>
    </row>
    <row r="708" ht="15.75" customHeight="1">
      <c r="A708" s="331"/>
      <c r="B708" s="331"/>
      <c r="C708" s="331"/>
      <c r="D708" s="331"/>
      <c r="E708" s="331"/>
      <c r="F708" s="331"/>
      <c r="G708" s="331"/>
      <c r="H708" s="331"/>
      <c r="I708" s="331"/>
      <c r="J708" s="331"/>
      <c r="K708" s="331"/>
      <c r="L708" s="331"/>
      <c r="M708" s="331"/>
      <c r="N708" s="331"/>
      <c r="O708" s="331"/>
      <c r="P708" s="331"/>
      <c r="Q708" s="331"/>
      <c r="R708" s="331"/>
      <c r="S708" s="331"/>
      <c r="T708" s="331"/>
      <c r="U708" s="331"/>
      <c r="V708" s="331"/>
      <c r="W708" s="331"/>
      <c r="X708" s="331"/>
      <c r="Y708" s="331"/>
      <c r="Z708" s="331"/>
      <c r="AA708" s="331"/>
      <c r="AB708" s="331"/>
      <c r="AC708" s="331"/>
      <c r="AD708" s="331"/>
      <c r="AE708" s="331"/>
      <c r="AF708" s="331"/>
      <c r="AG708" s="331"/>
      <c r="AH708" s="331"/>
      <c r="AI708" s="331"/>
      <c r="AJ708" s="331"/>
      <c r="AK708" s="331"/>
      <c r="AL708" s="331"/>
    </row>
    <row r="709" ht="15.75" customHeight="1">
      <c r="A709" s="331"/>
      <c r="B709" s="331"/>
      <c r="C709" s="331"/>
      <c r="D709" s="331"/>
      <c r="E709" s="331"/>
      <c r="F709" s="331"/>
      <c r="G709" s="331"/>
      <c r="H709" s="331"/>
      <c r="I709" s="331"/>
      <c r="J709" s="331"/>
      <c r="K709" s="331"/>
      <c r="L709" s="331"/>
      <c r="M709" s="331"/>
      <c r="N709" s="331"/>
      <c r="O709" s="331"/>
      <c r="P709" s="331"/>
      <c r="Q709" s="331"/>
      <c r="R709" s="331"/>
      <c r="S709" s="331"/>
      <c r="T709" s="331"/>
      <c r="U709" s="331"/>
      <c r="V709" s="331"/>
      <c r="W709" s="331"/>
      <c r="X709" s="331"/>
      <c r="Y709" s="331"/>
      <c r="Z709" s="331"/>
      <c r="AA709" s="331"/>
      <c r="AB709" s="331"/>
      <c r="AC709" s="331"/>
      <c r="AD709" s="331"/>
      <c r="AE709" s="331"/>
      <c r="AF709" s="331"/>
      <c r="AG709" s="331"/>
      <c r="AH709" s="331"/>
      <c r="AI709" s="331"/>
      <c r="AJ709" s="331"/>
      <c r="AK709" s="331"/>
      <c r="AL709" s="331"/>
    </row>
    <row r="710" ht="15.75" customHeight="1">
      <c r="A710" s="331"/>
      <c r="B710" s="331"/>
      <c r="C710" s="331"/>
      <c r="D710" s="331"/>
      <c r="E710" s="331"/>
      <c r="F710" s="331"/>
      <c r="G710" s="331"/>
      <c r="H710" s="331"/>
      <c r="I710" s="331"/>
      <c r="J710" s="331"/>
      <c r="K710" s="331"/>
      <c r="L710" s="331"/>
      <c r="M710" s="331"/>
      <c r="N710" s="331"/>
      <c r="O710" s="331"/>
      <c r="P710" s="331"/>
      <c r="Q710" s="331"/>
      <c r="R710" s="331"/>
      <c r="S710" s="331"/>
      <c r="T710" s="331"/>
      <c r="U710" s="331"/>
      <c r="V710" s="331"/>
      <c r="W710" s="331"/>
      <c r="X710" s="331"/>
      <c r="Y710" s="331"/>
      <c r="Z710" s="331"/>
      <c r="AA710" s="331"/>
      <c r="AB710" s="331"/>
      <c r="AC710" s="331"/>
      <c r="AD710" s="331"/>
      <c r="AE710" s="331"/>
      <c r="AF710" s="331"/>
      <c r="AG710" s="331"/>
      <c r="AH710" s="331"/>
      <c r="AI710" s="331"/>
      <c r="AJ710" s="331"/>
      <c r="AK710" s="331"/>
      <c r="AL710" s="331"/>
    </row>
    <row r="711" ht="15.75" customHeight="1">
      <c r="A711" s="331"/>
      <c r="B711" s="331"/>
      <c r="C711" s="331"/>
      <c r="D711" s="331"/>
      <c r="E711" s="331"/>
      <c r="F711" s="331"/>
      <c r="G711" s="331"/>
      <c r="H711" s="331"/>
      <c r="I711" s="331"/>
      <c r="J711" s="331"/>
      <c r="K711" s="331"/>
      <c r="L711" s="331"/>
      <c r="M711" s="331"/>
      <c r="N711" s="331"/>
      <c r="O711" s="331"/>
      <c r="P711" s="331"/>
      <c r="Q711" s="331"/>
      <c r="R711" s="331"/>
      <c r="S711" s="331"/>
      <c r="T711" s="331"/>
      <c r="U711" s="331"/>
      <c r="V711" s="331"/>
      <c r="W711" s="331"/>
      <c r="X711" s="331"/>
      <c r="Y711" s="331"/>
      <c r="Z711" s="331"/>
      <c r="AA711" s="331"/>
      <c r="AB711" s="331"/>
      <c r="AC711" s="331"/>
      <c r="AD711" s="331"/>
      <c r="AE711" s="331"/>
      <c r="AF711" s="331"/>
      <c r="AG711" s="331"/>
      <c r="AH711" s="331"/>
      <c r="AI711" s="331"/>
      <c r="AJ711" s="331"/>
      <c r="AK711" s="331"/>
      <c r="AL711" s="331"/>
    </row>
    <row r="712" ht="15.75" customHeight="1">
      <c r="A712" s="331"/>
      <c r="B712" s="331"/>
      <c r="C712" s="331"/>
      <c r="D712" s="331"/>
      <c r="E712" s="331"/>
      <c r="F712" s="331"/>
      <c r="G712" s="331"/>
      <c r="H712" s="331"/>
      <c r="I712" s="331"/>
      <c r="J712" s="331"/>
      <c r="K712" s="331"/>
      <c r="L712" s="331"/>
      <c r="M712" s="331"/>
      <c r="N712" s="331"/>
      <c r="O712" s="331"/>
      <c r="P712" s="331"/>
      <c r="Q712" s="331"/>
      <c r="R712" s="331"/>
      <c r="S712" s="331"/>
      <c r="T712" s="331"/>
      <c r="U712" s="331"/>
      <c r="V712" s="331"/>
      <c r="W712" s="331"/>
      <c r="X712" s="331"/>
      <c r="Y712" s="331"/>
      <c r="Z712" s="331"/>
      <c r="AA712" s="331"/>
      <c r="AB712" s="331"/>
      <c r="AC712" s="331"/>
      <c r="AD712" s="331"/>
      <c r="AE712" s="331"/>
      <c r="AF712" s="331"/>
      <c r="AG712" s="331"/>
      <c r="AH712" s="331"/>
      <c r="AI712" s="331"/>
      <c r="AJ712" s="331"/>
      <c r="AK712" s="331"/>
      <c r="AL712" s="331"/>
    </row>
    <row r="713" ht="15.75" customHeight="1">
      <c r="A713" s="331"/>
      <c r="B713" s="331"/>
      <c r="C713" s="331"/>
      <c r="D713" s="331"/>
      <c r="E713" s="331"/>
      <c r="F713" s="331"/>
      <c r="G713" s="331"/>
      <c r="H713" s="331"/>
      <c r="I713" s="331"/>
      <c r="J713" s="331"/>
      <c r="K713" s="331"/>
      <c r="L713" s="331"/>
      <c r="M713" s="331"/>
      <c r="N713" s="331"/>
      <c r="O713" s="331"/>
      <c r="P713" s="331"/>
      <c r="Q713" s="331"/>
      <c r="R713" s="331"/>
      <c r="S713" s="331"/>
      <c r="T713" s="331"/>
      <c r="U713" s="331"/>
      <c r="V713" s="331"/>
      <c r="W713" s="331"/>
      <c r="X713" s="331"/>
      <c r="Y713" s="331"/>
      <c r="Z713" s="331"/>
      <c r="AA713" s="331"/>
      <c r="AB713" s="331"/>
      <c r="AC713" s="331"/>
      <c r="AD713" s="331"/>
      <c r="AE713" s="331"/>
      <c r="AF713" s="331"/>
      <c r="AG713" s="331"/>
      <c r="AH713" s="331"/>
      <c r="AI713" s="331"/>
      <c r="AJ713" s="331"/>
      <c r="AK713" s="331"/>
      <c r="AL713" s="331"/>
    </row>
    <row r="714" ht="15.75" customHeight="1">
      <c r="A714" s="331"/>
      <c r="B714" s="331"/>
      <c r="C714" s="331"/>
      <c r="D714" s="331"/>
      <c r="E714" s="331"/>
      <c r="F714" s="331"/>
      <c r="G714" s="331"/>
      <c r="H714" s="331"/>
      <c r="I714" s="331"/>
      <c r="J714" s="331"/>
      <c r="K714" s="331"/>
      <c r="L714" s="331"/>
      <c r="M714" s="331"/>
      <c r="N714" s="331"/>
      <c r="O714" s="331"/>
      <c r="P714" s="331"/>
      <c r="Q714" s="331"/>
      <c r="R714" s="331"/>
      <c r="S714" s="331"/>
      <c r="T714" s="331"/>
      <c r="U714" s="331"/>
      <c r="V714" s="331"/>
      <c r="W714" s="331"/>
      <c r="X714" s="331"/>
      <c r="Y714" s="331"/>
      <c r="Z714" s="331"/>
      <c r="AA714" s="331"/>
      <c r="AB714" s="331"/>
      <c r="AC714" s="331"/>
      <c r="AD714" s="331"/>
      <c r="AE714" s="331"/>
      <c r="AF714" s="331"/>
      <c r="AG714" s="331"/>
      <c r="AH714" s="331"/>
      <c r="AI714" s="331"/>
      <c r="AJ714" s="331"/>
      <c r="AK714" s="331"/>
      <c r="AL714" s="331"/>
    </row>
    <row r="715" ht="15.75" customHeight="1">
      <c r="A715" s="331"/>
      <c r="B715" s="331"/>
      <c r="C715" s="331"/>
      <c r="D715" s="331"/>
      <c r="E715" s="331"/>
      <c r="F715" s="331"/>
      <c r="G715" s="331"/>
      <c r="H715" s="331"/>
      <c r="I715" s="331"/>
      <c r="J715" s="331"/>
      <c r="K715" s="331"/>
      <c r="L715" s="331"/>
      <c r="M715" s="331"/>
      <c r="N715" s="331"/>
      <c r="O715" s="331"/>
      <c r="P715" s="331"/>
      <c r="Q715" s="331"/>
      <c r="R715" s="331"/>
      <c r="S715" s="331"/>
      <c r="T715" s="331"/>
      <c r="U715" s="331"/>
      <c r="V715" s="331"/>
      <c r="W715" s="331"/>
      <c r="X715" s="331"/>
      <c r="Y715" s="331"/>
      <c r="Z715" s="331"/>
      <c r="AA715" s="331"/>
      <c r="AB715" s="331"/>
      <c r="AC715" s="331"/>
      <c r="AD715" s="331"/>
      <c r="AE715" s="331"/>
      <c r="AF715" s="331"/>
      <c r="AG715" s="331"/>
      <c r="AH715" s="331"/>
      <c r="AI715" s="331"/>
      <c r="AJ715" s="331"/>
      <c r="AK715" s="331"/>
      <c r="AL715" s="331"/>
    </row>
    <row r="716" ht="15.75" customHeight="1">
      <c r="A716" s="331"/>
      <c r="B716" s="331"/>
      <c r="C716" s="331"/>
      <c r="D716" s="331"/>
      <c r="E716" s="331"/>
      <c r="F716" s="331"/>
      <c r="G716" s="331"/>
      <c r="H716" s="331"/>
      <c r="I716" s="331"/>
      <c r="J716" s="331"/>
      <c r="K716" s="331"/>
      <c r="L716" s="331"/>
      <c r="M716" s="331"/>
      <c r="N716" s="331"/>
      <c r="O716" s="331"/>
      <c r="P716" s="331"/>
      <c r="Q716" s="331"/>
      <c r="R716" s="331"/>
      <c r="S716" s="331"/>
      <c r="T716" s="331"/>
      <c r="U716" s="331"/>
      <c r="V716" s="331"/>
      <c r="W716" s="331"/>
      <c r="X716" s="331"/>
      <c r="Y716" s="331"/>
      <c r="Z716" s="331"/>
      <c r="AA716" s="331"/>
      <c r="AB716" s="331"/>
      <c r="AC716" s="331"/>
      <c r="AD716" s="331"/>
      <c r="AE716" s="331"/>
      <c r="AF716" s="331"/>
      <c r="AG716" s="331"/>
      <c r="AH716" s="331"/>
      <c r="AI716" s="331"/>
      <c r="AJ716" s="331"/>
      <c r="AK716" s="331"/>
      <c r="AL716" s="331"/>
    </row>
    <row r="717" ht="15.75" customHeight="1">
      <c r="A717" s="331"/>
      <c r="B717" s="331"/>
      <c r="C717" s="331"/>
      <c r="D717" s="331"/>
      <c r="E717" s="331"/>
      <c r="F717" s="331"/>
      <c r="G717" s="331"/>
      <c r="H717" s="331"/>
      <c r="I717" s="331"/>
      <c r="J717" s="331"/>
      <c r="K717" s="331"/>
      <c r="L717" s="331"/>
      <c r="M717" s="331"/>
      <c r="N717" s="331"/>
      <c r="O717" s="331"/>
      <c r="P717" s="331"/>
      <c r="Q717" s="331"/>
      <c r="R717" s="331"/>
      <c r="S717" s="331"/>
      <c r="T717" s="331"/>
      <c r="U717" s="331"/>
      <c r="V717" s="331"/>
      <c r="W717" s="331"/>
      <c r="X717" s="331"/>
      <c r="Y717" s="331"/>
      <c r="Z717" s="331"/>
      <c r="AA717" s="331"/>
      <c r="AB717" s="331"/>
      <c r="AC717" s="331"/>
      <c r="AD717" s="331"/>
      <c r="AE717" s="331"/>
      <c r="AF717" s="331"/>
      <c r="AG717" s="331"/>
      <c r="AH717" s="331"/>
      <c r="AI717" s="331"/>
      <c r="AJ717" s="331"/>
      <c r="AK717" s="331"/>
      <c r="AL717" s="331"/>
    </row>
    <row r="718" ht="15.75" customHeight="1">
      <c r="A718" s="331"/>
      <c r="B718" s="331"/>
      <c r="C718" s="331"/>
      <c r="D718" s="331"/>
      <c r="E718" s="331"/>
      <c r="F718" s="331"/>
      <c r="G718" s="331"/>
      <c r="H718" s="331"/>
      <c r="I718" s="331"/>
      <c r="J718" s="331"/>
      <c r="K718" s="331"/>
      <c r="L718" s="331"/>
      <c r="M718" s="331"/>
      <c r="N718" s="331"/>
      <c r="O718" s="331"/>
      <c r="P718" s="331"/>
      <c r="Q718" s="331"/>
      <c r="R718" s="331"/>
      <c r="S718" s="331"/>
      <c r="T718" s="331"/>
      <c r="U718" s="331"/>
      <c r="V718" s="331"/>
      <c r="W718" s="331"/>
      <c r="X718" s="331"/>
      <c r="Y718" s="331"/>
      <c r="Z718" s="331"/>
      <c r="AA718" s="331"/>
      <c r="AB718" s="331"/>
      <c r="AC718" s="331"/>
      <c r="AD718" s="331"/>
      <c r="AE718" s="331"/>
      <c r="AF718" s="331"/>
      <c r="AG718" s="331"/>
      <c r="AH718" s="331"/>
      <c r="AI718" s="331"/>
      <c r="AJ718" s="331"/>
      <c r="AK718" s="331"/>
      <c r="AL718" s="331"/>
    </row>
    <row r="719" ht="15.75" customHeight="1">
      <c r="A719" s="331"/>
      <c r="B719" s="331"/>
      <c r="C719" s="331"/>
      <c r="D719" s="331"/>
      <c r="E719" s="331"/>
      <c r="F719" s="331"/>
      <c r="G719" s="331"/>
      <c r="H719" s="331"/>
      <c r="I719" s="331"/>
      <c r="J719" s="331"/>
      <c r="K719" s="331"/>
      <c r="L719" s="331"/>
      <c r="M719" s="331"/>
      <c r="N719" s="331"/>
      <c r="O719" s="331"/>
      <c r="P719" s="331"/>
      <c r="Q719" s="331"/>
      <c r="R719" s="331"/>
      <c r="S719" s="331"/>
      <c r="T719" s="331"/>
      <c r="U719" s="331"/>
      <c r="V719" s="331"/>
      <c r="W719" s="331"/>
      <c r="X719" s="331"/>
      <c r="Y719" s="331"/>
      <c r="Z719" s="331"/>
      <c r="AA719" s="331"/>
      <c r="AB719" s="331"/>
      <c r="AC719" s="331"/>
      <c r="AD719" s="331"/>
      <c r="AE719" s="331"/>
      <c r="AF719" s="331"/>
      <c r="AG719" s="331"/>
      <c r="AH719" s="331"/>
      <c r="AI719" s="331"/>
      <c r="AJ719" s="331"/>
      <c r="AK719" s="331"/>
      <c r="AL719" s="331"/>
    </row>
    <row r="720" ht="15.75" customHeight="1">
      <c r="A720" s="331"/>
      <c r="B720" s="331"/>
      <c r="C720" s="331"/>
      <c r="D720" s="331"/>
      <c r="E720" s="331"/>
      <c r="F720" s="331"/>
      <c r="G720" s="331"/>
      <c r="H720" s="331"/>
      <c r="I720" s="331"/>
      <c r="J720" s="331"/>
      <c r="K720" s="331"/>
      <c r="L720" s="331"/>
      <c r="M720" s="331"/>
      <c r="N720" s="331"/>
      <c r="O720" s="331"/>
      <c r="P720" s="331"/>
      <c r="Q720" s="331"/>
      <c r="R720" s="331"/>
      <c r="S720" s="331"/>
      <c r="T720" s="331"/>
      <c r="U720" s="331"/>
      <c r="V720" s="331"/>
      <c r="W720" s="331"/>
      <c r="X720" s="331"/>
      <c r="Y720" s="331"/>
      <c r="Z720" s="331"/>
      <c r="AA720" s="331"/>
      <c r="AB720" s="331"/>
      <c r="AC720" s="331"/>
      <c r="AD720" s="331"/>
      <c r="AE720" s="331"/>
      <c r="AF720" s="331"/>
      <c r="AG720" s="331"/>
      <c r="AH720" s="331"/>
      <c r="AI720" s="331"/>
      <c r="AJ720" s="331"/>
      <c r="AK720" s="331"/>
      <c r="AL720" s="331"/>
    </row>
    <row r="721" ht="15.75" customHeight="1">
      <c r="A721" s="331"/>
      <c r="B721" s="331"/>
      <c r="C721" s="331"/>
      <c r="D721" s="331"/>
      <c r="E721" s="331"/>
      <c r="F721" s="331"/>
      <c r="G721" s="331"/>
      <c r="H721" s="331"/>
      <c r="I721" s="331"/>
      <c r="J721" s="331"/>
      <c r="K721" s="331"/>
      <c r="L721" s="331"/>
      <c r="M721" s="331"/>
      <c r="N721" s="331"/>
      <c r="O721" s="331"/>
      <c r="P721" s="331"/>
      <c r="Q721" s="331"/>
      <c r="R721" s="331"/>
      <c r="S721" s="331"/>
      <c r="T721" s="331"/>
      <c r="U721" s="331"/>
      <c r="V721" s="331"/>
      <c r="W721" s="331"/>
      <c r="X721" s="331"/>
      <c r="Y721" s="331"/>
      <c r="Z721" s="331"/>
      <c r="AA721" s="331"/>
      <c r="AB721" s="331"/>
      <c r="AC721" s="331"/>
      <c r="AD721" s="331"/>
      <c r="AE721" s="331"/>
      <c r="AF721" s="331"/>
      <c r="AG721" s="331"/>
      <c r="AH721" s="331"/>
      <c r="AI721" s="331"/>
      <c r="AJ721" s="331"/>
      <c r="AK721" s="331"/>
      <c r="AL721" s="331"/>
    </row>
    <row r="722" ht="15.75" customHeight="1">
      <c r="A722" s="331"/>
      <c r="B722" s="331"/>
      <c r="C722" s="331"/>
      <c r="D722" s="331"/>
      <c r="E722" s="331"/>
      <c r="F722" s="331"/>
      <c r="G722" s="331"/>
      <c r="H722" s="331"/>
      <c r="I722" s="331"/>
      <c r="J722" s="331"/>
      <c r="K722" s="331"/>
      <c r="L722" s="331"/>
      <c r="M722" s="331"/>
      <c r="N722" s="331"/>
      <c r="O722" s="331"/>
      <c r="P722" s="331"/>
      <c r="Q722" s="331"/>
      <c r="R722" s="331"/>
      <c r="S722" s="331"/>
      <c r="T722" s="331"/>
      <c r="U722" s="331"/>
      <c r="V722" s="331"/>
      <c r="W722" s="331"/>
      <c r="X722" s="331"/>
      <c r="Y722" s="331"/>
      <c r="Z722" s="331"/>
      <c r="AA722" s="331"/>
      <c r="AB722" s="331"/>
      <c r="AC722" s="331"/>
      <c r="AD722" s="331"/>
      <c r="AE722" s="331"/>
      <c r="AF722" s="331"/>
      <c r="AG722" s="331"/>
      <c r="AH722" s="331"/>
      <c r="AI722" s="331"/>
      <c r="AJ722" s="331"/>
      <c r="AK722" s="331"/>
      <c r="AL722" s="331"/>
    </row>
    <row r="723" ht="15.75" customHeight="1">
      <c r="A723" s="331"/>
      <c r="B723" s="331"/>
      <c r="C723" s="331"/>
      <c r="D723" s="331"/>
      <c r="E723" s="331"/>
      <c r="F723" s="331"/>
      <c r="G723" s="331"/>
      <c r="H723" s="331"/>
      <c r="I723" s="331"/>
      <c r="J723" s="331"/>
      <c r="K723" s="331"/>
      <c r="L723" s="331"/>
      <c r="M723" s="331"/>
      <c r="N723" s="331"/>
      <c r="O723" s="331"/>
      <c r="P723" s="331"/>
      <c r="Q723" s="331"/>
      <c r="R723" s="331"/>
      <c r="S723" s="331"/>
      <c r="T723" s="331"/>
      <c r="U723" s="331"/>
      <c r="V723" s="331"/>
      <c r="W723" s="331"/>
      <c r="X723" s="331"/>
      <c r="Y723" s="331"/>
      <c r="Z723" s="331"/>
      <c r="AA723" s="331"/>
      <c r="AB723" s="331"/>
      <c r="AC723" s="331"/>
      <c r="AD723" s="331"/>
      <c r="AE723" s="331"/>
      <c r="AF723" s="331"/>
      <c r="AG723" s="331"/>
      <c r="AH723" s="331"/>
      <c r="AI723" s="331"/>
      <c r="AJ723" s="331"/>
      <c r="AK723" s="331"/>
      <c r="AL723" s="331"/>
    </row>
    <row r="724" ht="15.75" customHeight="1">
      <c r="A724" s="331"/>
      <c r="B724" s="331"/>
      <c r="C724" s="331"/>
      <c r="D724" s="331"/>
      <c r="E724" s="331"/>
      <c r="F724" s="331"/>
      <c r="G724" s="331"/>
      <c r="H724" s="331"/>
      <c r="I724" s="331"/>
      <c r="J724" s="331"/>
      <c r="K724" s="331"/>
      <c r="L724" s="331"/>
      <c r="M724" s="331"/>
      <c r="N724" s="331"/>
      <c r="O724" s="331"/>
      <c r="P724" s="331"/>
      <c r="Q724" s="331"/>
      <c r="R724" s="331"/>
      <c r="S724" s="331"/>
      <c r="T724" s="331"/>
      <c r="U724" s="331"/>
      <c r="V724" s="331"/>
      <c r="W724" s="331"/>
      <c r="X724" s="331"/>
      <c r="Y724" s="331"/>
      <c r="Z724" s="331"/>
      <c r="AA724" s="331"/>
      <c r="AB724" s="331"/>
      <c r="AC724" s="331"/>
      <c r="AD724" s="331"/>
      <c r="AE724" s="331"/>
      <c r="AF724" s="331"/>
      <c r="AG724" s="331"/>
      <c r="AH724" s="331"/>
      <c r="AI724" s="331"/>
      <c r="AJ724" s="331"/>
      <c r="AK724" s="331"/>
      <c r="AL724" s="331"/>
    </row>
    <row r="725" ht="15.75" customHeight="1">
      <c r="A725" s="331"/>
      <c r="B725" s="331"/>
      <c r="C725" s="331"/>
      <c r="D725" s="331"/>
      <c r="E725" s="331"/>
      <c r="F725" s="331"/>
      <c r="G725" s="331"/>
      <c r="H725" s="331"/>
      <c r="I725" s="331"/>
      <c r="J725" s="331"/>
      <c r="K725" s="331"/>
      <c r="L725" s="331"/>
      <c r="M725" s="331"/>
      <c r="N725" s="331"/>
      <c r="O725" s="331"/>
      <c r="P725" s="331"/>
      <c r="Q725" s="331"/>
      <c r="R725" s="331"/>
      <c r="S725" s="331"/>
      <c r="T725" s="331"/>
      <c r="U725" s="331"/>
      <c r="V725" s="331"/>
      <c r="W725" s="331"/>
      <c r="X725" s="331"/>
      <c r="Y725" s="331"/>
      <c r="Z725" s="331"/>
      <c r="AA725" s="331"/>
      <c r="AB725" s="331"/>
      <c r="AC725" s="331"/>
      <c r="AD725" s="331"/>
      <c r="AE725" s="331"/>
      <c r="AF725" s="331"/>
      <c r="AG725" s="331"/>
      <c r="AH725" s="331"/>
      <c r="AI725" s="331"/>
      <c r="AJ725" s="331"/>
      <c r="AK725" s="331"/>
      <c r="AL725" s="331"/>
    </row>
    <row r="726" ht="15.75" customHeight="1">
      <c r="A726" s="331"/>
      <c r="B726" s="331"/>
      <c r="C726" s="331"/>
      <c r="D726" s="331"/>
      <c r="E726" s="331"/>
      <c r="F726" s="331"/>
      <c r="G726" s="331"/>
      <c r="H726" s="331"/>
      <c r="I726" s="331"/>
      <c r="J726" s="331"/>
      <c r="K726" s="331"/>
      <c r="L726" s="331"/>
      <c r="M726" s="331"/>
      <c r="N726" s="331"/>
      <c r="O726" s="331"/>
      <c r="P726" s="331"/>
      <c r="Q726" s="331"/>
      <c r="R726" s="331"/>
      <c r="S726" s="331"/>
      <c r="T726" s="331"/>
      <c r="U726" s="331"/>
      <c r="V726" s="331"/>
      <c r="W726" s="331"/>
      <c r="X726" s="331"/>
      <c r="Y726" s="331"/>
      <c r="Z726" s="331"/>
      <c r="AA726" s="331"/>
      <c r="AB726" s="331"/>
      <c r="AC726" s="331"/>
      <c r="AD726" s="331"/>
      <c r="AE726" s="331"/>
      <c r="AF726" s="331"/>
      <c r="AG726" s="331"/>
      <c r="AH726" s="331"/>
      <c r="AI726" s="331"/>
      <c r="AJ726" s="331"/>
      <c r="AK726" s="331"/>
      <c r="AL726" s="331"/>
    </row>
    <row r="727" ht="15.75" customHeight="1">
      <c r="A727" s="331"/>
      <c r="B727" s="331"/>
      <c r="C727" s="331"/>
      <c r="D727" s="331"/>
      <c r="E727" s="331"/>
      <c r="F727" s="331"/>
      <c r="G727" s="331"/>
      <c r="H727" s="331"/>
      <c r="I727" s="331"/>
      <c r="J727" s="331"/>
      <c r="K727" s="331"/>
      <c r="L727" s="331"/>
      <c r="M727" s="331"/>
      <c r="N727" s="331"/>
      <c r="O727" s="331"/>
      <c r="P727" s="331"/>
      <c r="Q727" s="331"/>
      <c r="R727" s="331"/>
      <c r="S727" s="331"/>
      <c r="T727" s="331"/>
      <c r="U727" s="331"/>
      <c r="V727" s="331"/>
      <c r="W727" s="331"/>
      <c r="X727" s="331"/>
      <c r="Y727" s="331"/>
      <c r="Z727" s="331"/>
      <c r="AA727" s="331"/>
      <c r="AB727" s="331"/>
      <c r="AC727" s="331"/>
      <c r="AD727" s="331"/>
      <c r="AE727" s="331"/>
      <c r="AF727" s="331"/>
      <c r="AG727" s="331"/>
      <c r="AH727" s="331"/>
      <c r="AI727" s="331"/>
      <c r="AJ727" s="331"/>
      <c r="AK727" s="331"/>
      <c r="AL727" s="331"/>
    </row>
    <row r="728" ht="15.75" customHeight="1">
      <c r="A728" s="331"/>
      <c r="B728" s="331"/>
      <c r="C728" s="331"/>
      <c r="D728" s="331"/>
      <c r="E728" s="331"/>
      <c r="F728" s="331"/>
      <c r="G728" s="331"/>
      <c r="H728" s="331"/>
      <c r="I728" s="331"/>
      <c r="J728" s="331"/>
      <c r="K728" s="331"/>
      <c r="L728" s="331"/>
      <c r="M728" s="331"/>
      <c r="N728" s="331"/>
      <c r="O728" s="331"/>
      <c r="P728" s="331"/>
      <c r="Q728" s="331"/>
      <c r="R728" s="331"/>
      <c r="S728" s="331"/>
      <c r="T728" s="331"/>
      <c r="U728" s="331"/>
      <c r="V728" s="331"/>
      <c r="W728" s="331"/>
      <c r="X728" s="331"/>
      <c r="Y728" s="331"/>
      <c r="Z728" s="331"/>
      <c r="AA728" s="331"/>
      <c r="AB728" s="331"/>
      <c r="AC728" s="331"/>
      <c r="AD728" s="331"/>
      <c r="AE728" s="331"/>
      <c r="AF728" s="331"/>
      <c r="AG728" s="331"/>
      <c r="AH728" s="331"/>
      <c r="AI728" s="331"/>
      <c r="AJ728" s="331"/>
      <c r="AK728" s="331"/>
      <c r="AL728" s="331"/>
    </row>
    <row r="729" ht="15.75" customHeight="1">
      <c r="A729" s="331"/>
      <c r="B729" s="331"/>
      <c r="C729" s="331"/>
      <c r="D729" s="331"/>
      <c r="E729" s="331"/>
      <c r="F729" s="331"/>
      <c r="G729" s="331"/>
      <c r="H729" s="331"/>
      <c r="I729" s="331"/>
      <c r="J729" s="331"/>
      <c r="K729" s="331"/>
      <c r="L729" s="331"/>
      <c r="M729" s="331"/>
      <c r="N729" s="331"/>
      <c r="O729" s="331"/>
      <c r="P729" s="331"/>
      <c r="Q729" s="331"/>
      <c r="R729" s="331"/>
      <c r="S729" s="331"/>
      <c r="T729" s="331"/>
      <c r="U729" s="331"/>
      <c r="V729" s="331"/>
      <c r="W729" s="331"/>
      <c r="X729" s="331"/>
      <c r="Y729" s="331"/>
      <c r="Z729" s="331"/>
      <c r="AA729" s="331"/>
      <c r="AB729" s="331"/>
      <c r="AC729" s="331"/>
      <c r="AD729" s="331"/>
      <c r="AE729" s="331"/>
      <c r="AF729" s="331"/>
      <c r="AG729" s="331"/>
      <c r="AH729" s="331"/>
      <c r="AI729" s="331"/>
      <c r="AJ729" s="331"/>
      <c r="AK729" s="331"/>
      <c r="AL729" s="331"/>
    </row>
    <row r="730" ht="15.75" customHeight="1">
      <c r="A730" s="331"/>
      <c r="B730" s="331"/>
      <c r="C730" s="331"/>
      <c r="D730" s="331"/>
      <c r="E730" s="331"/>
      <c r="F730" s="331"/>
      <c r="G730" s="331"/>
      <c r="H730" s="331"/>
      <c r="I730" s="331"/>
      <c r="J730" s="331"/>
      <c r="K730" s="331"/>
      <c r="L730" s="331"/>
      <c r="M730" s="331"/>
      <c r="N730" s="331"/>
      <c r="O730" s="331"/>
      <c r="P730" s="331"/>
      <c r="Q730" s="331"/>
      <c r="R730" s="331"/>
      <c r="S730" s="331"/>
      <c r="T730" s="331"/>
      <c r="U730" s="331"/>
      <c r="V730" s="331"/>
      <c r="W730" s="331"/>
      <c r="X730" s="331"/>
      <c r="Y730" s="331"/>
      <c r="Z730" s="331"/>
      <c r="AA730" s="331"/>
      <c r="AB730" s="331"/>
      <c r="AC730" s="331"/>
      <c r="AD730" s="331"/>
      <c r="AE730" s="331"/>
      <c r="AF730" s="331"/>
      <c r="AG730" s="331"/>
      <c r="AH730" s="331"/>
      <c r="AI730" s="331"/>
      <c r="AJ730" s="331"/>
      <c r="AK730" s="331"/>
      <c r="AL730" s="331"/>
    </row>
    <row r="731" ht="15.75" customHeight="1">
      <c r="A731" s="331"/>
      <c r="B731" s="331"/>
      <c r="C731" s="331"/>
      <c r="D731" s="331"/>
      <c r="E731" s="331"/>
      <c r="F731" s="331"/>
      <c r="G731" s="331"/>
      <c r="H731" s="331"/>
      <c r="I731" s="331"/>
      <c r="J731" s="331"/>
      <c r="K731" s="331"/>
      <c r="L731" s="331"/>
      <c r="M731" s="331"/>
      <c r="N731" s="331"/>
      <c r="O731" s="331"/>
      <c r="P731" s="331"/>
      <c r="Q731" s="331"/>
      <c r="R731" s="331"/>
      <c r="S731" s="331"/>
      <c r="T731" s="331"/>
      <c r="U731" s="331"/>
      <c r="V731" s="331"/>
      <c r="W731" s="331"/>
      <c r="X731" s="331"/>
      <c r="Y731" s="331"/>
      <c r="Z731" s="331"/>
      <c r="AA731" s="331"/>
      <c r="AB731" s="331"/>
      <c r="AC731" s="331"/>
      <c r="AD731" s="331"/>
      <c r="AE731" s="331"/>
      <c r="AF731" s="331"/>
      <c r="AG731" s="331"/>
      <c r="AH731" s="331"/>
      <c r="AI731" s="331"/>
      <c r="AJ731" s="331"/>
      <c r="AK731" s="331"/>
      <c r="AL731" s="331"/>
    </row>
    <row r="732" ht="15.75" customHeight="1">
      <c r="A732" s="331"/>
      <c r="B732" s="331"/>
      <c r="C732" s="331"/>
      <c r="D732" s="331"/>
      <c r="E732" s="331"/>
      <c r="F732" s="331"/>
      <c r="G732" s="331"/>
      <c r="H732" s="331"/>
      <c r="I732" s="331"/>
      <c r="J732" s="331"/>
      <c r="K732" s="331"/>
      <c r="L732" s="331"/>
      <c r="M732" s="331"/>
      <c r="N732" s="331"/>
      <c r="O732" s="331"/>
      <c r="P732" s="331"/>
      <c r="Q732" s="331"/>
      <c r="R732" s="331"/>
      <c r="S732" s="331"/>
      <c r="T732" s="331"/>
      <c r="U732" s="331"/>
      <c r="V732" s="331"/>
      <c r="W732" s="331"/>
      <c r="X732" s="331"/>
      <c r="Y732" s="331"/>
      <c r="Z732" s="331"/>
      <c r="AA732" s="331"/>
      <c r="AB732" s="331"/>
      <c r="AC732" s="331"/>
      <c r="AD732" s="331"/>
      <c r="AE732" s="331"/>
      <c r="AF732" s="331"/>
      <c r="AG732" s="331"/>
      <c r="AH732" s="331"/>
      <c r="AI732" s="331"/>
      <c r="AJ732" s="331"/>
      <c r="AK732" s="331"/>
      <c r="AL732" s="331"/>
    </row>
    <row r="733" ht="15.75" customHeight="1">
      <c r="A733" s="331"/>
      <c r="B733" s="331"/>
      <c r="C733" s="331"/>
      <c r="D733" s="331"/>
      <c r="E733" s="331"/>
      <c r="F733" s="331"/>
      <c r="G733" s="331"/>
      <c r="H733" s="331"/>
      <c r="I733" s="331"/>
      <c r="J733" s="331"/>
      <c r="K733" s="331"/>
      <c r="L733" s="331"/>
      <c r="M733" s="331"/>
      <c r="N733" s="331"/>
      <c r="O733" s="331"/>
      <c r="P733" s="331"/>
      <c r="Q733" s="331"/>
      <c r="R733" s="331"/>
      <c r="S733" s="331"/>
      <c r="T733" s="331"/>
      <c r="U733" s="331"/>
      <c r="V733" s="331"/>
      <c r="W733" s="331"/>
      <c r="X733" s="331"/>
      <c r="Y733" s="331"/>
      <c r="Z733" s="331"/>
      <c r="AA733" s="331"/>
      <c r="AB733" s="331"/>
      <c r="AC733" s="331"/>
      <c r="AD733" s="331"/>
      <c r="AE733" s="331"/>
      <c r="AF733" s="331"/>
      <c r="AG733" s="331"/>
      <c r="AH733" s="331"/>
      <c r="AI733" s="331"/>
      <c r="AJ733" s="331"/>
      <c r="AK733" s="331"/>
      <c r="AL733" s="331"/>
    </row>
    <row r="734" ht="15.75" customHeight="1">
      <c r="A734" s="331"/>
      <c r="B734" s="331"/>
      <c r="C734" s="331"/>
      <c r="D734" s="331"/>
      <c r="E734" s="331"/>
      <c r="F734" s="331"/>
      <c r="G734" s="331"/>
      <c r="H734" s="331"/>
      <c r="I734" s="331"/>
      <c r="J734" s="331"/>
      <c r="K734" s="331"/>
      <c r="L734" s="331"/>
      <c r="M734" s="331"/>
      <c r="N734" s="331"/>
      <c r="O734" s="331"/>
      <c r="P734" s="331"/>
      <c r="Q734" s="331"/>
      <c r="R734" s="331"/>
      <c r="S734" s="331"/>
      <c r="T734" s="331"/>
      <c r="U734" s="331"/>
      <c r="V734" s="331"/>
      <c r="W734" s="331"/>
      <c r="X734" s="331"/>
      <c r="Y734" s="331"/>
      <c r="Z734" s="331"/>
      <c r="AA734" s="331"/>
      <c r="AB734" s="331"/>
      <c r="AC734" s="331"/>
      <c r="AD734" s="331"/>
      <c r="AE734" s="331"/>
      <c r="AF734" s="331"/>
      <c r="AG734" s="331"/>
      <c r="AH734" s="331"/>
      <c r="AI734" s="331"/>
      <c r="AJ734" s="331"/>
      <c r="AK734" s="331"/>
      <c r="AL734" s="331"/>
    </row>
    <row r="735" ht="15.75" customHeight="1">
      <c r="A735" s="331"/>
      <c r="B735" s="331"/>
      <c r="C735" s="331"/>
      <c r="D735" s="331"/>
      <c r="E735" s="331"/>
      <c r="F735" s="331"/>
      <c r="G735" s="331"/>
      <c r="H735" s="331"/>
      <c r="I735" s="331"/>
      <c r="J735" s="331"/>
      <c r="K735" s="331"/>
      <c r="L735" s="331"/>
      <c r="M735" s="331"/>
      <c r="N735" s="331"/>
      <c r="O735" s="331"/>
      <c r="P735" s="331"/>
      <c r="Q735" s="331"/>
      <c r="R735" s="331"/>
      <c r="S735" s="331"/>
      <c r="T735" s="331"/>
      <c r="U735" s="331"/>
      <c r="V735" s="331"/>
      <c r="W735" s="331"/>
      <c r="X735" s="331"/>
      <c r="Y735" s="331"/>
      <c r="Z735" s="331"/>
      <c r="AA735" s="331"/>
      <c r="AB735" s="331"/>
      <c r="AC735" s="331"/>
      <c r="AD735" s="331"/>
      <c r="AE735" s="331"/>
      <c r="AF735" s="331"/>
      <c r="AG735" s="331"/>
      <c r="AH735" s="331"/>
      <c r="AI735" s="331"/>
      <c r="AJ735" s="331"/>
      <c r="AK735" s="331"/>
      <c r="AL735" s="331"/>
    </row>
    <row r="736" ht="15.75" customHeight="1">
      <c r="A736" s="331"/>
      <c r="B736" s="331"/>
      <c r="C736" s="331"/>
      <c r="D736" s="331"/>
      <c r="E736" s="331"/>
      <c r="F736" s="331"/>
      <c r="G736" s="331"/>
      <c r="H736" s="331"/>
      <c r="I736" s="331"/>
      <c r="J736" s="331"/>
      <c r="K736" s="331"/>
      <c r="L736" s="331"/>
      <c r="M736" s="331"/>
      <c r="N736" s="331"/>
      <c r="O736" s="331"/>
      <c r="P736" s="331"/>
      <c r="Q736" s="331"/>
      <c r="R736" s="331"/>
      <c r="S736" s="331"/>
      <c r="T736" s="331"/>
      <c r="U736" s="331"/>
      <c r="V736" s="331"/>
      <c r="W736" s="331"/>
      <c r="X736" s="331"/>
      <c r="Y736" s="331"/>
      <c r="Z736" s="331"/>
      <c r="AA736" s="331"/>
      <c r="AB736" s="331"/>
      <c r="AC736" s="331"/>
      <c r="AD736" s="331"/>
      <c r="AE736" s="331"/>
      <c r="AF736" s="331"/>
      <c r="AG736" s="331"/>
      <c r="AH736" s="331"/>
      <c r="AI736" s="331"/>
      <c r="AJ736" s="331"/>
      <c r="AK736" s="331"/>
      <c r="AL736" s="331"/>
    </row>
    <row r="737" ht="15.75" customHeight="1">
      <c r="A737" s="331"/>
      <c r="B737" s="331"/>
      <c r="C737" s="331"/>
      <c r="D737" s="331"/>
      <c r="E737" s="331"/>
      <c r="F737" s="331"/>
      <c r="G737" s="331"/>
      <c r="H737" s="331"/>
      <c r="I737" s="331"/>
      <c r="J737" s="331"/>
      <c r="K737" s="331"/>
      <c r="L737" s="331"/>
      <c r="M737" s="331"/>
      <c r="N737" s="331"/>
      <c r="O737" s="331"/>
      <c r="P737" s="331"/>
      <c r="Q737" s="331"/>
      <c r="R737" s="331"/>
      <c r="S737" s="331"/>
      <c r="T737" s="331"/>
      <c r="U737" s="331"/>
      <c r="V737" s="331"/>
      <c r="W737" s="331"/>
      <c r="X737" s="331"/>
      <c r="Y737" s="331"/>
      <c r="Z737" s="331"/>
      <c r="AA737" s="331"/>
      <c r="AB737" s="331"/>
      <c r="AC737" s="331"/>
      <c r="AD737" s="331"/>
      <c r="AE737" s="331"/>
      <c r="AF737" s="331"/>
      <c r="AG737" s="331"/>
      <c r="AH737" s="331"/>
      <c r="AI737" s="331"/>
      <c r="AJ737" s="331"/>
      <c r="AK737" s="331"/>
      <c r="AL737" s="331"/>
    </row>
    <row r="738" ht="15.75" customHeight="1">
      <c r="A738" s="331"/>
      <c r="B738" s="331"/>
      <c r="C738" s="331"/>
      <c r="D738" s="331"/>
      <c r="E738" s="331"/>
      <c r="F738" s="331"/>
      <c r="G738" s="331"/>
      <c r="H738" s="331"/>
      <c r="I738" s="331"/>
      <c r="J738" s="331"/>
      <c r="K738" s="331"/>
      <c r="L738" s="331"/>
      <c r="M738" s="331"/>
      <c r="N738" s="331"/>
      <c r="O738" s="331"/>
      <c r="P738" s="331"/>
      <c r="Q738" s="331"/>
      <c r="R738" s="331"/>
      <c r="S738" s="331"/>
      <c r="T738" s="331"/>
      <c r="U738" s="331"/>
      <c r="V738" s="331"/>
      <c r="W738" s="331"/>
      <c r="X738" s="331"/>
      <c r="Y738" s="331"/>
      <c r="Z738" s="331"/>
      <c r="AA738" s="331"/>
      <c r="AB738" s="331"/>
      <c r="AC738" s="331"/>
      <c r="AD738" s="331"/>
      <c r="AE738" s="331"/>
      <c r="AF738" s="331"/>
      <c r="AG738" s="331"/>
      <c r="AH738" s="331"/>
      <c r="AI738" s="331"/>
      <c r="AJ738" s="331"/>
      <c r="AK738" s="331"/>
      <c r="AL738" s="331"/>
    </row>
    <row r="739" ht="15.75" customHeight="1">
      <c r="A739" s="331"/>
      <c r="B739" s="331"/>
      <c r="C739" s="331"/>
      <c r="D739" s="331"/>
      <c r="E739" s="331"/>
      <c r="F739" s="331"/>
      <c r="G739" s="331"/>
      <c r="H739" s="331"/>
      <c r="I739" s="331"/>
      <c r="J739" s="331"/>
      <c r="K739" s="331"/>
      <c r="L739" s="331"/>
      <c r="M739" s="331"/>
      <c r="N739" s="331"/>
      <c r="O739" s="331"/>
      <c r="P739" s="331"/>
      <c r="Q739" s="331"/>
      <c r="R739" s="331"/>
      <c r="S739" s="331"/>
      <c r="T739" s="331"/>
      <c r="U739" s="331"/>
      <c r="V739" s="331"/>
      <c r="W739" s="331"/>
      <c r="X739" s="331"/>
      <c r="Y739" s="331"/>
      <c r="Z739" s="331"/>
      <c r="AA739" s="331"/>
      <c r="AB739" s="331"/>
      <c r="AC739" s="331"/>
      <c r="AD739" s="331"/>
      <c r="AE739" s="331"/>
      <c r="AF739" s="331"/>
      <c r="AG739" s="331"/>
      <c r="AH739" s="331"/>
      <c r="AI739" s="331"/>
      <c r="AJ739" s="331"/>
      <c r="AK739" s="331"/>
      <c r="AL739" s="331"/>
    </row>
    <row r="740" ht="15.75" customHeight="1">
      <c r="A740" s="331"/>
      <c r="B740" s="331"/>
      <c r="C740" s="331"/>
      <c r="D740" s="331"/>
      <c r="E740" s="331"/>
      <c r="F740" s="331"/>
      <c r="G740" s="331"/>
      <c r="H740" s="331"/>
      <c r="I740" s="331"/>
      <c r="J740" s="331"/>
      <c r="K740" s="331"/>
      <c r="L740" s="331"/>
      <c r="M740" s="331"/>
      <c r="N740" s="331"/>
      <c r="O740" s="331"/>
      <c r="P740" s="331"/>
      <c r="Q740" s="331"/>
      <c r="R740" s="331"/>
      <c r="S740" s="331"/>
      <c r="T740" s="331"/>
      <c r="U740" s="331"/>
      <c r="V740" s="331"/>
      <c r="W740" s="331"/>
      <c r="X740" s="331"/>
      <c r="Y740" s="331"/>
      <c r="Z740" s="331"/>
      <c r="AA740" s="331"/>
      <c r="AB740" s="331"/>
      <c r="AC740" s="331"/>
      <c r="AD740" s="331"/>
      <c r="AE740" s="331"/>
      <c r="AF740" s="331"/>
      <c r="AG740" s="331"/>
      <c r="AH740" s="331"/>
      <c r="AI740" s="331"/>
      <c r="AJ740" s="331"/>
      <c r="AK740" s="331"/>
      <c r="AL740" s="331"/>
    </row>
    <row r="741" ht="15.75" customHeight="1">
      <c r="A741" s="331"/>
      <c r="B741" s="331"/>
      <c r="C741" s="331"/>
      <c r="D741" s="331"/>
      <c r="E741" s="331"/>
      <c r="F741" s="331"/>
      <c r="G741" s="331"/>
      <c r="H741" s="331"/>
      <c r="I741" s="331"/>
      <c r="J741" s="331"/>
      <c r="K741" s="331"/>
      <c r="L741" s="331"/>
      <c r="M741" s="331"/>
      <c r="N741" s="331"/>
      <c r="O741" s="331"/>
      <c r="P741" s="331"/>
      <c r="Q741" s="331"/>
      <c r="R741" s="331"/>
      <c r="S741" s="331"/>
      <c r="T741" s="331"/>
      <c r="U741" s="331"/>
      <c r="V741" s="331"/>
      <c r="W741" s="331"/>
      <c r="X741" s="331"/>
      <c r="Y741" s="331"/>
      <c r="Z741" s="331"/>
      <c r="AA741" s="331"/>
      <c r="AB741" s="331"/>
      <c r="AC741" s="331"/>
      <c r="AD741" s="331"/>
      <c r="AE741" s="331"/>
      <c r="AF741" s="331"/>
      <c r="AG741" s="331"/>
      <c r="AH741" s="331"/>
      <c r="AI741" s="331"/>
      <c r="AJ741" s="331"/>
      <c r="AK741" s="331"/>
      <c r="AL741" s="331"/>
    </row>
    <row r="742" ht="15.75" customHeight="1">
      <c r="A742" s="331"/>
      <c r="B742" s="331"/>
      <c r="C742" s="331"/>
      <c r="D742" s="331"/>
      <c r="E742" s="331"/>
      <c r="F742" s="331"/>
      <c r="G742" s="331"/>
      <c r="H742" s="331"/>
      <c r="I742" s="331"/>
      <c r="J742" s="331"/>
      <c r="K742" s="331"/>
      <c r="L742" s="331"/>
      <c r="M742" s="331"/>
      <c r="N742" s="331"/>
      <c r="O742" s="331"/>
      <c r="P742" s="331"/>
      <c r="Q742" s="331"/>
      <c r="R742" s="331"/>
      <c r="S742" s="331"/>
      <c r="T742" s="331"/>
      <c r="U742" s="331"/>
      <c r="V742" s="331"/>
      <c r="W742" s="331"/>
      <c r="X742" s="331"/>
      <c r="Y742" s="331"/>
      <c r="Z742" s="331"/>
      <c r="AA742" s="331"/>
      <c r="AB742" s="331"/>
      <c r="AC742" s="331"/>
      <c r="AD742" s="331"/>
      <c r="AE742" s="331"/>
      <c r="AF742" s="331"/>
      <c r="AG742" s="331"/>
      <c r="AH742" s="331"/>
      <c r="AI742" s="331"/>
      <c r="AJ742" s="331"/>
      <c r="AK742" s="331"/>
      <c r="AL742" s="331"/>
    </row>
    <row r="743" ht="15.75" customHeight="1">
      <c r="A743" s="331"/>
      <c r="B743" s="331"/>
      <c r="C743" s="331"/>
      <c r="D743" s="331"/>
      <c r="E743" s="331"/>
      <c r="F743" s="331"/>
      <c r="G743" s="331"/>
      <c r="H743" s="331"/>
      <c r="I743" s="331"/>
      <c r="J743" s="331"/>
      <c r="K743" s="331"/>
      <c r="L743" s="331"/>
      <c r="M743" s="331"/>
      <c r="N743" s="331"/>
      <c r="O743" s="331"/>
      <c r="P743" s="331"/>
      <c r="Q743" s="331"/>
      <c r="R743" s="331"/>
      <c r="S743" s="331"/>
      <c r="T743" s="331"/>
      <c r="U743" s="331"/>
      <c r="V743" s="331"/>
      <c r="W743" s="331"/>
      <c r="X743" s="331"/>
      <c r="Y743" s="331"/>
      <c r="Z743" s="331"/>
      <c r="AA743" s="331"/>
      <c r="AB743" s="331"/>
      <c r="AC743" s="331"/>
      <c r="AD743" s="331"/>
      <c r="AE743" s="331"/>
      <c r="AF743" s="331"/>
      <c r="AG743" s="331"/>
      <c r="AH743" s="331"/>
      <c r="AI743" s="331"/>
      <c r="AJ743" s="331"/>
      <c r="AK743" s="331"/>
      <c r="AL743" s="331"/>
    </row>
    <row r="744" ht="15.75" customHeight="1">
      <c r="A744" s="331"/>
      <c r="B744" s="331"/>
      <c r="C744" s="331"/>
      <c r="D744" s="331"/>
      <c r="E744" s="331"/>
      <c r="F744" s="331"/>
      <c r="G744" s="331"/>
      <c r="H744" s="331"/>
      <c r="I744" s="331"/>
      <c r="J744" s="331"/>
      <c r="K744" s="331"/>
      <c r="L744" s="331"/>
      <c r="M744" s="331"/>
      <c r="N744" s="331"/>
      <c r="O744" s="331"/>
      <c r="P744" s="331"/>
      <c r="Q744" s="331"/>
      <c r="R744" s="331"/>
      <c r="S744" s="331"/>
      <c r="T744" s="331"/>
      <c r="U744" s="331"/>
      <c r="V744" s="331"/>
      <c r="W744" s="331"/>
      <c r="X744" s="331"/>
      <c r="Y744" s="331"/>
      <c r="Z744" s="331"/>
      <c r="AA744" s="331"/>
      <c r="AB744" s="331"/>
      <c r="AC744" s="331"/>
      <c r="AD744" s="331"/>
      <c r="AE744" s="331"/>
      <c r="AF744" s="331"/>
      <c r="AG744" s="331"/>
      <c r="AH744" s="331"/>
      <c r="AI744" s="331"/>
      <c r="AJ744" s="331"/>
      <c r="AK744" s="331"/>
      <c r="AL744" s="331"/>
    </row>
    <row r="745" ht="15.75" customHeight="1">
      <c r="A745" s="331"/>
      <c r="B745" s="331"/>
      <c r="C745" s="331"/>
      <c r="D745" s="331"/>
      <c r="E745" s="331"/>
      <c r="F745" s="331"/>
      <c r="G745" s="331"/>
      <c r="H745" s="331"/>
      <c r="I745" s="331"/>
      <c r="J745" s="331"/>
      <c r="K745" s="331"/>
      <c r="L745" s="331"/>
      <c r="M745" s="331"/>
      <c r="N745" s="331"/>
      <c r="O745" s="331"/>
      <c r="P745" s="331"/>
      <c r="Q745" s="331"/>
      <c r="R745" s="331"/>
      <c r="S745" s="331"/>
      <c r="T745" s="331"/>
      <c r="U745" s="331"/>
      <c r="V745" s="331"/>
      <c r="W745" s="331"/>
      <c r="X745" s="331"/>
      <c r="Y745" s="331"/>
      <c r="Z745" s="331"/>
      <c r="AA745" s="331"/>
      <c r="AB745" s="331"/>
      <c r="AC745" s="331"/>
      <c r="AD745" s="331"/>
      <c r="AE745" s="331"/>
      <c r="AF745" s="331"/>
      <c r="AG745" s="331"/>
      <c r="AH745" s="331"/>
      <c r="AI745" s="331"/>
      <c r="AJ745" s="331"/>
      <c r="AK745" s="331"/>
      <c r="AL745" s="331"/>
    </row>
    <row r="746" ht="15.75" customHeight="1">
      <c r="A746" s="331"/>
      <c r="B746" s="331"/>
      <c r="C746" s="331"/>
      <c r="D746" s="331"/>
      <c r="E746" s="331"/>
      <c r="F746" s="331"/>
      <c r="G746" s="331"/>
      <c r="H746" s="331"/>
      <c r="I746" s="331"/>
      <c r="J746" s="331"/>
      <c r="K746" s="331"/>
      <c r="L746" s="331"/>
      <c r="M746" s="331"/>
      <c r="N746" s="331"/>
      <c r="O746" s="331"/>
      <c r="P746" s="331"/>
      <c r="Q746" s="331"/>
      <c r="R746" s="331"/>
      <c r="S746" s="331"/>
      <c r="T746" s="331"/>
      <c r="U746" s="331"/>
      <c r="V746" s="331"/>
      <c r="W746" s="331"/>
      <c r="X746" s="331"/>
      <c r="Y746" s="331"/>
      <c r="Z746" s="331"/>
      <c r="AA746" s="331"/>
      <c r="AB746" s="331"/>
      <c r="AC746" s="331"/>
      <c r="AD746" s="331"/>
      <c r="AE746" s="331"/>
      <c r="AF746" s="331"/>
      <c r="AG746" s="331"/>
      <c r="AH746" s="331"/>
      <c r="AI746" s="331"/>
      <c r="AJ746" s="331"/>
      <c r="AK746" s="331"/>
      <c r="AL746" s="331"/>
    </row>
    <row r="747" ht="15.75" customHeight="1">
      <c r="A747" s="331"/>
      <c r="B747" s="331"/>
      <c r="C747" s="331"/>
      <c r="D747" s="331"/>
      <c r="E747" s="331"/>
      <c r="F747" s="331"/>
      <c r="G747" s="331"/>
      <c r="H747" s="331"/>
      <c r="I747" s="331"/>
      <c r="J747" s="331"/>
      <c r="K747" s="331"/>
      <c r="L747" s="331"/>
      <c r="M747" s="331"/>
      <c r="N747" s="331"/>
      <c r="O747" s="331"/>
      <c r="P747" s="331"/>
      <c r="Q747" s="331"/>
      <c r="R747" s="331"/>
      <c r="S747" s="331"/>
      <c r="T747" s="331"/>
      <c r="U747" s="331"/>
      <c r="V747" s="331"/>
      <c r="W747" s="331"/>
      <c r="X747" s="331"/>
      <c r="Y747" s="331"/>
      <c r="Z747" s="331"/>
      <c r="AA747" s="331"/>
      <c r="AB747" s="331"/>
      <c r="AC747" s="331"/>
      <c r="AD747" s="331"/>
      <c r="AE747" s="331"/>
      <c r="AF747" s="331"/>
      <c r="AG747" s="331"/>
      <c r="AH747" s="331"/>
      <c r="AI747" s="331"/>
      <c r="AJ747" s="331"/>
      <c r="AK747" s="331"/>
      <c r="AL747" s="331"/>
    </row>
    <row r="748" ht="15.75" customHeight="1">
      <c r="A748" s="331"/>
      <c r="B748" s="331"/>
      <c r="C748" s="331"/>
      <c r="D748" s="331"/>
      <c r="E748" s="331"/>
      <c r="F748" s="331"/>
      <c r="G748" s="331"/>
      <c r="H748" s="331"/>
      <c r="I748" s="331"/>
      <c r="J748" s="331"/>
      <c r="K748" s="331"/>
      <c r="L748" s="331"/>
      <c r="M748" s="331"/>
      <c r="N748" s="331"/>
      <c r="O748" s="331"/>
      <c r="P748" s="331"/>
      <c r="Q748" s="331"/>
      <c r="R748" s="331"/>
      <c r="S748" s="331"/>
      <c r="T748" s="331"/>
      <c r="U748" s="331"/>
      <c r="V748" s="331"/>
      <c r="W748" s="331"/>
      <c r="X748" s="331"/>
      <c r="Y748" s="331"/>
      <c r="Z748" s="331"/>
      <c r="AA748" s="331"/>
      <c r="AB748" s="331"/>
      <c r="AC748" s="331"/>
      <c r="AD748" s="331"/>
      <c r="AE748" s="331"/>
      <c r="AF748" s="331"/>
      <c r="AG748" s="331"/>
      <c r="AH748" s="331"/>
      <c r="AI748" s="331"/>
      <c r="AJ748" s="331"/>
      <c r="AK748" s="331"/>
      <c r="AL748" s="331"/>
    </row>
    <row r="749" ht="15.75" customHeight="1">
      <c r="A749" s="331"/>
      <c r="B749" s="331"/>
      <c r="C749" s="331"/>
      <c r="D749" s="331"/>
      <c r="E749" s="331"/>
      <c r="F749" s="331"/>
      <c r="G749" s="331"/>
      <c r="H749" s="331"/>
      <c r="I749" s="331"/>
      <c r="J749" s="331"/>
      <c r="K749" s="331"/>
      <c r="L749" s="331"/>
      <c r="M749" s="331"/>
      <c r="N749" s="331"/>
      <c r="O749" s="331"/>
      <c r="P749" s="331"/>
      <c r="Q749" s="331"/>
      <c r="R749" s="331"/>
      <c r="S749" s="331"/>
      <c r="T749" s="331"/>
      <c r="U749" s="331"/>
      <c r="V749" s="331"/>
      <c r="W749" s="331"/>
      <c r="X749" s="331"/>
      <c r="Y749" s="331"/>
      <c r="Z749" s="331"/>
      <c r="AA749" s="331"/>
      <c r="AB749" s="331"/>
      <c r="AC749" s="331"/>
      <c r="AD749" s="331"/>
      <c r="AE749" s="331"/>
      <c r="AF749" s="331"/>
      <c r="AG749" s="331"/>
      <c r="AH749" s="331"/>
      <c r="AI749" s="331"/>
      <c r="AJ749" s="331"/>
      <c r="AK749" s="331"/>
      <c r="AL749" s="331"/>
    </row>
    <row r="750" ht="15.75" customHeight="1">
      <c r="A750" s="331"/>
      <c r="B750" s="331"/>
      <c r="C750" s="331"/>
      <c r="D750" s="331"/>
      <c r="E750" s="331"/>
      <c r="F750" s="331"/>
      <c r="G750" s="331"/>
      <c r="H750" s="331"/>
      <c r="I750" s="331"/>
      <c r="J750" s="331"/>
      <c r="K750" s="331"/>
      <c r="L750" s="331"/>
      <c r="M750" s="331"/>
      <c r="N750" s="331"/>
      <c r="O750" s="331"/>
      <c r="P750" s="331"/>
      <c r="Q750" s="331"/>
      <c r="R750" s="331"/>
      <c r="S750" s="331"/>
      <c r="T750" s="331"/>
      <c r="U750" s="331"/>
      <c r="V750" s="331"/>
      <c r="W750" s="331"/>
      <c r="X750" s="331"/>
      <c r="Y750" s="331"/>
      <c r="Z750" s="331"/>
      <c r="AA750" s="331"/>
      <c r="AB750" s="331"/>
      <c r="AC750" s="331"/>
      <c r="AD750" s="331"/>
      <c r="AE750" s="331"/>
      <c r="AF750" s="331"/>
      <c r="AG750" s="331"/>
      <c r="AH750" s="331"/>
      <c r="AI750" s="331"/>
      <c r="AJ750" s="331"/>
      <c r="AK750" s="331"/>
      <c r="AL750" s="331"/>
    </row>
    <row r="751" ht="15.75" customHeight="1">
      <c r="A751" s="331"/>
      <c r="B751" s="331"/>
      <c r="C751" s="331"/>
      <c r="D751" s="331"/>
      <c r="E751" s="331"/>
      <c r="F751" s="331"/>
      <c r="G751" s="331"/>
      <c r="H751" s="331"/>
      <c r="I751" s="331"/>
      <c r="J751" s="331"/>
      <c r="K751" s="331"/>
      <c r="L751" s="331"/>
      <c r="M751" s="331"/>
      <c r="N751" s="331"/>
      <c r="O751" s="331"/>
      <c r="P751" s="331"/>
      <c r="Q751" s="331"/>
      <c r="R751" s="331"/>
      <c r="S751" s="331"/>
      <c r="T751" s="331"/>
      <c r="U751" s="331"/>
      <c r="V751" s="331"/>
      <c r="W751" s="331"/>
      <c r="X751" s="331"/>
      <c r="Y751" s="331"/>
      <c r="Z751" s="331"/>
      <c r="AA751" s="331"/>
      <c r="AB751" s="331"/>
      <c r="AC751" s="331"/>
      <c r="AD751" s="331"/>
      <c r="AE751" s="331"/>
      <c r="AF751" s="331"/>
      <c r="AG751" s="331"/>
      <c r="AH751" s="331"/>
      <c r="AI751" s="331"/>
      <c r="AJ751" s="331"/>
      <c r="AK751" s="331"/>
      <c r="AL751" s="331"/>
    </row>
    <row r="752" ht="15.75" customHeight="1">
      <c r="A752" s="331"/>
      <c r="B752" s="331"/>
      <c r="C752" s="331"/>
      <c r="D752" s="331"/>
      <c r="E752" s="331"/>
      <c r="F752" s="331"/>
      <c r="G752" s="331"/>
      <c r="H752" s="331"/>
      <c r="I752" s="331"/>
      <c r="J752" s="331"/>
      <c r="K752" s="331"/>
      <c r="L752" s="331"/>
      <c r="M752" s="331"/>
      <c r="N752" s="331"/>
      <c r="O752" s="331"/>
      <c r="P752" s="331"/>
      <c r="Q752" s="331"/>
      <c r="R752" s="331"/>
      <c r="S752" s="331"/>
      <c r="T752" s="331"/>
      <c r="U752" s="331"/>
      <c r="V752" s="331"/>
      <c r="W752" s="331"/>
      <c r="X752" s="331"/>
      <c r="Y752" s="331"/>
      <c r="Z752" s="331"/>
      <c r="AA752" s="331"/>
      <c r="AB752" s="331"/>
      <c r="AC752" s="331"/>
      <c r="AD752" s="331"/>
      <c r="AE752" s="331"/>
      <c r="AF752" s="331"/>
      <c r="AG752" s="331"/>
      <c r="AH752" s="331"/>
      <c r="AI752" s="331"/>
      <c r="AJ752" s="331"/>
      <c r="AK752" s="331"/>
      <c r="AL752" s="331"/>
    </row>
    <row r="753" ht="15.75" customHeight="1">
      <c r="A753" s="331"/>
      <c r="B753" s="331"/>
      <c r="C753" s="331"/>
      <c r="D753" s="331"/>
      <c r="E753" s="331"/>
      <c r="F753" s="331"/>
      <c r="G753" s="331"/>
      <c r="H753" s="331"/>
      <c r="I753" s="331"/>
      <c r="J753" s="331"/>
      <c r="K753" s="331"/>
      <c r="L753" s="331"/>
      <c r="M753" s="331"/>
      <c r="N753" s="331"/>
      <c r="O753" s="331"/>
      <c r="P753" s="331"/>
      <c r="Q753" s="331"/>
      <c r="R753" s="331"/>
      <c r="S753" s="331"/>
      <c r="T753" s="331"/>
      <c r="U753" s="331"/>
      <c r="V753" s="331"/>
      <c r="W753" s="331"/>
      <c r="X753" s="331"/>
      <c r="Y753" s="331"/>
      <c r="Z753" s="331"/>
      <c r="AA753" s="331"/>
      <c r="AB753" s="331"/>
      <c r="AC753" s="331"/>
      <c r="AD753" s="331"/>
      <c r="AE753" s="331"/>
      <c r="AF753" s="331"/>
      <c r="AG753" s="331"/>
      <c r="AH753" s="331"/>
      <c r="AI753" s="331"/>
      <c r="AJ753" s="331"/>
      <c r="AK753" s="331"/>
      <c r="AL753" s="331"/>
    </row>
    <row r="754" ht="15.75" customHeight="1">
      <c r="A754" s="331"/>
      <c r="B754" s="331"/>
      <c r="C754" s="331"/>
      <c r="D754" s="331"/>
      <c r="E754" s="331"/>
      <c r="F754" s="331"/>
      <c r="G754" s="331"/>
      <c r="H754" s="331"/>
      <c r="I754" s="331"/>
      <c r="J754" s="331"/>
      <c r="K754" s="331"/>
      <c r="L754" s="331"/>
      <c r="M754" s="331"/>
      <c r="N754" s="331"/>
      <c r="O754" s="331"/>
      <c r="P754" s="331"/>
      <c r="Q754" s="331"/>
      <c r="R754" s="331"/>
      <c r="S754" s="331"/>
      <c r="T754" s="331"/>
      <c r="U754" s="331"/>
      <c r="V754" s="331"/>
      <c r="W754" s="331"/>
      <c r="X754" s="331"/>
      <c r="Y754" s="331"/>
      <c r="Z754" s="331"/>
      <c r="AA754" s="331"/>
      <c r="AB754" s="331"/>
      <c r="AC754" s="331"/>
      <c r="AD754" s="331"/>
      <c r="AE754" s="331"/>
      <c r="AF754" s="331"/>
      <c r="AG754" s="331"/>
      <c r="AH754" s="331"/>
      <c r="AI754" s="331"/>
      <c r="AJ754" s="331"/>
      <c r="AK754" s="331"/>
      <c r="AL754" s="331"/>
    </row>
    <row r="755" ht="15.75" customHeight="1">
      <c r="A755" s="331"/>
      <c r="B755" s="331"/>
      <c r="C755" s="331"/>
      <c r="D755" s="331"/>
      <c r="E755" s="331"/>
      <c r="F755" s="331"/>
      <c r="G755" s="331"/>
      <c r="H755" s="331"/>
      <c r="I755" s="331"/>
      <c r="J755" s="331"/>
      <c r="K755" s="331"/>
      <c r="L755" s="331"/>
      <c r="M755" s="331"/>
      <c r="N755" s="331"/>
      <c r="O755" s="331"/>
      <c r="P755" s="331"/>
      <c r="Q755" s="331"/>
      <c r="R755" s="331"/>
      <c r="S755" s="331"/>
      <c r="T755" s="331"/>
      <c r="U755" s="331"/>
      <c r="V755" s="331"/>
      <c r="W755" s="331"/>
      <c r="X755" s="331"/>
      <c r="Y755" s="331"/>
      <c r="Z755" s="331"/>
      <c r="AA755" s="331"/>
      <c r="AB755" s="331"/>
      <c r="AC755" s="331"/>
      <c r="AD755" s="331"/>
      <c r="AE755" s="331"/>
      <c r="AF755" s="331"/>
      <c r="AG755" s="331"/>
      <c r="AH755" s="331"/>
      <c r="AI755" s="331"/>
      <c r="AJ755" s="331"/>
      <c r="AK755" s="331"/>
      <c r="AL755" s="331"/>
    </row>
    <row r="756" ht="15.75" customHeight="1">
      <c r="A756" s="331"/>
      <c r="B756" s="331"/>
      <c r="C756" s="331"/>
      <c r="D756" s="331"/>
      <c r="E756" s="331"/>
      <c r="F756" s="331"/>
      <c r="G756" s="331"/>
      <c r="H756" s="331"/>
      <c r="I756" s="331"/>
      <c r="J756" s="331"/>
      <c r="K756" s="331"/>
      <c r="L756" s="331"/>
      <c r="M756" s="331"/>
      <c r="N756" s="331"/>
      <c r="O756" s="331"/>
      <c r="P756" s="331"/>
      <c r="Q756" s="331"/>
      <c r="R756" s="331"/>
      <c r="S756" s="331"/>
      <c r="T756" s="331"/>
      <c r="U756" s="331"/>
      <c r="V756" s="331"/>
      <c r="W756" s="331"/>
      <c r="X756" s="331"/>
      <c r="Y756" s="331"/>
      <c r="Z756" s="331"/>
      <c r="AA756" s="331"/>
      <c r="AB756" s="331"/>
      <c r="AC756" s="331"/>
      <c r="AD756" s="331"/>
      <c r="AE756" s="331"/>
      <c r="AF756" s="331"/>
      <c r="AG756" s="331"/>
      <c r="AH756" s="331"/>
      <c r="AI756" s="331"/>
      <c r="AJ756" s="331"/>
      <c r="AK756" s="331"/>
      <c r="AL756" s="331"/>
    </row>
    <row r="757" ht="15.75" customHeight="1">
      <c r="A757" s="331"/>
      <c r="B757" s="331"/>
      <c r="C757" s="331"/>
      <c r="D757" s="331"/>
      <c r="E757" s="331"/>
      <c r="F757" s="331"/>
      <c r="G757" s="331"/>
      <c r="H757" s="331"/>
      <c r="I757" s="331"/>
      <c r="J757" s="331"/>
      <c r="K757" s="331"/>
      <c r="L757" s="331"/>
      <c r="M757" s="331"/>
      <c r="N757" s="331"/>
      <c r="O757" s="331"/>
      <c r="P757" s="331"/>
      <c r="Q757" s="331"/>
      <c r="R757" s="331"/>
      <c r="S757" s="331"/>
      <c r="T757" s="331"/>
      <c r="U757" s="331"/>
      <c r="V757" s="331"/>
      <c r="W757" s="331"/>
      <c r="X757" s="331"/>
      <c r="Y757" s="331"/>
      <c r="Z757" s="331"/>
      <c r="AA757" s="331"/>
      <c r="AB757" s="331"/>
      <c r="AC757" s="331"/>
      <c r="AD757" s="331"/>
      <c r="AE757" s="331"/>
      <c r="AF757" s="331"/>
      <c r="AG757" s="331"/>
      <c r="AH757" s="331"/>
      <c r="AI757" s="331"/>
      <c r="AJ757" s="331"/>
      <c r="AK757" s="331"/>
      <c r="AL757" s="331"/>
    </row>
    <row r="758" ht="15.75" customHeight="1">
      <c r="A758" s="331"/>
      <c r="B758" s="331"/>
      <c r="C758" s="331"/>
      <c r="D758" s="331"/>
      <c r="E758" s="331"/>
      <c r="F758" s="331"/>
      <c r="G758" s="331"/>
      <c r="H758" s="331"/>
      <c r="I758" s="331"/>
      <c r="J758" s="331"/>
      <c r="K758" s="331"/>
      <c r="L758" s="331"/>
      <c r="M758" s="331"/>
      <c r="N758" s="331"/>
      <c r="O758" s="331"/>
      <c r="P758" s="331"/>
      <c r="Q758" s="331"/>
      <c r="R758" s="331"/>
      <c r="S758" s="331"/>
      <c r="T758" s="331"/>
      <c r="U758" s="331"/>
      <c r="V758" s="331"/>
      <c r="W758" s="331"/>
      <c r="X758" s="331"/>
      <c r="Y758" s="331"/>
      <c r="Z758" s="331"/>
      <c r="AA758" s="331"/>
      <c r="AB758" s="331"/>
      <c r="AC758" s="331"/>
      <c r="AD758" s="331"/>
      <c r="AE758" s="331"/>
      <c r="AF758" s="331"/>
      <c r="AG758" s="331"/>
      <c r="AH758" s="331"/>
      <c r="AI758" s="331"/>
      <c r="AJ758" s="331"/>
      <c r="AK758" s="331"/>
      <c r="AL758" s="331"/>
    </row>
    <row r="759" ht="15.75" customHeight="1">
      <c r="A759" s="331"/>
      <c r="B759" s="331"/>
      <c r="C759" s="331"/>
      <c r="D759" s="331"/>
      <c r="E759" s="331"/>
      <c r="F759" s="331"/>
      <c r="G759" s="331"/>
      <c r="H759" s="331"/>
      <c r="I759" s="331"/>
      <c r="J759" s="331"/>
      <c r="K759" s="331"/>
      <c r="L759" s="331"/>
      <c r="M759" s="331"/>
      <c r="N759" s="331"/>
      <c r="O759" s="331"/>
      <c r="P759" s="331"/>
      <c r="Q759" s="331"/>
      <c r="R759" s="331"/>
      <c r="S759" s="331"/>
      <c r="T759" s="331"/>
      <c r="U759" s="331"/>
      <c r="V759" s="331"/>
      <c r="W759" s="331"/>
      <c r="X759" s="331"/>
      <c r="Y759" s="331"/>
      <c r="Z759" s="331"/>
      <c r="AA759" s="331"/>
      <c r="AB759" s="331"/>
      <c r="AC759" s="331"/>
      <c r="AD759" s="331"/>
      <c r="AE759" s="331"/>
      <c r="AF759" s="331"/>
      <c r="AG759" s="331"/>
      <c r="AH759" s="331"/>
      <c r="AI759" s="331"/>
      <c r="AJ759" s="331"/>
      <c r="AK759" s="331"/>
      <c r="AL759" s="331"/>
    </row>
    <row r="760" ht="15.75" customHeight="1">
      <c r="A760" s="331"/>
      <c r="B760" s="331"/>
      <c r="C760" s="331"/>
      <c r="D760" s="331"/>
      <c r="E760" s="331"/>
      <c r="F760" s="331"/>
      <c r="G760" s="331"/>
      <c r="H760" s="331"/>
      <c r="I760" s="331"/>
      <c r="J760" s="331"/>
      <c r="K760" s="331"/>
      <c r="L760" s="331"/>
      <c r="M760" s="331"/>
      <c r="N760" s="331"/>
      <c r="O760" s="331"/>
      <c r="P760" s="331"/>
      <c r="Q760" s="331"/>
      <c r="R760" s="331"/>
      <c r="S760" s="331"/>
      <c r="T760" s="331"/>
      <c r="U760" s="331"/>
      <c r="V760" s="331"/>
      <c r="W760" s="331"/>
      <c r="X760" s="331"/>
      <c r="Y760" s="331"/>
      <c r="Z760" s="331"/>
      <c r="AA760" s="331"/>
      <c r="AB760" s="331"/>
      <c r="AC760" s="331"/>
      <c r="AD760" s="331"/>
      <c r="AE760" s="331"/>
      <c r="AF760" s="331"/>
      <c r="AG760" s="331"/>
      <c r="AH760" s="331"/>
      <c r="AI760" s="331"/>
      <c r="AJ760" s="331"/>
      <c r="AK760" s="331"/>
      <c r="AL760" s="331"/>
    </row>
    <row r="761" ht="15.75" customHeight="1">
      <c r="A761" s="331"/>
      <c r="B761" s="331"/>
      <c r="C761" s="331"/>
      <c r="D761" s="331"/>
      <c r="E761" s="331"/>
      <c r="F761" s="331"/>
      <c r="G761" s="331"/>
      <c r="H761" s="331"/>
      <c r="I761" s="331"/>
      <c r="J761" s="331"/>
      <c r="K761" s="331"/>
      <c r="L761" s="331"/>
      <c r="M761" s="331"/>
      <c r="N761" s="331"/>
      <c r="O761" s="331"/>
      <c r="P761" s="331"/>
      <c r="Q761" s="331"/>
      <c r="R761" s="331"/>
      <c r="S761" s="331"/>
      <c r="T761" s="331"/>
      <c r="U761" s="331"/>
      <c r="V761" s="331"/>
      <c r="W761" s="331"/>
      <c r="X761" s="331"/>
      <c r="Y761" s="331"/>
      <c r="Z761" s="331"/>
      <c r="AA761" s="331"/>
      <c r="AB761" s="331"/>
      <c r="AC761" s="331"/>
      <c r="AD761" s="331"/>
      <c r="AE761" s="331"/>
      <c r="AF761" s="331"/>
      <c r="AG761" s="331"/>
      <c r="AH761" s="331"/>
      <c r="AI761" s="331"/>
      <c r="AJ761" s="331"/>
      <c r="AK761" s="331"/>
      <c r="AL761" s="331"/>
    </row>
    <row r="762" ht="15.75" customHeight="1">
      <c r="A762" s="331"/>
      <c r="B762" s="331"/>
      <c r="C762" s="331"/>
      <c r="D762" s="331"/>
      <c r="E762" s="331"/>
      <c r="F762" s="331"/>
      <c r="G762" s="331"/>
      <c r="H762" s="331"/>
      <c r="I762" s="331"/>
      <c r="J762" s="331"/>
      <c r="K762" s="331"/>
      <c r="L762" s="331"/>
      <c r="M762" s="331"/>
      <c r="N762" s="331"/>
      <c r="O762" s="331"/>
      <c r="P762" s="331"/>
      <c r="Q762" s="331"/>
      <c r="R762" s="331"/>
      <c r="S762" s="331"/>
      <c r="T762" s="331"/>
      <c r="U762" s="331"/>
      <c r="V762" s="331"/>
      <c r="W762" s="331"/>
      <c r="X762" s="331"/>
      <c r="Y762" s="331"/>
      <c r="Z762" s="331"/>
      <c r="AA762" s="331"/>
      <c r="AB762" s="331"/>
      <c r="AC762" s="331"/>
      <c r="AD762" s="331"/>
      <c r="AE762" s="331"/>
      <c r="AF762" s="331"/>
      <c r="AG762" s="331"/>
      <c r="AH762" s="331"/>
      <c r="AI762" s="331"/>
      <c r="AJ762" s="331"/>
      <c r="AK762" s="331"/>
      <c r="AL762" s="331"/>
    </row>
    <row r="763" ht="15.75" customHeight="1">
      <c r="A763" s="331"/>
      <c r="B763" s="331"/>
      <c r="C763" s="331"/>
      <c r="D763" s="331"/>
      <c r="E763" s="331"/>
      <c r="F763" s="331"/>
      <c r="G763" s="331"/>
      <c r="H763" s="331"/>
      <c r="I763" s="331"/>
      <c r="J763" s="331"/>
      <c r="K763" s="331"/>
      <c r="L763" s="331"/>
      <c r="M763" s="331"/>
      <c r="N763" s="331"/>
      <c r="O763" s="331"/>
      <c r="P763" s="331"/>
      <c r="Q763" s="331"/>
      <c r="R763" s="331"/>
      <c r="S763" s="331"/>
      <c r="T763" s="331"/>
      <c r="U763" s="331"/>
      <c r="V763" s="331"/>
      <c r="W763" s="331"/>
      <c r="X763" s="331"/>
      <c r="Y763" s="331"/>
      <c r="Z763" s="331"/>
      <c r="AA763" s="331"/>
      <c r="AB763" s="331"/>
      <c r="AC763" s="331"/>
      <c r="AD763" s="331"/>
      <c r="AE763" s="331"/>
      <c r="AF763" s="331"/>
      <c r="AG763" s="331"/>
      <c r="AH763" s="331"/>
      <c r="AI763" s="331"/>
      <c r="AJ763" s="331"/>
      <c r="AK763" s="331"/>
      <c r="AL763" s="331"/>
    </row>
    <row r="764" ht="15.75" customHeight="1">
      <c r="A764" s="331"/>
      <c r="B764" s="331"/>
      <c r="C764" s="331"/>
      <c r="D764" s="331"/>
      <c r="E764" s="331"/>
      <c r="F764" s="331"/>
      <c r="G764" s="331"/>
      <c r="H764" s="331"/>
      <c r="I764" s="331"/>
      <c r="J764" s="331"/>
      <c r="K764" s="331"/>
      <c r="L764" s="331"/>
      <c r="M764" s="331"/>
      <c r="N764" s="331"/>
      <c r="O764" s="331"/>
      <c r="P764" s="331"/>
      <c r="Q764" s="331"/>
      <c r="R764" s="331"/>
      <c r="S764" s="331"/>
      <c r="T764" s="331"/>
      <c r="U764" s="331"/>
      <c r="V764" s="331"/>
      <c r="W764" s="331"/>
      <c r="X764" s="331"/>
      <c r="Y764" s="331"/>
      <c r="Z764" s="331"/>
      <c r="AA764" s="331"/>
      <c r="AB764" s="331"/>
      <c r="AC764" s="331"/>
      <c r="AD764" s="331"/>
      <c r="AE764" s="331"/>
      <c r="AF764" s="331"/>
      <c r="AG764" s="331"/>
      <c r="AH764" s="331"/>
      <c r="AI764" s="331"/>
      <c r="AJ764" s="331"/>
      <c r="AK764" s="331"/>
      <c r="AL764" s="331"/>
    </row>
    <row r="765" ht="15.75" customHeight="1">
      <c r="A765" s="331"/>
      <c r="B765" s="331"/>
      <c r="C765" s="331"/>
      <c r="D765" s="331"/>
      <c r="E765" s="331"/>
      <c r="F765" s="331"/>
      <c r="G765" s="331"/>
      <c r="H765" s="331"/>
      <c r="I765" s="331"/>
      <c r="J765" s="331"/>
      <c r="K765" s="331"/>
      <c r="L765" s="331"/>
      <c r="M765" s="331"/>
      <c r="N765" s="331"/>
      <c r="O765" s="331"/>
      <c r="P765" s="331"/>
      <c r="Q765" s="331"/>
      <c r="R765" s="331"/>
      <c r="S765" s="331"/>
      <c r="T765" s="331"/>
      <c r="U765" s="331"/>
      <c r="V765" s="331"/>
      <c r="W765" s="331"/>
      <c r="X765" s="331"/>
      <c r="Y765" s="331"/>
      <c r="Z765" s="331"/>
      <c r="AA765" s="331"/>
      <c r="AB765" s="331"/>
      <c r="AC765" s="331"/>
      <c r="AD765" s="331"/>
      <c r="AE765" s="331"/>
      <c r="AF765" s="331"/>
      <c r="AG765" s="331"/>
      <c r="AH765" s="331"/>
      <c r="AI765" s="331"/>
      <c r="AJ765" s="331"/>
      <c r="AK765" s="331"/>
      <c r="AL765" s="331"/>
    </row>
    <row r="766" ht="15.75" customHeight="1">
      <c r="A766" s="331"/>
      <c r="B766" s="331"/>
      <c r="C766" s="331"/>
      <c r="D766" s="331"/>
      <c r="E766" s="331"/>
      <c r="F766" s="331"/>
      <c r="G766" s="331"/>
      <c r="H766" s="331"/>
      <c r="I766" s="331"/>
      <c r="J766" s="331"/>
      <c r="K766" s="331"/>
      <c r="L766" s="331"/>
      <c r="M766" s="331"/>
      <c r="N766" s="331"/>
      <c r="O766" s="331"/>
      <c r="P766" s="331"/>
      <c r="Q766" s="331"/>
      <c r="R766" s="331"/>
      <c r="S766" s="331"/>
      <c r="T766" s="331"/>
      <c r="U766" s="331"/>
      <c r="V766" s="331"/>
      <c r="W766" s="331"/>
      <c r="X766" s="331"/>
      <c r="Y766" s="331"/>
      <c r="Z766" s="331"/>
      <c r="AA766" s="331"/>
      <c r="AB766" s="331"/>
      <c r="AC766" s="331"/>
      <c r="AD766" s="331"/>
      <c r="AE766" s="331"/>
      <c r="AF766" s="331"/>
      <c r="AG766" s="331"/>
      <c r="AH766" s="331"/>
      <c r="AI766" s="331"/>
      <c r="AJ766" s="331"/>
      <c r="AK766" s="331"/>
      <c r="AL766" s="331"/>
    </row>
    <row r="767" ht="15.75" customHeight="1">
      <c r="A767" s="331"/>
      <c r="B767" s="331"/>
      <c r="C767" s="331"/>
      <c r="D767" s="331"/>
      <c r="E767" s="331"/>
      <c r="F767" s="331"/>
      <c r="G767" s="331"/>
      <c r="H767" s="331"/>
      <c r="I767" s="331"/>
      <c r="J767" s="331"/>
      <c r="K767" s="331"/>
      <c r="L767" s="331"/>
      <c r="M767" s="331"/>
      <c r="N767" s="331"/>
      <c r="O767" s="331"/>
      <c r="P767" s="331"/>
      <c r="Q767" s="331"/>
      <c r="R767" s="331"/>
      <c r="S767" s="331"/>
      <c r="T767" s="331"/>
      <c r="U767" s="331"/>
      <c r="V767" s="331"/>
      <c r="W767" s="331"/>
      <c r="X767" s="331"/>
      <c r="Y767" s="331"/>
      <c r="Z767" s="331"/>
      <c r="AA767" s="331"/>
      <c r="AB767" s="331"/>
      <c r="AC767" s="331"/>
      <c r="AD767" s="331"/>
      <c r="AE767" s="331"/>
      <c r="AF767" s="331"/>
      <c r="AG767" s="331"/>
      <c r="AH767" s="331"/>
      <c r="AI767" s="331"/>
      <c r="AJ767" s="331"/>
      <c r="AK767" s="331"/>
      <c r="AL767" s="331"/>
    </row>
    <row r="768" ht="15.75" customHeight="1">
      <c r="A768" s="331"/>
      <c r="B768" s="331"/>
      <c r="C768" s="331"/>
      <c r="D768" s="331"/>
      <c r="E768" s="331"/>
      <c r="F768" s="331"/>
      <c r="G768" s="331"/>
      <c r="H768" s="331"/>
      <c r="I768" s="331"/>
      <c r="J768" s="331"/>
      <c r="K768" s="331"/>
      <c r="L768" s="331"/>
      <c r="M768" s="331"/>
      <c r="N768" s="331"/>
      <c r="O768" s="331"/>
      <c r="P768" s="331"/>
      <c r="Q768" s="331"/>
      <c r="R768" s="331"/>
      <c r="S768" s="331"/>
      <c r="T768" s="331"/>
      <c r="U768" s="331"/>
      <c r="V768" s="331"/>
      <c r="W768" s="331"/>
      <c r="X768" s="331"/>
      <c r="Y768" s="331"/>
      <c r="Z768" s="331"/>
      <c r="AA768" s="331"/>
      <c r="AB768" s="331"/>
      <c r="AC768" s="331"/>
      <c r="AD768" s="331"/>
      <c r="AE768" s="331"/>
      <c r="AF768" s="331"/>
      <c r="AG768" s="331"/>
      <c r="AH768" s="331"/>
      <c r="AI768" s="331"/>
      <c r="AJ768" s="331"/>
      <c r="AK768" s="331"/>
      <c r="AL768" s="331"/>
    </row>
    <row r="769" ht="15.75" customHeight="1">
      <c r="A769" s="331"/>
      <c r="B769" s="331"/>
      <c r="C769" s="331"/>
      <c r="D769" s="331"/>
      <c r="E769" s="331"/>
      <c r="F769" s="331"/>
      <c r="G769" s="331"/>
      <c r="H769" s="331"/>
      <c r="I769" s="331"/>
      <c r="J769" s="331"/>
      <c r="K769" s="331"/>
      <c r="L769" s="331"/>
      <c r="M769" s="331"/>
      <c r="N769" s="331"/>
      <c r="O769" s="331"/>
      <c r="P769" s="331"/>
      <c r="Q769" s="331"/>
      <c r="R769" s="331"/>
      <c r="S769" s="331"/>
      <c r="T769" s="331"/>
      <c r="U769" s="331"/>
      <c r="V769" s="331"/>
      <c r="W769" s="331"/>
      <c r="X769" s="331"/>
      <c r="Y769" s="331"/>
      <c r="Z769" s="331"/>
      <c r="AA769" s="331"/>
      <c r="AB769" s="331"/>
      <c r="AC769" s="331"/>
      <c r="AD769" s="331"/>
      <c r="AE769" s="331"/>
      <c r="AF769" s="331"/>
      <c r="AG769" s="331"/>
      <c r="AH769" s="331"/>
      <c r="AI769" s="331"/>
      <c r="AJ769" s="331"/>
      <c r="AK769" s="331"/>
      <c r="AL769" s="331"/>
    </row>
    <row r="770" ht="15.75" customHeight="1">
      <c r="A770" s="331"/>
      <c r="B770" s="331"/>
      <c r="C770" s="331"/>
      <c r="D770" s="331"/>
      <c r="E770" s="331"/>
      <c r="F770" s="331"/>
      <c r="G770" s="331"/>
      <c r="H770" s="331"/>
      <c r="I770" s="331"/>
      <c r="J770" s="331"/>
      <c r="K770" s="331"/>
      <c r="L770" s="331"/>
      <c r="M770" s="331"/>
      <c r="N770" s="331"/>
      <c r="O770" s="331"/>
      <c r="P770" s="331"/>
      <c r="Q770" s="331"/>
      <c r="R770" s="331"/>
      <c r="S770" s="331"/>
      <c r="T770" s="331"/>
      <c r="U770" s="331"/>
      <c r="V770" s="331"/>
      <c r="W770" s="331"/>
      <c r="X770" s="331"/>
      <c r="Y770" s="331"/>
      <c r="Z770" s="331"/>
      <c r="AA770" s="331"/>
      <c r="AB770" s="331"/>
      <c r="AC770" s="331"/>
      <c r="AD770" s="331"/>
      <c r="AE770" s="331"/>
      <c r="AF770" s="331"/>
      <c r="AG770" s="331"/>
      <c r="AH770" s="331"/>
      <c r="AI770" s="331"/>
      <c r="AJ770" s="331"/>
      <c r="AK770" s="331"/>
      <c r="AL770" s="331"/>
    </row>
    <row r="771" ht="15.75" customHeight="1">
      <c r="A771" s="331"/>
      <c r="B771" s="331"/>
      <c r="C771" s="331"/>
      <c r="D771" s="331"/>
      <c r="E771" s="331"/>
      <c r="F771" s="331"/>
      <c r="G771" s="331"/>
      <c r="H771" s="331"/>
      <c r="I771" s="331"/>
      <c r="J771" s="331"/>
      <c r="K771" s="331"/>
      <c r="L771" s="331"/>
      <c r="M771" s="331"/>
      <c r="N771" s="331"/>
      <c r="O771" s="331"/>
      <c r="P771" s="331"/>
      <c r="Q771" s="331"/>
      <c r="R771" s="331"/>
      <c r="S771" s="331"/>
      <c r="T771" s="331"/>
      <c r="U771" s="331"/>
      <c r="V771" s="331"/>
      <c r="W771" s="331"/>
      <c r="X771" s="331"/>
      <c r="Y771" s="331"/>
      <c r="Z771" s="331"/>
      <c r="AA771" s="331"/>
      <c r="AB771" s="331"/>
      <c r="AC771" s="331"/>
      <c r="AD771" s="331"/>
      <c r="AE771" s="331"/>
      <c r="AF771" s="331"/>
      <c r="AG771" s="331"/>
      <c r="AH771" s="331"/>
      <c r="AI771" s="331"/>
      <c r="AJ771" s="331"/>
      <c r="AK771" s="331"/>
      <c r="AL771" s="331"/>
    </row>
    <row r="772" ht="15.75" customHeight="1">
      <c r="A772" s="331"/>
      <c r="B772" s="331"/>
      <c r="C772" s="331"/>
      <c r="D772" s="331"/>
      <c r="E772" s="331"/>
      <c r="F772" s="331"/>
      <c r="G772" s="331"/>
      <c r="H772" s="331"/>
      <c r="I772" s="331"/>
      <c r="J772" s="331"/>
      <c r="K772" s="331"/>
      <c r="L772" s="331"/>
      <c r="M772" s="331"/>
      <c r="N772" s="331"/>
      <c r="O772" s="331"/>
      <c r="P772" s="331"/>
      <c r="Q772" s="331"/>
      <c r="R772" s="331"/>
      <c r="S772" s="331"/>
      <c r="T772" s="331"/>
      <c r="U772" s="331"/>
      <c r="V772" s="331"/>
      <c r="W772" s="331"/>
      <c r="X772" s="331"/>
      <c r="Y772" s="331"/>
      <c r="Z772" s="331"/>
      <c r="AA772" s="331"/>
      <c r="AB772" s="331"/>
      <c r="AC772" s="331"/>
      <c r="AD772" s="331"/>
      <c r="AE772" s="331"/>
      <c r="AF772" s="331"/>
      <c r="AG772" s="331"/>
      <c r="AH772" s="331"/>
      <c r="AI772" s="331"/>
      <c r="AJ772" s="331"/>
      <c r="AK772" s="331"/>
      <c r="AL772" s="331"/>
    </row>
    <row r="773" ht="15.75" customHeight="1">
      <c r="A773" s="331"/>
      <c r="B773" s="331"/>
      <c r="C773" s="331"/>
      <c r="D773" s="331"/>
      <c r="E773" s="331"/>
      <c r="F773" s="331"/>
      <c r="G773" s="331"/>
      <c r="H773" s="331"/>
      <c r="I773" s="331"/>
      <c r="J773" s="331"/>
      <c r="K773" s="331"/>
      <c r="L773" s="331"/>
      <c r="M773" s="331"/>
      <c r="N773" s="331"/>
      <c r="O773" s="331"/>
      <c r="P773" s="331"/>
      <c r="Q773" s="331"/>
      <c r="R773" s="331"/>
      <c r="S773" s="331"/>
      <c r="T773" s="331"/>
      <c r="U773" s="331"/>
      <c r="V773" s="331"/>
      <c r="W773" s="331"/>
      <c r="X773" s="331"/>
      <c r="Y773" s="331"/>
      <c r="Z773" s="331"/>
      <c r="AA773" s="331"/>
      <c r="AB773" s="331"/>
      <c r="AC773" s="331"/>
      <c r="AD773" s="331"/>
      <c r="AE773" s="331"/>
      <c r="AF773" s="331"/>
      <c r="AG773" s="331"/>
      <c r="AH773" s="331"/>
      <c r="AI773" s="331"/>
      <c r="AJ773" s="331"/>
      <c r="AK773" s="331"/>
      <c r="AL773" s="331"/>
    </row>
    <row r="774" ht="15.75" customHeight="1">
      <c r="A774" s="331"/>
      <c r="B774" s="331"/>
      <c r="C774" s="331"/>
      <c r="D774" s="331"/>
      <c r="E774" s="331"/>
      <c r="F774" s="331"/>
      <c r="G774" s="331"/>
      <c r="H774" s="331"/>
      <c r="I774" s="331"/>
      <c r="J774" s="331"/>
      <c r="K774" s="331"/>
      <c r="L774" s="331"/>
      <c r="M774" s="331"/>
      <c r="N774" s="331"/>
      <c r="O774" s="331"/>
      <c r="P774" s="331"/>
      <c r="Q774" s="331"/>
      <c r="R774" s="331"/>
      <c r="S774" s="331"/>
      <c r="T774" s="331"/>
      <c r="U774" s="331"/>
      <c r="V774" s="331"/>
      <c r="W774" s="331"/>
      <c r="X774" s="331"/>
      <c r="Y774" s="331"/>
      <c r="Z774" s="331"/>
      <c r="AA774" s="331"/>
      <c r="AB774" s="331"/>
      <c r="AC774" s="331"/>
      <c r="AD774" s="331"/>
      <c r="AE774" s="331"/>
      <c r="AF774" s="331"/>
      <c r="AG774" s="331"/>
      <c r="AH774" s="331"/>
      <c r="AI774" s="331"/>
      <c r="AJ774" s="331"/>
      <c r="AK774" s="331"/>
      <c r="AL774" s="331"/>
    </row>
    <row r="775" ht="15.75" customHeight="1">
      <c r="A775" s="331"/>
      <c r="B775" s="331"/>
      <c r="C775" s="331"/>
      <c r="D775" s="331"/>
      <c r="E775" s="331"/>
      <c r="F775" s="331"/>
      <c r="G775" s="331"/>
      <c r="H775" s="331"/>
      <c r="I775" s="331"/>
      <c r="J775" s="331"/>
      <c r="K775" s="331"/>
      <c r="L775" s="331"/>
      <c r="M775" s="331"/>
      <c r="N775" s="331"/>
      <c r="O775" s="331"/>
      <c r="P775" s="331"/>
      <c r="Q775" s="331"/>
      <c r="R775" s="331"/>
      <c r="S775" s="331"/>
      <c r="T775" s="331"/>
      <c r="U775" s="331"/>
      <c r="V775" s="331"/>
      <c r="W775" s="331"/>
      <c r="X775" s="331"/>
      <c r="Y775" s="331"/>
      <c r="Z775" s="331"/>
      <c r="AA775" s="331"/>
      <c r="AB775" s="331"/>
      <c r="AC775" s="331"/>
      <c r="AD775" s="331"/>
      <c r="AE775" s="331"/>
      <c r="AF775" s="331"/>
      <c r="AG775" s="331"/>
      <c r="AH775" s="331"/>
      <c r="AI775" s="331"/>
      <c r="AJ775" s="331"/>
      <c r="AK775" s="331"/>
      <c r="AL775" s="331"/>
    </row>
    <row r="776" ht="15.75" customHeight="1">
      <c r="A776" s="331"/>
      <c r="B776" s="331"/>
      <c r="C776" s="331"/>
      <c r="D776" s="331"/>
      <c r="E776" s="331"/>
      <c r="F776" s="331"/>
      <c r="G776" s="331"/>
      <c r="H776" s="331"/>
      <c r="I776" s="331"/>
      <c r="J776" s="331"/>
      <c r="K776" s="331"/>
      <c r="L776" s="331"/>
      <c r="M776" s="331"/>
      <c r="N776" s="331"/>
      <c r="O776" s="331"/>
      <c r="P776" s="331"/>
      <c r="Q776" s="331"/>
      <c r="R776" s="331"/>
      <c r="S776" s="331"/>
      <c r="T776" s="331"/>
      <c r="U776" s="331"/>
      <c r="V776" s="331"/>
      <c r="W776" s="331"/>
      <c r="X776" s="331"/>
      <c r="Y776" s="331"/>
      <c r="Z776" s="331"/>
      <c r="AA776" s="331"/>
      <c r="AB776" s="331"/>
      <c r="AC776" s="331"/>
      <c r="AD776" s="331"/>
      <c r="AE776" s="331"/>
      <c r="AF776" s="331"/>
      <c r="AG776" s="331"/>
      <c r="AH776" s="331"/>
      <c r="AI776" s="331"/>
      <c r="AJ776" s="331"/>
      <c r="AK776" s="331"/>
      <c r="AL776" s="331"/>
    </row>
    <row r="777" ht="15.75" customHeight="1">
      <c r="A777" s="331"/>
      <c r="B777" s="331"/>
      <c r="C777" s="331"/>
      <c r="D777" s="331"/>
      <c r="E777" s="331"/>
      <c r="F777" s="331"/>
      <c r="G777" s="331"/>
      <c r="H777" s="331"/>
      <c r="I777" s="331"/>
      <c r="J777" s="331"/>
      <c r="K777" s="331"/>
      <c r="L777" s="331"/>
      <c r="M777" s="331"/>
      <c r="N777" s="331"/>
      <c r="O777" s="331"/>
      <c r="P777" s="331"/>
      <c r="Q777" s="331"/>
      <c r="R777" s="331"/>
      <c r="S777" s="331"/>
      <c r="T777" s="331"/>
      <c r="U777" s="331"/>
      <c r="V777" s="331"/>
      <c r="W777" s="331"/>
      <c r="X777" s="331"/>
      <c r="Y777" s="331"/>
      <c r="Z777" s="331"/>
      <c r="AA777" s="331"/>
      <c r="AB777" s="331"/>
      <c r="AC777" s="331"/>
      <c r="AD777" s="331"/>
      <c r="AE777" s="331"/>
      <c r="AF777" s="331"/>
      <c r="AG777" s="331"/>
      <c r="AH777" s="331"/>
      <c r="AI777" s="331"/>
      <c r="AJ777" s="331"/>
      <c r="AK777" s="331"/>
      <c r="AL777" s="331"/>
    </row>
    <row r="778" ht="15.75" customHeight="1">
      <c r="A778" s="331"/>
      <c r="B778" s="331"/>
      <c r="C778" s="331"/>
      <c r="D778" s="331"/>
      <c r="E778" s="331"/>
      <c r="F778" s="331"/>
      <c r="G778" s="331"/>
      <c r="H778" s="331"/>
      <c r="I778" s="331"/>
      <c r="J778" s="331"/>
      <c r="K778" s="331"/>
      <c r="L778" s="331"/>
      <c r="M778" s="331"/>
      <c r="N778" s="331"/>
      <c r="O778" s="331"/>
      <c r="P778" s="331"/>
      <c r="Q778" s="331"/>
      <c r="R778" s="331"/>
      <c r="S778" s="331"/>
      <c r="T778" s="331"/>
      <c r="U778" s="331"/>
      <c r="V778" s="331"/>
      <c r="W778" s="331"/>
      <c r="X778" s="331"/>
      <c r="Y778" s="331"/>
      <c r="Z778" s="331"/>
      <c r="AA778" s="331"/>
      <c r="AB778" s="331"/>
      <c r="AC778" s="331"/>
      <c r="AD778" s="331"/>
      <c r="AE778" s="331"/>
      <c r="AF778" s="331"/>
      <c r="AG778" s="331"/>
      <c r="AH778" s="331"/>
      <c r="AI778" s="331"/>
      <c r="AJ778" s="331"/>
      <c r="AK778" s="331"/>
      <c r="AL778" s="331"/>
    </row>
    <row r="779" ht="15.75" customHeight="1">
      <c r="A779" s="331"/>
      <c r="B779" s="331"/>
      <c r="C779" s="331"/>
      <c r="D779" s="331"/>
      <c r="E779" s="331"/>
      <c r="F779" s="331"/>
      <c r="G779" s="331"/>
      <c r="H779" s="331"/>
      <c r="I779" s="331"/>
      <c r="J779" s="331"/>
      <c r="K779" s="331"/>
      <c r="L779" s="331"/>
      <c r="M779" s="331"/>
      <c r="N779" s="331"/>
      <c r="O779" s="331"/>
      <c r="P779" s="331"/>
      <c r="Q779" s="331"/>
      <c r="R779" s="331"/>
      <c r="S779" s="331"/>
      <c r="T779" s="331"/>
      <c r="U779" s="331"/>
      <c r="V779" s="331"/>
      <c r="W779" s="331"/>
      <c r="X779" s="331"/>
      <c r="Y779" s="331"/>
      <c r="Z779" s="331"/>
      <c r="AA779" s="331"/>
      <c r="AB779" s="331"/>
      <c r="AC779" s="331"/>
      <c r="AD779" s="331"/>
      <c r="AE779" s="331"/>
      <c r="AF779" s="331"/>
      <c r="AG779" s="331"/>
      <c r="AH779" s="331"/>
      <c r="AI779" s="331"/>
      <c r="AJ779" s="331"/>
      <c r="AK779" s="331"/>
      <c r="AL779" s="331"/>
    </row>
    <row r="780" ht="15.75" customHeight="1">
      <c r="A780" s="331"/>
      <c r="B780" s="331"/>
      <c r="C780" s="331"/>
      <c r="D780" s="331"/>
      <c r="E780" s="331"/>
      <c r="F780" s="331"/>
      <c r="G780" s="331"/>
      <c r="H780" s="331"/>
      <c r="I780" s="331"/>
      <c r="J780" s="331"/>
      <c r="K780" s="331"/>
      <c r="L780" s="331"/>
      <c r="M780" s="331"/>
      <c r="N780" s="331"/>
      <c r="O780" s="331"/>
      <c r="P780" s="331"/>
      <c r="Q780" s="331"/>
      <c r="R780" s="331"/>
      <c r="S780" s="331"/>
      <c r="T780" s="331"/>
      <c r="U780" s="331"/>
      <c r="V780" s="331"/>
      <c r="W780" s="331"/>
      <c r="X780" s="331"/>
      <c r="Y780" s="331"/>
      <c r="Z780" s="331"/>
      <c r="AA780" s="331"/>
      <c r="AB780" s="331"/>
      <c r="AC780" s="331"/>
      <c r="AD780" s="331"/>
      <c r="AE780" s="331"/>
      <c r="AF780" s="331"/>
      <c r="AG780" s="331"/>
      <c r="AH780" s="331"/>
      <c r="AI780" s="331"/>
      <c r="AJ780" s="331"/>
      <c r="AK780" s="331"/>
      <c r="AL780" s="331"/>
    </row>
    <row r="781" ht="15.75" customHeight="1">
      <c r="A781" s="331"/>
      <c r="B781" s="331"/>
      <c r="C781" s="331"/>
      <c r="D781" s="331"/>
      <c r="E781" s="331"/>
      <c r="F781" s="331"/>
      <c r="G781" s="331"/>
      <c r="H781" s="331"/>
      <c r="I781" s="331"/>
      <c r="J781" s="331"/>
      <c r="K781" s="331"/>
      <c r="L781" s="331"/>
      <c r="M781" s="331"/>
      <c r="N781" s="331"/>
      <c r="O781" s="331"/>
      <c r="P781" s="331"/>
      <c r="Q781" s="331"/>
      <c r="R781" s="331"/>
      <c r="S781" s="331"/>
      <c r="T781" s="331"/>
      <c r="U781" s="331"/>
      <c r="V781" s="331"/>
      <c r="W781" s="331"/>
      <c r="X781" s="331"/>
      <c r="Y781" s="331"/>
      <c r="Z781" s="331"/>
      <c r="AA781" s="331"/>
      <c r="AB781" s="331"/>
      <c r="AC781" s="331"/>
      <c r="AD781" s="331"/>
      <c r="AE781" s="331"/>
      <c r="AF781" s="331"/>
      <c r="AG781" s="331"/>
      <c r="AH781" s="331"/>
      <c r="AI781" s="331"/>
      <c r="AJ781" s="331"/>
      <c r="AK781" s="331"/>
      <c r="AL781" s="331"/>
    </row>
    <row r="782" ht="15.75" customHeight="1">
      <c r="A782" s="331"/>
      <c r="B782" s="331"/>
      <c r="C782" s="331"/>
      <c r="D782" s="331"/>
      <c r="E782" s="331"/>
      <c r="F782" s="331"/>
      <c r="G782" s="331"/>
      <c r="H782" s="331"/>
      <c r="I782" s="331"/>
      <c r="J782" s="331"/>
      <c r="K782" s="331"/>
      <c r="L782" s="331"/>
      <c r="M782" s="331"/>
      <c r="N782" s="331"/>
      <c r="O782" s="331"/>
      <c r="P782" s="331"/>
      <c r="Q782" s="331"/>
      <c r="R782" s="331"/>
      <c r="S782" s="331"/>
      <c r="T782" s="331"/>
      <c r="U782" s="331"/>
      <c r="V782" s="331"/>
      <c r="W782" s="331"/>
      <c r="X782" s="331"/>
      <c r="Y782" s="331"/>
      <c r="Z782" s="331"/>
      <c r="AA782" s="331"/>
      <c r="AB782" s="331"/>
      <c r="AC782" s="331"/>
      <c r="AD782" s="331"/>
      <c r="AE782" s="331"/>
      <c r="AF782" s="331"/>
      <c r="AG782" s="331"/>
      <c r="AH782" s="331"/>
      <c r="AI782" s="331"/>
      <c r="AJ782" s="331"/>
      <c r="AK782" s="331"/>
      <c r="AL782" s="331"/>
    </row>
    <row r="783" ht="15.75" customHeight="1">
      <c r="A783" s="331"/>
      <c r="B783" s="331"/>
      <c r="C783" s="331"/>
      <c r="D783" s="331"/>
      <c r="E783" s="331"/>
      <c r="F783" s="331"/>
      <c r="G783" s="331"/>
      <c r="H783" s="331"/>
      <c r="I783" s="331"/>
      <c r="J783" s="331"/>
      <c r="K783" s="331"/>
      <c r="L783" s="331"/>
      <c r="M783" s="331"/>
      <c r="N783" s="331"/>
      <c r="O783" s="331"/>
      <c r="P783" s="331"/>
      <c r="Q783" s="331"/>
      <c r="R783" s="331"/>
      <c r="S783" s="331"/>
      <c r="T783" s="331"/>
      <c r="U783" s="331"/>
      <c r="V783" s="331"/>
      <c r="W783" s="331"/>
      <c r="X783" s="331"/>
      <c r="Y783" s="331"/>
      <c r="Z783" s="331"/>
      <c r="AA783" s="331"/>
      <c r="AB783" s="331"/>
      <c r="AC783" s="331"/>
      <c r="AD783" s="331"/>
      <c r="AE783" s="331"/>
      <c r="AF783" s="331"/>
      <c r="AG783" s="331"/>
      <c r="AH783" s="331"/>
      <c r="AI783" s="331"/>
      <c r="AJ783" s="331"/>
      <c r="AK783" s="331"/>
      <c r="AL783" s="331"/>
    </row>
    <row r="784" ht="15.75" customHeight="1">
      <c r="A784" s="331"/>
      <c r="B784" s="331"/>
      <c r="C784" s="331"/>
      <c r="D784" s="331"/>
      <c r="E784" s="331"/>
      <c r="F784" s="331"/>
      <c r="G784" s="331"/>
      <c r="H784" s="331"/>
      <c r="I784" s="331"/>
      <c r="J784" s="331"/>
      <c r="K784" s="331"/>
      <c r="L784" s="331"/>
      <c r="M784" s="331"/>
      <c r="N784" s="331"/>
      <c r="O784" s="331"/>
      <c r="P784" s="331"/>
      <c r="Q784" s="331"/>
      <c r="R784" s="331"/>
      <c r="S784" s="331"/>
      <c r="T784" s="331"/>
      <c r="U784" s="331"/>
      <c r="V784" s="331"/>
      <c r="W784" s="331"/>
      <c r="X784" s="331"/>
      <c r="Y784" s="331"/>
      <c r="Z784" s="331"/>
      <c r="AA784" s="331"/>
      <c r="AB784" s="331"/>
      <c r="AC784" s="331"/>
      <c r="AD784" s="331"/>
      <c r="AE784" s="331"/>
      <c r="AF784" s="331"/>
      <c r="AG784" s="331"/>
      <c r="AH784" s="331"/>
      <c r="AI784" s="331"/>
      <c r="AJ784" s="331"/>
      <c r="AK784" s="331"/>
      <c r="AL784" s="331"/>
    </row>
    <row r="785" ht="15.75" customHeight="1">
      <c r="A785" s="331"/>
      <c r="B785" s="331"/>
      <c r="C785" s="331"/>
      <c r="D785" s="331"/>
      <c r="E785" s="331"/>
      <c r="F785" s="331"/>
      <c r="G785" s="331"/>
      <c r="H785" s="331"/>
      <c r="I785" s="331"/>
      <c r="J785" s="331"/>
      <c r="K785" s="331"/>
      <c r="L785" s="331"/>
      <c r="M785" s="331"/>
      <c r="N785" s="331"/>
      <c r="O785" s="331"/>
      <c r="P785" s="331"/>
      <c r="Q785" s="331"/>
      <c r="R785" s="331"/>
      <c r="S785" s="331"/>
      <c r="T785" s="331"/>
      <c r="U785" s="331"/>
      <c r="V785" s="331"/>
      <c r="W785" s="331"/>
      <c r="X785" s="331"/>
      <c r="Y785" s="331"/>
      <c r="Z785" s="331"/>
      <c r="AA785" s="331"/>
      <c r="AB785" s="331"/>
      <c r="AC785" s="331"/>
      <c r="AD785" s="331"/>
      <c r="AE785" s="331"/>
      <c r="AF785" s="331"/>
      <c r="AG785" s="331"/>
      <c r="AH785" s="331"/>
      <c r="AI785" s="331"/>
      <c r="AJ785" s="331"/>
      <c r="AK785" s="331"/>
      <c r="AL785" s="331"/>
    </row>
    <row r="786" ht="15.75" customHeight="1">
      <c r="A786" s="331"/>
      <c r="B786" s="331"/>
      <c r="C786" s="331"/>
      <c r="D786" s="331"/>
      <c r="E786" s="331"/>
      <c r="F786" s="331"/>
      <c r="G786" s="331"/>
      <c r="H786" s="331"/>
      <c r="I786" s="331"/>
      <c r="J786" s="331"/>
      <c r="K786" s="331"/>
      <c r="L786" s="331"/>
      <c r="M786" s="331"/>
      <c r="N786" s="331"/>
      <c r="O786" s="331"/>
      <c r="P786" s="331"/>
      <c r="Q786" s="331"/>
      <c r="R786" s="331"/>
      <c r="S786" s="331"/>
      <c r="T786" s="331"/>
      <c r="U786" s="331"/>
      <c r="V786" s="331"/>
      <c r="W786" s="331"/>
      <c r="X786" s="331"/>
      <c r="Y786" s="331"/>
      <c r="Z786" s="331"/>
      <c r="AA786" s="331"/>
      <c r="AB786" s="331"/>
      <c r="AC786" s="331"/>
      <c r="AD786" s="331"/>
      <c r="AE786" s="331"/>
      <c r="AF786" s="331"/>
      <c r="AG786" s="331"/>
      <c r="AH786" s="331"/>
      <c r="AI786" s="331"/>
      <c r="AJ786" s="331"/>
      <c r="AK786" s="331"/>
      <c r="AL786" s="331"/>
    </row>
    <row r="787" ht="15.75" customHeight="1">
      <c r="A787" s="331"/>
      <c r="B787" s="331"/>
      <c r="C787" s="331"/>
      <c r="D787" s="331"/>
      <c r="E787" s="331"/>
      <c r="F787" s="331"/>
      <c r="G787" s="331"/>
      <c r="H787" s="331"/>
      <c r="I787" s="331"/>
      <c r="J787" s="331"/>
      <c r="K787" s="331"/>
      <c r="L787" s="331"/>
      <c r="M787" s="331"/>
      <c r="N787" s="331"/>
      <c r="O787" s="331"/>
      <c r="P787" s="331"/>
      <c r="Q787" s="331"/>
      <c r="R787" s="331"/>
      <c r="S787" s="331"/>
      <c r="T787" s="331"/>
      <c r="U787" s="331"/>
      <c r="V787" s="331"/>
      <c r="W787" s="331"/>
      <c r="X787" s="331"/>
      <c r="Y787" s="331"/>
      <c r="Z787" s="331"/>
      <c r="AA787" s="331"/>
      <c r="AB787" s="331"/>
      <c r="AC787" s="331"/>
      <c r="AD787" s="331"/>
      <c r="AE787" s="331"/>
      <c r="AF787" s="331"/>
      <c r="AG787" s="331"/>
      <c r="AH787" s="331"/>
      <c r="AI787" s="331"/>
      <c r="AJ787" s="331"/>
      <c r="AK787" s="331"/>
      <c r="AL787" s="331"/>
    </row>
    <row r="788" ht="15.75" customHeight="1">
      <c r="A788" s="331"/>
      <c r="B788" s="331"/>
      <c r="C788" s="331"/>
      <c r="D788" s="331"/>
      <c r="E788" s="331"/>
      <c r="F788" s="331"/>
      <c r="G788" s="331"/>
      <c r="H788" s="331"/>
      <c r="I788" s="331"/>
      <c r="J788" s="331"/>
      <c r="K788" s="331"/>
      <c r="L788" s="331"/>
      <c r="M788" s="331"/>
      <c r="N788" s="331"/>
      <c r="O788" s="331"/>
      <c r="P788" s="331"/>
      <c r="Q788" s="331"/>
      <c r="R788" s="331"/>
      <c r="S788" s="331"/>
      <c r="T788" s="331"/>
      <c r="U788" s="331"/>
      <c r="V788" s="331"/>
      <c r="W788" s="331"/>
      <c r="X788" s="331"/>
      <c r="Y788" s="331"/>
      <c r="Z788" s="331"/>
      <c r="AA788" s="331"/>
      <c r="AB788" s="331"/>
      <c r="AC788" s="331"/>
      <c r="AD788" s="331"/>
      <c r="AE788" s="331"/>
      <c r="AF788" s="331"/>
      <c r="AG788" s="331"/>
      <c r="AH788" s="331"/>
      <c r="AI788" s="331"/>
      <c r="AJ788" s="331"/>
      <c r="AK788" s="331"/>
      <c r="AL788" s="331"/>
    </row>
    <row r="789" ht="15.75" customHeight="1">
      <c r="A789" s="331"/>
      <c r="B789" s="331"/>
      <c r="C789" s="331"/>
      <c r="D789" s="331"/>
      <c r="E789" s="331"/>
      <c r="F789" s="331"/>
      <c r="G789" s="331"/>
      <c r="H789" s="331"/>
      <c r="I789" s="331"/>
      <c r="J789" s="331"/>
      <c r="K789" s="331"/>
      <c r="L789" s="331"/>
      <c r="M789" s="331"/>
      <c r="N789" s="331"/>
      <c r="O789" s="331"/>
      <c r="P789" s="331"/>
      <c r="Q789" s="331"/>
      <c r="R789" s="331"/>
      <c r="S789" s="331"/>
      <c r="T789" s="331"/>
      <c r="U789" s="331"/>
      <c r="V789" s="331"/>
      <c r="W789" s="331"/>
      <c r="X789" s="331"/>
      <c r="Y789" s="331"/>
      <c r="Z789" s="331"/>
      <c r="AA789" s="331"/>
      <c r="AB789" s="331"/>
      <c r="AC789" s="331"/>
      <c r="AD789" s="331"/>
      <c r="AE789" s="331"/>
      <c r="AF789" s="331"/>
      <c r="AG789" s="331"/>
      <c r="AH789" s="331"/>
      <c r="AI789" s="331"/>
      <c r="AJ789" s="331"/>
      <c r="AK789" s="331"/>
      <c r="AL789" s="331"/>
    </row>
    <row r="790" ht="15.75" customHeight="1">
      <c r="A790" s="331"/>
      <c r="B790" s="331"/>
      <c r="C790" s="331"/>
      <c r="D790" s="331"/>
      <c r="E790" s="331"/>
      <c r="F790" s="331"/>
      <c r="G790" s="331"/>
      <c r="H790" s="331"/>
      <c r="I790" s="331"/>
      <c r="J790" s="331"/>
      <c r="K790" s="331"/>
      <c r="L790" s="331"/>
      <c r="M790" s="331"/>
      <c r="N790" s="331"/>
      <c r="O790" s="331"/>
      <c r="P790" s="331"/>
      <c r="Q790" s="331"/>
      <c r="R790" s="331"/>
      <c r="S790" s="331"/>
      <c r="T790" s="331"/>
      <c r="U790" s="331"/>
      <c r="V790" s="331"/>
      <c r="W790" s="331"/>
      <c r="X790" s="331"/>
      <c r="Y790" s="331"/>
      <c r="Z790" s="331"/>
      <c r="AA790" s="331"/>
      <c r="AB790" s="331"/>
      <c r="AC790" s="331"/>
      <c r="AD790" s="331"/>
      <c r="AE790" s="331"/>
      <c r="AF790" s="331"/>
      <c r="AG790" s="331"/>
      <c r="AH790" s="331"/>
      <c r="AI790" s="331"/>
      <c r="AJ790" s="331"/>
      <c r="AK790" s="331"/>
      <c r="AL790" s="331"/>
    </row>
    <row r="791" ht="15.75" customHeight="1">
      <c r="A791" s="331"/>
      <c r="B791" s="331"/>
      <c r="C791" s="331"/>
      <c r="D791" s="331"/>
      <c r="E791" s="331"/>
      <c r="F791" s="331"/>
      <c r="G791" s="331"/>
      <c r="H791" s="331"/>
      <c r="I791" s="331"/>
      <c r="J791" s="331"/>
      <c r="K791" s="331"/>
      <c r="L791" s="331"/>
      <c r="M791" s="331"/>
      <c r="N791" s="331"/>
      <c r="O791" s="331"/>
      <c r="P791" s="331"/>
      <c r="Q791" s="331"/>
      <c r="R791" s="331"/>
      <c r="S791" s="331"/>
      <c r="T791" s="331"/>
      <c r="U791" s="331"/>
      <c r="V791" s="331"/>
      <c r="W791" s="331"/>
      <c r="X791" s="331"/>
      <c r="Y791" s="331"/>
      <c r="Z791" s="331"/>
      <c r="AA791" s="331"/>
      <c r="AB791" s="331"/>
      <c r="AC791" s="331"/>
      <c r="AD791" s="331"/>
      <c r="AE791" s="331"/>
      <c r="AF791" s="331"/>
      <c r="AG791" s="331"/>
      <c r="AH791" s="331"/>
      <c r="AI791" s="331"/>
      <c r="AJ791" s="331"/>
      <c r="AK791" s="331"/>
      <c r="AL791" s="331"/>
    </row>
    <row r="792" ht="15.75" customHeight="1">
      <c r="A792" s="331"/>
      <c r="B792" s="331"/>
      <c r="C792" s="331"/>
      <c r="D792" s="331"/>
      <c r="E792" s="331"/>
      <c r="F792" s="331"/>
      <c r="G792" s="331"/>
      <c r="H792" s="331"/>
      <c r="I792" s="331"/>
      <c r="J792" s="331"/>
      <c r="K792" s="331"/>
      <c r="L792" s="331"/>
      <c r="M792" s="331"/>
      <c r="N792" s="331"/>
      <c r="O792" s="331"/>
      <c r="P792" s="331"/>
      <c r="Q792" s="331"/>
      <c r="R792" s="331"/>
      <c r="S792" s="331"/>
      <c r="T792" s="331"/>
      <c r="U792" s="331"/>
      <c r="V792" s="331"/>
      <c r="W792" s="331"/>
      <c r="X792" s="331"/>
      <c r="Y792" s="331"/>
      <c r="Z792" s="331"/>
      <c r="AA792" s="331"/>
      <c r="AB792" s="331"/>
      <c r="AC792" s="331"/>
      <c r="AD792" s="331"/>
      <c r="AE792" s="331"/>
      <c r="AF792" s="331"/>
      <c r="AG792" s="331"/>
      <c r="AH792" s="331"/>
      <c r="AI792" s="331"/>
      <c r="AJ792" s="331"/>
      <c r="AK792" s="331"/>
      <c r="AL792" s="331"/>
    </row>
    <row r="793" ht="15.75" customHeight="1">
      <c r="A793" s="331"/>
      <c r="B793" s="331"/>
      <c r="C793" s="331"/>
      <c r="D793" s="331"/>
      <c r="E793" s="331"/>
      <c r="F793" s="331"/>
      <c r="G793" s="331"/>
      <c r="H793" s="331"/>
      <c r="I793" s="331"/>
      <c r="J793" s="331"/>
      <c r="K793" s="331"/>
      <c r="L793" s="331"/>
      <c r="M793" s="331"/>
      <c r="N793" s="331"/>
      <c r="O793" s="331"/>
      <c r="P793" s="331"/>
      <c r="Q793" s="331"/>
      <c r="R793" s="331"/>
      <c r="S793" s="331"/>
      <c r="T793" s="331"/>
      <c r="U793" s="331"/>
      <c r="V793" s="331"/>
      <c r="W793" s="331"/>
      <c r="X793" s="331"/>
      <c r="Y793" s="331"/>
      <c r="Z793" s="331"/>
      <c r="AA793" s="331"/>
      <c r="AB793" s="331"/>
      <c r="AC793" s="331"/>
      <c r="AD793" s="331"/>
      <c r="AE793" s="331"/>
      <c r="AF793" s="331"/>
      <c r="AG793" s="331"/>
      <c r="AH793" s="331"/>
      <c r="AI793" s="331"/>
      <c r="AJ793" s="331"/>
      <c r="AK793" s="331"/>
      <c r="AL793" s="331"/>
    </row>
    <row r="794" ht="15.75" customHeight="1">
      <c r="A794" s="331"/>
      <c r="B794" s="331"/>
      <c r="C794" s="331"/>
      <c r="D794" s="331"/>
      <c r="E794" s="331"/>
      <c r="F794" s="331"/>
      <c r="G794" s="331"/>
      <c r="H794" s="331"/>
      <c r="I794" s="331"/>
      <c r="J794" s="331"/>
      <c r="K794" s="331"/>
      <c r="L794" s="331"/>
      <c r="M794" s="331"/>
      <c r="N794" s="331"/>
      <c r="O794" s="331"/>
      <c r="P794" s="331"/>
      <c r="Q794" s="331"/>
      <c r="R794" s="331"/>
      <c r="S794" s="331"/>
      <c r="T794" s="331"/>
      <c r="U794" s="331"/>
      <c r="V794" s="331"/>
      <c r="W794" s="331"/>
      <c r="X794" s="331"/>
      <c r="Y794" s="331"/>
      <c r="Z794" s="331"/>
      <c r="AA794" s="331"/>
      <c r="AB794" s="331"/>
      <c r="AC794" s="331"/>
      <c r="AD794" s="331"/>
      <c r="AE794" s="331"/>
      <c r="AF794" s="331"/>
      <c r="AG794" s="331"/>
      <c r="AH794" s="331"/>
      <c r="AI794" s="331"/>
      <c r="AJ794" s="331"/>
      <c r="AK794" s="331"/>
      <c r="AL794" s="331"/>
    </row>
    <row r="795" ht="15.75" customHeight="1">
      <c r="A795" s="331"/>
      <c r="B795" s="331"/>
      <c r="C795" s="331"/>
      <c r="D795" s="331"/>
      <c r="E795" s="331"/>
      <c r="F795" s="331"/>
      <c r="G795" s="331"/>
      <c r="H795" s="331"/>
      <c r="I795" s="331"/>
      <c r="J795" s="331"/>
      <c r="K795" s="331"/>
      <c r="L795" s="331"/>
      <c r="M795" s="331"/>
      <c r="N795" s="331"/>
      <c r="O795" s="331"/>
      <c r="P795" s="331"/>
      <c r="Q795" s="331"/>
      <c r="R795" s="331"/>
      <c r="S795" s="331"/>
      <c r="T795" s="331"/>
      <c r="U795" s="331"/>
      <c r="V795" s="331"/>
      <c r="W795" s="331"/>
      <c r="X795" s="331"/>
      <c r="Y795" s="331"/>
      <c r="Z795" s="331"/>
      <c r="AA795" s="331"/>
      <c r="AB795" s="331"/>
      <c r="AC795" s="331"/>
      <c r="AD795" s="331"/>
      <c r="AE795" s="331"/>
      <c r="AF795" s="331"/>
      <c r="AG795" s="331"/>
      <c r="AH795" s="331"/>
      <c r="AI795" s="331"/>
      <c r="AJ795" s="331"/>
      <c r="AK795" s="331"/>
      <c r="AL795" s="331"/>
    </row>
    <row r="796" ht="15.75" customHeight="1">
      <c r="A796" s="331"/>
      <c r="B796" s="331"/>
      <c r="C796" s="331"/>
      <c r="D796" s="331"/>
      <c r="E796" s="331"/>
      <c r="F796" s="331"/>
      <c r="G796" s="331"/>
      <c r="H796" s="331"/>
      <c r="I796" s="331"/>
      <c r="J796" s="331"/>
      <c r="K796" s="331"/>
      <c r="L796" s="331"/>
      <c r="M796" s="331"/>
      <c r="N796" s="331"/>
      <c r="O796" s="331"/>
      <c r="P796" s="331"/>
      <c r="Q796" s="331"/>
      <c r="R796" s="331"/>
      <c r="S796" s="331"/>
      <c r="T796" s="331"/>
      <c r="U796" s="331"/>
      <c r="V796" s="331"/>
      <c r="W796" s="331"/>
      <c r="X796" s="331"/>
      <c r="Y796" s="331"/>
      <c r="Z796" s="331"/>
      <c r="AA796" s="331"/>
      <c r="AB796" s="331"/>
      <c r="AC796" s="331"/>
      <c r="AD796" s="331"/>
      <c r="AE796" s="331"/>
      <c r="AF796" s="331"/>
      <c r="AG796" s="331"/>
      <c r="AH796" s="331"/>
      <c r="AI796" s="331"/>
      <c r="AJ796" s="331"/>
      <c r="AK796" s="331"/>
      <c r="AL796" s="331"/>
    </row>
    <row r="797" ht="15.75" customHeight="1">
      <c r="A797" s="331"/>
      <c r="B797" s="331"/>
      <c r="C797" s="331"/>
      <c r="D797" s="331"/>
      <c r="E797" s="331"/>
      <c r="F797" s="331"/>
      <c r="G797" s="331"/>
      <c r="H797" s="331"/>
      <c r="I797" s="331"/>
      <c r="J797" s="331"/>
      <c r="K797" s="331"/>
      <c r="L797" s="331"/>
      <c r="M797" s="331"/>
      <c r="N797" s="331"/>
      <c r="O797" s="331"/>
      <c r="P797" s="331"/>
      <c r="Q797" s="331"/>
      <c r="R797" s="331"/>
      <c r="S797" s="331"/>
      <c r="T797" s="331"/>
      <c r="U797" s="331"/>
      <c r="V797" s="331"/>
      <c r="W797" s="331"/>
      <c r="X797" s="331"/>
      <c r="Y797" s="331"/>
      <c r="Z797" s="331"/>
      <c r="AA797" s="331"/>
      <c r="AB797" s="331"/>
      <c r="AC797" s="331"/>
      <c r="AD797" s="331"/>
      <c r="AE797" s="331"/>
      <c r="AF797" s="331"/>
      <c r="AG797" s="331"/>
      <c r="AH797" s="331"/>
      <c r="AI797" s="331"/>
      <c r="AJ797" s="331"/>
      <c r="AK797" s="331"/>
      <c r="AL797" s="331"/>
    </row>
    <row r="798" ht="15.75" customHeight="1">
      <c r="A798" s="331"/>
      <c r="B798" s="331"/>
      <c r="C798" s="331"/>
      <c r="D798" s="331"/>
      <c r="E798" s="331"/>
      <c r="F798" s="331"/>
      <c r="G798" s="331"/>
      <c r="H798" s="331"/>
      <c r="I798" s="331"/>
      <c r="J798" s="331"/>
      <c r="K798" s="331"/>
      <c r="L798" s="331"/>
      <c r="M798" s="331"/>
      <c r="N798" s="331"/>
      <c r="O798" s="331"/>
      <c r="P798" s="331"/>
      <c r="Q798" s="331"/>
      <c r="R798" s="331"/>
      <c r="S798" s="331"/>
      <c r="T798" s="331"/>
      <c r="U798" s="331"/>
      <c r="V798" s="331"/>
      <c r="W798" s="331"/>
      <c r="X798" s="331"/>
      <c r="Y798" s="331"/>
      <c r="Z798" s="331"/>
      <c r="AA798" s="331"/>
      <c r="AB798" s="331"/>
      <c r="AC798" s="331"/>
      <c r="AD798" s="331"/>
      <c r="AE798" s="331"/>
      <c r="AF798" s="331"/>
      <c r="AG798" s="331"/>
      <c r="AH798" s="331"/>
      <c r="AI798" s="331"/>
      <c r="AJ798" s="331"/>
      <c r="AK798" s="331"/>
      <c r="AL798" s="331"/>
    </row>
    <row r="799" ht="15.75" customHeight="1">
      <c r="A799" s="331"/>
      <c r="B799" s="331"/>
      <c r="C799" s="331"/>
      <c r="D799" s="331"/>
      <c r="E799" s="331"/>
      <c r="F799" s="331"/>
      <c r="G799" s="331"/>
      <c r="H799" s="331"/>
      <c r="I799" s="331"/>
      <c r="J799" s="331"/>
      <c r="K799" s="331"/>
      <c r="L799" s="331"/>
      <c r="M799" s="331"/>
      <c r="N799" s="331"/>
      <c r="O799" s="331"/>
      <c r="P799" s="331"/>
      <c r="Q799" s="331"/>
      <c r="R799" s="331"/>
      <c r="S799" s="331"/>
      <c r="T799" s="331"/>
      <c r="U799" s="331"/>
      <c r="V799" s="331"/>
      <c r="W799" s="331"/>
      <c r="X799" s="331"/>
      <c r="Y799" s="331"/>
      <c r="Z799" s="331"/>
      <c r="AA799" s="331"/>
      <c r="AB799" s="331"/>
      <c r="AC799" s="331"/>
      <c r="AD799" s="331"/>
      <c r="AE799" s="331"/>
      <c r="AF799" s="331"/>
      <c r="AG799" s="331"/>
      <c r="AH799" s="331"/>
      <c r="AI799" s="331"/>
      <c r="AJ799" s="331"/>
      <c r="AK799" s="331"/>
      <c r="AL799" s="331"/>
    </row>
    <row r="800" ht="15.75" customHeight="1">
      <c r="A800" s="331"/>
      <c r="B800" s="331"/>
      <c r="C800" s="331"/>
      <c r="D800" s="331"/>
      <c r="E800" s="331"/>
      <c r="F800" s="331"/>
      <c r="G800" s="331"/>
      <c r="H800" s="331"/>
      <c r="I800" s="331"/>
      <c r="J800" s="331"/>
      <c r="K800" s="331"/>
      <c r="L800" s="331"/>
      <c r="M800" s="331"/>
      <c r="N800" s="331"/>
      <c r="O800" s="331"/>
      <c r="P800" s="331"/>
      <c r="Q800" s="331"/>
      <c r="R800" s="331"/>
      <c r="S800" s="331"/>
      <c r="T800" s="331"/>
      <c r="U800" s="331"/>
      <c r="V800" s="331"/>
      <c r="W800" s="331"/>
      <c r="X800" s="331"/>
      <c r="Y800" s="331"/>
      <c r="Z800" s="331"/>
      <c r="AA800" s="331"/>
      <c r="AB800" s="331"/>
      <c r="AC800" s="331"/>
      <c r="AD800" s="331"/>
      <c r="AE800" s="331"/>
      <c r="AF800" s="331"/>
      <c r="AG800" s="331"/>
      <c r="AH800" s="331"/>
      <c r="AI800" s="331"/>
      <c r="AJ800" s="331"/>
      <c r="AK800" s="331"/>
      <c r="AL800" s="331"/>
    </row>
    <row r="801" ht="15.75" customHeight="1">
      <c r="A801" s="331"/>
      <c r="B801" s="331"/>
      <c r="C801" s="331"/>
      <c r="D801" s="331"/>
      <c r="E801" s="331"/>
      <c r="F801" s="331"/>
      <c r="G801" s="331"/>
      <c r="H801" s="331"/>
      <c r="I801" s="331"/>
      <c r="J801" s="331"/>
      <c r="K801" s="331"/>
      <c r="L801" s="331"/>
      <c r="M801" s="331"/>
      <c r="N801" s="331"/>
      <c r="O801" s="331"/>
      <c r="P801" s="331"/>
      <c r="Q801" s="331"/>
      <c r="R801" s="331"/>
      <c r="S801" s="331"/>
      <c r="T801" s="331"/>
      <c r="U801" s="331"/>
      <c r="V801" s="331"/>
      <c r="W801" s="331"/>
      <c r="X801" s="331"/>
      <c r="Y801" s="331"/>
      <c r="Z801" s="331"/>
      <c r="AA801" s="331"/>
      <c r="AB801" s="331"/>
      <c r="AC801" s="331"/>
      <c r="AD801" s="331"/>
      <c r="AE801" s="331"/>
      <c r="AF801" s="331"/>
      <c r="AG801" s="331"/>
      <c r="AH801" s="331"/>
      <c r="AI801" s="331"/>
      <c r="AJ801" s="331"/>
      <c r="AK801" s="331"/>
      <c r="AL801" s="331"/>
    </row>
    <row r="802" ht="15.75" customHeight="1">
      <c r="A802" s="331"/>
      <c r="B802" s="331"/>
      <c r="C802" s="331"/>
      <c r="D802" s="331"/>
      <c r="E802" s="331"/>
      <c r="F802" s="331"/>
      <c r="G802" s="331"/>
      <c r="H802" s="331"/>
      <c r="I802" s="331"/>
      <c r="J802" s="331"/>
      <c r="K802" s="331"/>
      <c r="L802" s="331"/>
      <c r="M802" s="331"/>
      <c r="N802" s="331"/>
      <c r="O802" s="331"/>
      <c r="P802" s="331"/>
      <c r="Q802" s="331"/>
      <c r="R802" s="331"/>
      <c r="S802" s="331"/>
      <c r="T802" s="331"/>
      <c r="U802" s="331"/>
      <c r="V802" s="331"/>
      <c r="W802" s="331"/>
      <c r="X802" s="331"/>
      <c r="Y802" s="331"/>
      <c r="Z802" s="331"/>
      <c r="AA802" s="331"/>
      <c r="AB802" s="331"/>
      <c r="AC802" s="331"/>
      <c r="AD802" s="331"/>
      <c r="AE802" s="331"/>
      <c r="AF802" s="331"/>
      <c r="AG802" s="331"/>
      <c r="AH802" s="331"/>
      <c r="AI802" s="331"/>
      <c r="AJ802" s="331"/>
      <c r="AK802" s="331"/>
      <c r="AL802" s="331"/>
    </row>
    <row r="803" ht="15.75" customHeight="1">
      <c r="A803" s="331"/>
      <c r="B803" s="331"/>
      <c r="C803" s="331"/>
      <c r="D803" s="331"/>
      <c r="E803" s="331"/>
      <c r="F803" s="331"/>
      <c r="G803" s="331"/>
      <c r="H803" s="331"/>
      <c r="I803" s="331"/>
      <c r="J803" s="331"/>
      <c r="K803" s="331"/>
      <c r="L803" s="331"/>
      <c r="M803" s="331"/>
      <c r="N803" s="331"/>
      <c r="O803" s="331"/>
      <c r="P803" s="331"/>
      <c r="Q803" s="331"/>
      <c r="R803" s="331"/>
      <c r="S803" s="331"/>
      <c r="T803" s="331"/>
      <c r="U803" s="331"/>
      <c r="V803" s="331"/>
      <c r="W803" s="331"/>
      <c r="X803" s="331"/>
      <c r="Y803" s="331"/>
      <c r="Z803" s="331"/>
      <c r="AA803" s="331"/>
      <c r="AB803" s="331"/>
      <c r="AC803" s="331"/>
      <c r="AD803" s="331"/>
      <c r="AE803" s="331"/>
      <c r="AF803" s="331"/>
      <c r="AG803" s="331"/>
      <c r="AH803" s="331"/>
      <c r="AI803" s="331"/>
      <c r="AJ803" s="331"/>
      <c r="AK803" s="331"/>
      <c r="AL803" s="331"/>
    </row>
    <row r="804" ht="15.75" customHeight="1">
      <c r="A804" s="331"/>
      <c r="B804" s="331"/>
      <c r="C804" s="331"/>
      <c r="D804" s="331"/>
      <c r="E804" s="331"/>
      <c r="F804" s="331"/>
      <c r="G804" s="331"/>
      <c r="H804" s="331"/>
      <c r="I804" s="331"/>
      <c r="J804" s="331"/>
      <c r="K804" s="331"/>
      <c r="L804" s="331"/>
      <c r="M804" s="331"/>
      <c r="N804" s="331"/>
      <c r="O804" s="331"/>
      <c r="P804" s="331"/>
      <c r="Q804" s="331"/>
      <c r="R804" s="331"/>
      <c r="S804" s="331"/>
      <c r="T804" s="331"/>
      <c r="U804" s="331"/>
      <c r="V804" s="331"/>
      <c r="W804" s="331"/>
      <c r="X804" s="331"/>
      <c r="Y804" s="331"/>
      <c r="Z804" s="331"/>
      <c r="AA804" s="331"/>
      <c r="AB804" s="331"/>
      <c r="AC804" s="331"/>
      <c r="AD804" s="331"/>
      <c r="AE804" s="331"/>
      <c r="AF804" s="331"/>
      <c r="AG804" s="331"/>
      <c r="AH804" s="331"/>
      <c r="AI804" s="331"/>
      <c r="AJ804" s="331"/>
      <c r="AK804" s="331"/>
      <c r="AL804" s="331"/>
    </row>
    <row r="805" ht="15.75" customHeight="1">
      <c r="A805" s="331"/>
      <c r="B805" s="331"/>
      <c r="C805" s="331"/>
      <c r="D805" s="331"/>
      <c r="E805" s="331"/>
      <c r="F805" s="331"/>
      <c r="G805" s="331"/>
      <c r="H805" s="331"/>
      <c r="I805" s="331"/>
      <c r="J805" s="331"/>
      <c r="K805" s="331"/>
      <c r="L805" s="331"/>
      <c r="M805" s="331"/>
      <c r="N805" s="331"/>
      <c r="O805" s="331"/>
      <c r="P805" s="331"/>
      <c r="Q805" s="331"/>
      <c r="R805" s="331"/>
      <c r="S805" s="331"/>
      <c r="T805" s="331"/>
      <c r="U805" s="331"/>
      <c r="V805" s="331"/>
      <c r="W805" s="331"/>
      <c r="X805" s="331"/>
      <c r="Y805" s="331"/>
      <c r="Z805" s="331"/>
      <c r="AA805" s="331"/>
      <c r="AB805" s="331"/>
      <c r="AC805" s="331"/>
      <c r="AD805" s="331"/>
      <c r="AE805" s="331"/>
      <c r="AF805" s="331"/>
      <c r="AG805" s="331"/>
      <c r="AH805" s="331"/>
      <c r="AI805" s="331"/>
      <c r="AJ805" s="331"/>
      <c r="AK805" s="331"/>
      <c r="AL805" s="331"/>
    </row>
    <row r="806" ht="15.75" customHeight="1">
      <c r="A806" s="331"/>
      <c r="B806" s="331"/>
      <c r="C806" s="331"/>
      <c r="D806" s="331"/>
      <c r="E806" s="331"/>
      <c r="F806" s="331"/>
      <c r="G806" s="331"/>
      <c r="H806" s="331"/>
      <c r="I806" s="331"/>
      <c r="J806" s="331"/>
      <c r="K806" s="331"/>
      <c r="L806" s="331"/>
      <c r="M806" s="331"/>
      <c r="N806" s="331"/>
      <c r="O806" s="331"/>
      <c r="P806" s="331"/>
      <c r="Q806" s="331"/>
      <c r="R806" s="331"/>
      <c r="S806" s="331"/>
      <c r="T806" s="331"/>
      <c r="U806" s="331"/>
      <c r="V806" s="331"/>
      <c r="W806" s="331"/>
      <c r="X806" s="331"/>
      <c r="Y806" s="331"/>
      <c r="Z806" s="331"/>
      <c r="AA806" s="331"/>
      <c r="AB806" s="331"/>
      <c r="AC806" s="331"/>
      <c r="AD806" s="331"/>
      <c r="AE806" s="331"/>
      <c r="AF806" s="331"/>
      <c r="AG806" s="331"/>
      <c r="AH806" s="331"/>
      <c r="AI806" s="331"/>
      <c r="AJ806" s="331"/>
      <c r="AK806" s="331"/>
      <c r="AL806" s="331"/>
    </row>
    <row r="807" ht="15.75" customHeight="1">
      <c r="A807" s="331"/>
      <c r="B807" s="331"/>
      <c r="C807" s="331"/>
      <c r="D807" s="331"/>
      <c r="E807" s="331"/>
      <c r="F807" s="331"/>
      <c r="G807" s="331"/>
      <c r="H807" s="331"/>
      <c r="I807" s="331"/>
      <c r="J807" s="331"/>
      <c r="K807" s="331"/>
      <c r="L807" s="331"/>
      <c r="M807" s="331"/>
      <c r="N807" s="331"/>
      <c r="O807" s="331"/>
      <c r="P807" s="331"/>
      <c r="Q807" s="331"/>
      <c r="R807" s="331"/>
      <c r="S807" s="331"/>
      <c r="T807" s="331"/>
      <c r="U807" s="331"/>
      <c r="V807" s="331"/>
      <c r="W807" s="331"/>
      <c r="X807" s="331"/>
      <c r="Y807" s="331"/>
      <c r="Z807" s="331"/>
      <c r="AA807" s="331"/>
      <c r="AB807" s="331"/>
      <c r="AC807" s="331"/>
      <c r="AD807" s="331"/>
      <c r="AE807" s="331"/>
      <c r="AF807" s="331"/>
      <c r="AG807" s="331"/>
      <c r="AH807" s="331"/>
      <c r="AI807" s="331"/>
      <c r="AJ807" s="331"/>
      <c r="AK807" s="331"/>
      <c r="AL807" s="331"/>
    </row>
    <row r="808" ht="15.75" customHeight="1">
      <c r="A808" s="331"/>
      <c r="B808" s="331"/>
      <c r="C808" s="331"/>
      <c r="D808" s="331"/>
      <c r="E808" s="331"/>
      <c r="F808" s="331"/>
      <c r="G808" s="331"/>
      <c r="H808" s="331"/>
      <c r="I808" s="331"/>
      <c r="J808" s="331"/>
      <c r="K808" s="331"/>
      <c r="L808" s="331"/>
      <c r="M808" s="331"/>
      <c r="N808" s="331"/>
      <c r="O808" s="331"/>
      <c r="P808" s="331"/>
      <c r="Q808" s="331"/>
      <c r="R808" s="331"/>
      <c r="S808" s="331"/>
      <c r="T808" s="331"/>
      <c r="U808" s="331"/>
      <c r="V808" s="331"/>
      <c r="W808" s="331"/>
      <c r="X808" s="331"/>
      <c r="Y808" s="331"/>
      <c r="Z808" s="331"/>
      <c r="AA808" s="331"/>
      <c r="AB808" s="331"/>
      <c r="AC808" s="331"/>
      <c r="AD808" s="331"/>
      <c r="AE808" s="331"/>
      <c r="AF808" s="331"/>
      <c r="AG808" s="331"/>
      <c r="AH808" s="331"/>
      <c r="AI808" s="331"/>
      <c r="AJ808" s="331"/>
      <c r="AK808" s="331"/>
      <c r="AL808" s="331"/>
    </row>
    <row r="809" ht="15.75" customHeight="1">
      <c r="A809" s="331"/>
      <c r="B809" s="331"/>
      <c r="C809" s="331"/>
      <c r="D809" s="331"/>
      <c r="E809" s="331"/>
      <c r="F809" s="331"/>
      <c r="G809" s="331"/>
      <c r="H809" s="331"/>
      <c r="I809" s="331"/>
      <c r="J809" s="331"/>
      <c r="K809" s="331"/>
      <c r="L809" s="331"/>
      <c r="M809" s="331"/>
      <c r="N809" s="331"/>
      <c r="O809" s="331"/>
      <c r="P809" s="331"/>
      <c r="Q809" s="331"/>
      <c r="R809" s="331"/>
      <c r="S809" s="331"/>
      <c r="T809" s="331"/>
      <c r="U809" s="331"/>
      <c r="V809" s="331"/>
      <c r="W809" s="331"/>
      <c r="X809" s="331"/>
      <c r="Y809" s="331"/>
      <c r="Z809" s="331"/>
      <c r="AA809" s="331"/>
      <c r="AB809" s="331"/>
      <c r="AC809" s="331"/>
      <c r="AD809" s="331"/>
      <c r="AE809" s="331"/>
      <c r="AF809" s="331"/>
      <c r="AG809" s="331"/>
      <c r="AH809" s="331"/>
      <c r="AI809" s="331"/>
      <c r="AJ809" s="331"/>
      <c r="AK809" s="331"/>
      <c r="AL809" s="331"/>
    </row>
    <row r="810" ht="15.75" customHeight="1">
      <c r="A810" s="331"/>
      <c r="B810" s="331"/>
      <c r="C810" s="331"/>
      <c r="D810" s="331"/>
      <c r="E810" s="331"/>
      <c r="F810" s="331"/>
      <c r="G810" s="331"/>
      <c r="H810" s="331"/>
      <c r="I810" s="331"/>
      <c r="J810" s="331"/>
      <c r="K810" s="331"/>
      <c r="L810" s="331"/>
      <c r="M810" s="331"/>
      <c r="N810" s="331"/>
      <c r="O810" s="331"/>
      <c r="P810" s="331"/>
      <c r="Q810" s="331"/>
      <c r="R810" s="331"/>
      <c r="S810" s="331"/>
      <c r="T810" s="331"/>
      <c r="U810" s="331"/>
      <c r="V810" s="331"/>
      <c r="W810" s="331"/>
      <c r="X810" s="331"/>
      <c r="Y810" s="331"/>
      <c r="Z810" s="331"/>
      <c r="AA810" s="331"/>
      <c r="AB810" s="331"/>
      <c r="AC810" s="331"/>
      <c r="AD810" s="331"/>
      <c r="AE810" s="331"/>
      <c r="AF810" s="331"/>
      <c r="AG810" s="331"/>
      <c r="AH810" s="331"/>
      <c r="AI810" s="331"/>
      <c r="AJ810" s="331"/>
      <c r="AK810" s="331"/>
      <c r="AL810" s="331"/>
    </row>
    <row r="811" ht="15.75" customHeight="1">
      <c r="A811" s="331"/>
      <c r="B811" s="331"/>
      <c r="C811" s="331"/>
      <c r="D811" s="331"/>
      <c r="E811" s="331"/>
      <c r="F811" s="331"/>
      <c r="G811" s="331"/>
      <c r="H811" s="331"/>
      <c r="I811" s="331"/>
      <c r="J811" s="331"/>
      <c r="K811" s="331"/>
      <c r="L811" s="331"/>
      <c r="M811" s="331"/>
      <c r="N811" s="331"/>
      <c r="O811" s="331"/>
      <c r="P811" s="331"/>
      <c r="Q811" s="331"/>
      <c r="R811" s="331"/>
      <c r="S811" s="331"/>
      <c r="T811" s="331"/>
      <c r="U811" s="331"/>
      <c r="V811" s="331"/>
      <c r="W811" s="331"/>
      <c r="X811" s="331"/>
      <c r="Y811" s="331"/>
      <c r="Z811" s="331"/>
      <c r="AA811" s="331"/>
      <c r="AB811" s="331"/>
      <c r="AC811" s="331"/>
      <c r="AD811" s="331"/>
      <c r="AE811" s="331"/>
      <c r="AF811" s="331"/>
      <c r="AG811" s="331"/>
      <c r="AH811" s="331"/>
      <c r="AI811" s="331"/>
      <c r="AJ811" s="331"/>
      <c r="AK811" s="331"/>
      <c r="AL811" s="331"/>
    </row>
    <row r="812" ht="15.75" customHeight="1">
      <c r="A812" s="331"/>
      <c r="B812" s="331"/>
      <c r="C812" s="331"/>
      <c r="D812" s="331"/>
      <c r="E812" s="331"/>
      <c r="F812" s="331"/>
      <c r="G812" s="331"/>
      <c r="H812" s="331"/>
      <c r="I812" s="331"/>
      <c r="J812" s="331"/>
      <c r="K812" s="331"/>
      <c r="L812" s="331"/>
      <c r="M812" s="331"/>
      <c r="N812" s="331"/>
      <c r="O812" s="331"/>
      <c r="P812" s="331"/>
      <c r="Q812" s="331"/>
      <c r="R812" s="331"/>
      <c r="S812" s="331"/>
      <c r="T812" s="331"/>
      <c r="U812" s="331"/>
      <c r="V812" s="331"/>
      <c r="W812" s="331"/>
      <c r="X812" s="331"/>
      <c r="Y812" s="331"/>
      <c r="Z812" s="331"/>
      <c r="AA812" s="331"/>
      <c r="AB812" s="331"/>
      <c r="AC812" s="331"/>
      <c r="AD812" s="331"/>
      <c r="AE812" s="331"/>
      <c r="AF812" s="331"/>
      <c r="AG812" s="331"/>
      <c r="AH812" s="331"/>
      <c r="AI812" s="331"/>
      <c r="AJ812" s="331"/>
      <c r="AK812" s="331"/>
      <c r="AL812" s="331"/>
    </row>
    <row r="813" ht="15.75" customHeight="1">
      <c r="A813" s="331"/>
      <c r="B813" s="331"/>
      <c r="C813" s="331"/>
      <c r="D813" s="331"/>
      <c r="E813" s="331"/>
      <c r="F813" s="331"/>
      <c r="G813" s="331"/>
      <c r="H813" s="331"/>
      <c r="I813" s="331"/>
      <c r="J813" s="331"/>
      <c r="K813" s="331"/>
      <c r="L813" s="331"/>
      <c r="M813" s="331"/>
      <c r="N813" s="331"/>
      <c r="O813" s="331"/>
      <c r="P813" s="331"/>
      <c r="Q813" s="331"/>
      <c r="R813" s="331"/>
      <c r="S813" s="331"/>
      <c r="T813" s="331"/>
      <c r="U813" s="331"/>
      <c r="V813" s="331"/>
      <c r="W813" s="331"/>
      <c r="X813" s="331"/>
      <c r="Y813" s="331"/>
      <c r="Z813" s="331"/>
      <c r="AA813" s="331"/>
      <c r="AB813" s="331"/>
      <c r="AC813" s="331"/>
      <c r="AD813" s="331"/>
      <c r="AE813" s="331"/>
      <c r="AF813" s="331"/>
      <c r="AG813" s="331"/>
      <c r="AH813" s="331"/>
      <c r="AI813" s="331"/>
      <c r="AJ813" s="331"/>
      <c r="AK813" s="331"/>
      <c r="AL813" s="331"/>
    </row>
    <row r="814" ht="15.75" customHeight="1">
      <c r="A814" s="331"/>
      <c r="B814" s="331"/>
      <c r="C814" s="331"/>
      <c r="D814" s="331"/>
      <c r="E814" s="331"/>
      <c r="F814" s="331"/>
      <c r="G814" s="331"/>
      <c r="H814" s="331"/>
      <c r="I814" s="331"/>
      <c r="J814" s="331"/>
      <c r="K814" s="331"/>
      <c r="L814" s="331"/>
      <c r="M814" s="331"/>
      <c r="N814" s="331"/>
      <c r="O814" s="331"/>
      <c r="P814" s="331"/>
      <c r="Q814" s="331"/>
      <c r="R814" s="331"/>
      <c r="S814" s="331"/>
      <c r="T814" s="331"/>
      <c r="U814" s="331"/>
      <c r="V814" s="331"/>
      <c r="W814" s="331"/>
      <c r="X814" s="331"/>
      <c r="Y814" s="331"/>
      <c r="Z814" s="331"/>
      <c r="AA814" s="331"/>
      <c r="AB814" s="331"/>
      <c r="AC814" s="331"/>
      <c r="AD814" s="331"/>
      <c r="AE814" s="331"/>
      <c r="AF814" s="331"/>
      <c r="AG814" s="331"/>
      <c r="AH814" s="331"/>
      <c r="AI814" s="331"/>
      <c r="AJ814" s="331"/>
      <c r="AK814" s="331"/>
      <c r="AL814" s="331"/>
    </row>
    <row r="815" ht="15.75" customHeight="1">
      <c r="A815" s="331"/>
      <c r="B815" s="331"/>
      <c r="C815" s="331"/>
      <c r="D815" s="331"/>
      <c r="E815" s="331"/>
      <c r="F815" s="331"/>
      <c r="G815" s="331"/>
      <c r="H815" s="331"/>
      <c r="I815" s="331"/>
      <c r="J815" s="331"/>
      <c r="K815" s="331"/>
      <c r="L815" s="331"/>
      <c r="M815" s="331"/>
      <c r="N815" s="331"/>
      <c r="O815" s="331"/>
      <c r="P815" s="331"/>
      <c r="Q815" s="331"/>
      <c r="R815" s="331"/>
      <c r="S815" s="331"/>
      <c r="T815" s="331"/>
      <c r="U815" s="331"/>
      <c r="V815" s="331"/>
      <c r="W815" s="331"/>
      <c r="X815" s="331"/>
      <c r="Y815" s="331"/>
      <c r="Z815" s="331"/>
      <c r="AA815" s="331"/>
      <c r="AB815" s="331"/>
      <c r="AC815" s="331"/>
      <c r="AD815" s="331"/>
      <c r="AE815" s="331"/>
      <c r="AF815" s="331"/>
      <c r="AG815" s="331"/>
      <c r="AH815" s="331"/>
      <c r="AI815" s="331"/>
      <c r="AJ815" s="331"/>
      <c r="AK815" s="331"/>
      <c r="AL815" s="331"/>
    </row>
    <row r="816" ht="15.75" customHeight="1">
      <c r="A816" s="331"/>
      <c r="B816" s="331"/>
      <c r="C816" s="331"/>
      <c r="D816" s="331"/>
      <c r="E816" s="331"/>
      <c r="F816" s="331"/>
      <c r="G816" s="331"/>
      <c r="H816" s="331"/>
      <c r="I816" s="331"/>
      <c r="J816" s="331"/>
      <c r="K816" s="331"/>
      <c r="L816" s="331"/>
      <c r="M816" s="331"/>
      <c r="N816" s="331"/>
      <c r="O816" s="331"/>
      <c r="P816" s="331"/>
      <c r="Q816" s="331"/>
      <c r="R816" s="331"/>
      <c r="S816" s="331"/>
      <c r="T816" s="331"/>
      <c r="U816" s="331"/>
      <c r="V816" s="331"/>
      <c r="W816" s="331"/>
      <c r="X816" s="331"/>
      <c r="Y816" s="331"/>
      <c r="Z816" s="331"/>
      <c r="AA816" s="331"/>
      <c r="AB816" s="331"/>
      <c r="AC816" s="331"/>
      <c r="AD816" s="331"/>
      <c r="AE816" s="331"/>
      <c r="AF816" s="331"/>
      <c r="AG816" s="331"/>
      <c r="AH816" s="331"/>
      <c r="AI816" s="331"/>
      <c r="AJ816" s="331"/>
      <c r="AK816" s="331"/>
      <c r="AL816" s="331"/>
    </row>
    <row r="817" ht="15.75" customHeight="1">
      <c r="A817" s="331"/>
      <c r="B817" s="331"/>
      <c r="C817" s="331"/>
      <c r="D817" s="331"/>
      <c r="E817" s="331"/>
      <c r="F817" s="331"/>
      <c r="G817" s="331"/>
      <c r="H817" s="331"/>
      <c r="I817" s="331"/>
      <c r="J817" s="331"/>
      <c r="K817" s="331"/>
      <c r="L817" s="331"/>
      <c r="M817" s="331"/>
      <c r="N817" s="331"/>
      <c r="O817" s="331"/>
      <c r="P817" s="331"/>
      <c r="Q817" s="331"/>
      <c r="R817" s="331"/>
      <c r="S817" s="331"/>
      <c r="T817" s="331"/>
      <c r="U817" s="331"/>
      <c r="V817" s="331"/>
      <c r="W817" s="331"/>
      <c r="X817" s="331"/>
      <c r="Y817" s="331"/>
      <c r="Z817" s="331"/>
      <c r="AA817" s="331"/>
      <c r="AB817" s="331"/>
      <c r="AC817" s="331"/>
      <c r="AD817" s="331"/>
      <c r="AE817" s="331"/>
      <c r="AF817" s="331"/>
      <c r="AG817" s="331"/>
      <c r="AH817" s="331"/>
      <c r="AI817" s="331"/>
      <c r="AJ817" s="331"/>
      <c r="AK817" s="331"/>
      <c r="AL817" s="331"/>
    </row>
    <row r="818" ht="15.75" customHeight="1">
      <c r="A818" s="331"/>
      <c r="B818" s="331"/>
      <c r="C818" s="331"/>
      <c r="D818" s="331"/>
      <c r="E818" s="331"/>
      <c r="F818" s="331"/>
      <c r="G818" s="331"/>
      <c r="H818" s="331"/>
      <c r="I818" s="331"/>
      <c r="J818" s="331"/>
      <c r="K818" s="331"/>
      <c r="L818" s="331"/>
      <c r="M818" s="331"/>
      <c r="N818" s="331"/>
      <c r="O818" s="331"/>
      <c r="P818" s="331"/>
      <c r="Q818" s="331"/>
      <c r="R818" s="331"/>
      <c r="S818" s="331"/>
      <c r="T818" s="331"/>
      <c r="U818" s="331"/>
      <c r="V818" s="331"/>
      <c r="W818" s="331"/>
      <c r="X818" s="331"/>
      <c r="Y818" s="331"/>
      <c r="Z818" s="331"/>
      <c r="AA818" s="331"/>
      <c r="AB818" s="331"/>
      <c r="AC818" s="331"/>
      <c r="AD818" s="331"/>
      <c r="AE818" s="331"/>
      <c r="AF818" s="331"/>
      <c r="AG818" s="331"/>
      <c r="AH818" s="331"/>
      <c r="AI818" s="331"/>
      <c r="AJ818" s="331"/>
      <c r="AK818" s="331"/>
      <c r="AL818" s="331"/>
    </row>
    <row r="819" ht="15.75" customHeight="1">
      <c r="A819" s="331"/>
      <c r="B819" s="331"/>
      <c r="C819" s="331"/>
      <c r="D819" s="331"/>
      <c r="E819" s="331"/>
      <c r="F819" s="331"/>
      <c r="G819" s="331"/>
      <c r="H819" s="331"/>
      <c r="I819" s="331"/>
      <c r="J819" s="331"/>
      <c r="K819" s="331"/>
      <c r="L819" s="331"/>
      <c r="M819" s="331"/>
      <c r="N819" s="331"/>
      <c r="O819" s="331"/>
      <c r="P819" s="331"/>
      <c r="Q819" s="331"/>
      <c r="R819" s="331"/>
      <c r="S819" s="331"/>
      <c r="T819" s="331"/>
      <c r="U819" s="331"/>
      <c r="V819" s="331"/>
      <c r="W819" s="331"/>
      <c r="X819" s="331"/>
      <c r="Y819" s="331"/>
      <c r="Z819" s="331"/>
      <c r="AA819" s="331"/>
      <c r="AB819" s="331"/>
      <c r="AC819" s="331"/>
      <c r="AD819" s="331"/>
      <c r="AE819" s="331"/>
      <c r="AF819" s="331"/>
      <c r="AG819" s="331"/>
      <c r="AH819" s="331"/>
      <c r="AI819" s="331"/>
      <c r="AJ819" s="331"/>
      <c r="AK819" s="331"/>
      <c r="AL819" s="331"/>
    </row>
    <row r="820" ht="15.75" customHeight="1">
      <c r="A820" s="331"/>
      <c r="B820" s="331"/>
      <c r="C820" s="331"/>
      <c r="D820" s="331"/>
      <c r="E820" s="331"/>
      <c r="F820" s="331"/>
      <c r="G820" s="331"/>
      <c r="H820" s="331"/>
      <c r="I820" s="331"/>
      <c r="J820" s="331"/>
      <c r="K820" s="331"/>
      <c r="L820" s="331"/>
      <c r="M820" s="331"/>
      <c r="N820" s="331"/>
      <c r="O820" s="331"/>
      <c r="P820" s="331"/>
      <c r="Q820" s="331"/>
      <c r="R820" s="331"/>
      <c r="S820" s="331"/>
      <c r="T820" s="331"/>
      <c r="U820" s="331"/>
      <c r="V820" s="331"/>
      <c r="W820" s="331"/>
      <c r="X820" s="331"/>
      <c r="Y820" s="331"/>
      <c r="Z820" s="331"/>
      <c r="AA820" s="331"/>
      <c r="AB820" s="331"/>
      <c r="AC820" s="331"/>
      <c r="AD820" s="331"/>
      <c r="AE820" s="331"/>
      <c r="AF820" s="331"/>
      <c r="AG820" s="331"/>
      <c r="AH820" s="331"/>
      <c r="AI820" s="331"/>
      <c r="AJ820" s="331"/>
      <c r="AK820" s="331"/>
      <c r="AL820" s="331"/>
    </row>
    <row r="821" ht="15.75" customHeight="1">
      <c r="A821" s="331"/>
      <c r="B821" s="331"/>
      <c r="C821" s="331"/>
      <c r="D821" s="331"/>
      <c r="E821" s="331"/>
      <c r="F821" s="331"/>
      <c r="G821" s="331"/>
      <c r="H821" s="331"/>
      <c r="I821" s="331"/>
      <c r="J821" s="331"/>
      <c r="K821" s="331"/>
      <c r="L821" s="331"/>
      <c r="M821" s="331"/>
      <c r="N821" s="331"/>
      <c r="O821" s="331"/>
      <c r="P821" s="331"/>
      <c r="Q821" s="331"/>
      <c r="R821" s="331"/>
      <c r="S821" s="331"/>
      <c r="T821" s="331"/>
      <c r="U821" s="331"/>
      <c r="V821" s="331"/>
      <c r="W821" s="331"/>
      <c r="X821" s="331"/>
      <c r="Y821" s="331"/>
      <c r="Z821" s="331"/>
      <c r="AA821" s="331"/>
      <c r="AB821" s="331"/>
      <c r="AC821" s="331"/>
      <c r="AD821" s="331"/>
      <c r="AE821" s="331"/>
      <c r="AF821" s="331"/>
      <c r="AG821" s="331"/>
      <c r="AH821" s="331"/>
      <c r="AI821" s="331"/>
      <c r="AJ821" s="331"/>
      <c r="AK821" s="331"/>
      <c r="AL821" s="331"/>
    </row>
    <row r="822" ht="15.75" customHeight="1">
      <c r="A822" s="331"/>
      <c r="B822" s="331"/>
      <c r="C822" s="331"/>
      <c r="D822" s="331"/>
      <c r="E822" s="331"/>
      <c r="F822" s="331"/>
      <c r="G822" s="331"/>
      <c r="H822" s="331"/>
      <c r="I822" s="331"/>
      <c r="J822" s="331"/>
      <c r="K822" s="331"/>
      <c r="L822" s="331"/>
      <c r="M822" s="331"/>
      <c r="N822" s="331"/>
      <c r="O822" s="331"/>
      <c r="P822" s="331"/>
      <c r="Q822" s="331"/>
      <c r="R822" s="331"/>
      <c r="S822" s="331"/>
      <c r="T822" s="331"/>
      <c r="U822" s="331"/>
      <c r="V822" s="331"/>
      <c r="W822" s="331"/>
      <c r="X822" s="331"/>
      <c r="Y822" s="331"/>
      <c r="Z822" s="331"/>
      <c r="AA822" s="331"/>
      <c r="AB822" s="331"/>
      <c r="AC822" s="331"/>
      <c r="AD822" s="331"/>
      <c r="AE822" s="331"/>
      <c r="AF822" s="331"/>
      <c r="AG822" s="331"/>
      <c r="AH822" s="331"/>
      <c r="AI822" s="331"/>
      <c r="AJ822" s="331"/>
      <c r="AK822" s="331"/>
      <c r="AL822" s="331"/>
    </row>
    <row r="823" ht="15.75" customHeight="1">
      <c r="A823" s="331"/>
      <c r="B823" s="331"/>
      <c r="C823" s="331"/>
      <c r="D823" s="331"/>
      <c r="E823" s="331"/>
      <c r="F823" s="331"/>
      <c r="G823" s="331"/>
      <c r="H823" s="331"/>
      <c r="I823" s="331"/>
      <c r="J823" s="331"/>
      <c r="K823" s="331"/>
      <c r="L823" s="331"/>
      <c r="M823" s="331"/>
      <c r="N823" s="331"/>
      <c r="O823" s="331"/>
      <c r="P823" s="331"/>
      <c r="Q823" s="331"/>
      <c r="R823" s="331"/>
      <c r="S823" s="331"/>
      <c r="T823" s="331"/>
      <c r="U823" s="331"/>
      <c r="V823" s="331"/>
      <c r="W823" s="331"/>
      <c r="X823" s="331"/>
      <c r="Y823" s="331"/>
      <c r="Z823" s="331"/>
      <c r="AA823" s="331"/>
      <c r="AB823" s="331"/>
      <c r="AC823" s="331"/>
      <c r="AD823" s="331"/>
      <c r="AE823" s="331"/>
      <c r="AF823" s="331"/>
      <c r="AG823" s="331"/>
      <c r="AH823" s="331"/>
      <c r="AI823" s="331"/>
      <c r="AJ823" s="331"/>
      <c r="AK823" s="331"/>
      <c r="AL823" s="331"/>
    </row>
    <row r="824" ht="15.75" customHeight="1">
      <c r="A824" s="331"/>
      <c r="B824" s="331"/>
      <c r="C824" s="331"/>
      <c r="D824" s="331"/>
      <c r="E824" s="331"/>
      <c r="F824" s="331"/>
      <c r="G824" s="331"/>
      <c r="H824" s="331"/>
      <c r="I824" s="331"/>
      <c r="J824" s="331"/>
      <c r="K824" s="331"/>
      <c r="L824" s="331"/>
      <c r="M824" s="331"/>
      <c r="N824" s="331"/>
      <c r="O824" s="331"/>
      <c r="P824" s="331"/>
      <c r="Q824" s="331"/>
      <c r="R824" s="331"/>
      <c r="S824" s="331"/>
      <c r="T824" s="331"/>
      <c r="U824" s="331"/>
      <c r="V824" s="331"/>
      <c r="W824" s="331"/>
      <c r="X824" s="331"/>
      <c r="Y824" s="331"/>
      <c r="Z824" s="331"/>
      <c r="AA824" s="331"/>
      <c r="AB824" s="331"/>
      <c r="AC824" s="331"/>
      <c r="AD824" s="331"/>
      <c r="AE824" s="331"/>
      <c r="AF824" s="331"/>
      <c r="AG824" s="331"/>
      <c r="AH824" s="331"/>
      <c r="AI824" s="331"/>
      <c r="AJ824" s="331"/>
      <c r="AK824" s="331"/>
      <c r="AL824" s="331"/>
    </row>
    <row r="825" ht="15.75" customHeight="1">
      <c r="A825" s="331"/>
      <c r="B825" s="331"/>
      <c r="C825" s="331"/>
      <c r="D825" s="331"/>
      <c r="E825" s="331"/>
      <c r="F825" s="331"/>
      <c r="G825" s="331"/>
      <c r="H825" s="331"/>
      <c r="I825" s="331"/>
      <c r="J825" s="331"/>
      <c r="K825" s="331"/>
      <c r="L825" s="331"/>
      <c r="M825" s="331"/>
      <c r="N825" s="331"/>
      <c r="O825" s="331"/>
      <c r="P825" s="331"/>
      <c r="Q825" s="331"/>
      <c r="R825" s="331"/>
      <c r="S825" s="331"/>
      <c r="T825" s="331"/>
      <c r="U825" s="331"/>
      <c r="V825" s="331"/>
      <c r="W825" s="331"/>
      <c r="X825" s="331"/>
      <c r="Y825" s="331"/>
      <c r="Z825" s="331"/>
      <c r="AA825" s="331"/>
      <c r="AB825" s="331"/>
      <c r="AC825" s="331"/>
      <c r="AD825" s="331"/>
      <c r="AE825" s="331"/>
      <c r="AF825" s="331"/>
      <c r="AG825" s="331"/>
      <c r="AH825" s="331"/>
      <c r="AI825" s="331"/>
      <c r="AJ825" s="331"/>
      <c r="AK825" s="331"/>
      <c r="AL825" s="331"/>
    </row>
    <row r="826" ht="15.75" customHeight="1">
      <c r="A826" s="331"/>
      <c r="B826" s="331"/>
      <c r="C826" s="331"/>
      <c r="D826" s="331"/>
      <c r="E826" s="331"/>
      <c r="F826" s="331"/>
      <c r="G826" s="331"/>
      <c r="H826" s="331"/>
      <c r="I826" s="331"/>
      <c r="J826" s="331"/>
      <c r="K826" s="331"/>
      <c r="L826" s="331"/>
      <c r="M826" s="331"/>
      <c r="N826" s="331"/>
      <c r="O826" s="331"/>
      <c r="P826" s="331"/>
      <c r="Q826" s="331"/>
      <c r="R826" s="331"/>
      <c r="S826" s="331"/>
      <c r="T826" s="331"/>
      <c r="U826" s="331"/>
      <c r="V826" s="331"/>
      <c r="W826" s="331"/>
      <c r="X826" s="331"/>
      <c r="Y826" s="331"/>
      <c r="Z826" s="331"/>
      <c r="AA826" s="331"/>
      <c r="AB826" s="331"/>
      <c r="AC826" s="331"/>
      <c r="AD826" s="331"/>
      <c r="AE826" s="331"/>
      <c r="AF826" s="331"/>
      <c r="AG826" s="331"/>
      <c r="AH826" s="331"/>
      <c r="AI826" s="331"/>
      <c r="AJ826" s="331"/>
      <c r="AK826" s="331"/>
      <c r="AL826" s="331"/>
    </row>
    <row r="827" ht="15.75" customHeight="1">
      <c r="A827" s="331"/>
      <c r="B827" s="331"/>
      <c r="C827" s="331"/>
      <c r="D827" s="331"/>
      <c r="E827" s="331"/>
      <c r="F827" s="331"/>
      <c r="G827" s="331"/>
      <c r="H827" s="331"/>
      <c r="I827" s="331"/>
      <c r="J827" s="331"/>
      <c r="K827" s="331"/>
      <c r="L827" s="331"/>
      <c r="M827" s="331"/>
      <c r="N827" s="331"/>
      <c r="O827" s="331"/>
      <c r="P827" s="331"/>
      <c r="Q827" s="331"/>
      <c r="R827" s="331"/>
      <c r="S827" s="331"/>
      <c r="T827" s="331"/>
      <c r="U827" s="331"/>
      <c r="V827" s="331"/>
      <c r="W827" s="331"/>
      <c r="X827" s="331"/>
      <c r="Y827" s="331"/>
      <c r="Z827" s="331"/>
      <c r="AA827" s="331"/>
      <c r="AB827" s="331"/>
      <c r="AC827" s="331"/>
      <c r="AD827" s="331"/>
      <c r="AE827" s="331"/>
      <c r="AF827" s="331"/>
      <c r="AG827" s="331"/>
      <c r="AH827" s="331"/>
      <c r="AI827" s="331"/>
      <c r="AJ827" s="331"/>
      <c r="AK827" s="331"/>
      <c r="AL827" s="331"/>
    </row>
    <row r="828" ht="15.75" customHeight="1">
      <c r="A828" s="331"/>
      <c r="B828" s="331"/>
      <c r="C828" s="331"/>
      <c r="D828" s="331"/>
      <c r="E828" s="331"/>
      <c r="F828" s="331"/>
      <c r="G828" s="331"/>
      <c r="H828" s="331"/>
      <c r="I828" s="331"/>
      <c r="J828" s="331"/>
      <c r="K828" s="331"/>
      <c r="L828" s="331"/>
      <c r="M828" s="331"/>
      <c r="N828" s="331"/>
      <c r="O828" s="331"/>
      <c r="P828" s="331"/>
      <c r="Q828" s="331"/>
      <c r="R828" s="331"/>
      <c r="S828" s="331"/>
      <c r="T828" s="331"/>
      <c r="U828" s="331"/>
      <c r="V828" s="331"/>
      <c r="W828" s="331"/>
      <c r="X828" s="331"/>
      <c r="Y828" s="331"/>
      <c r="Z828" s="331"/>
      <c r="AA828" s="331"/>
      <c r="AB828" s="331"/>
      <c r="AC828" s="331"/>
      <c r="AD828" s="331"/>
      <c r="AE828" s="331"/>
      <c r="AF828" s="331"/>
      <c r="AG828" s="331"/>
      <c r="AH828" s="331"/>
      <c r="AI828" s="331"/>
      <c r="AJ828" s="331"/>
      <c r="AK828" s="331"/>
      <c r="AL828" s="331"/>
    </row>
    <row r="829" ht="15.75" customHeight="1">
      <c r="A829" s="331"/>
      <c r="B829" s="331"/>
      <c r="C829" s="331"/>
      <c r="D829" s="331"/>
      <c r="E829" s="331"/>
      <c r="F829" s="331"/>
      <c r="G829" s="331"/>
      <c r="H829" s="331"/>
      <c r="I829" s="331"/>
      <c r="J829" s="331"/>
      <c r="K829" s="331"/>
      <c r="L829" s="331"/>
      <c r="M829" s="331"/>
      <c r="N829" s="331"/>
      <c r="O829" s="331"/>
      <c r="P829" s="331"/>
      <c r="Q829" s="331"/>
      <c r="R829" s="331"/>
      <c r="S829" s="331"/>
      <c r="T829" s="331"/>
      <c r="U829" s="331"/>
      <c r="V829" s="331"/>
      <c r="W829" s="331"/>
      <c r="X829" s="331"/>
      <c r="Y829" s="331"/>
      <c r="Z829" s="331"/>
      <c r="AA829" s="331"/>
      <c r="AB829" s="331"/>
      <c r="AC829" s="331"/>
      <c r="AD829" s="331"/>
      <c r="AE829" s="331"/>
      <c r="AF829" s="331"/>
      <c r="AG829" s="331"/>
      <c r="AH829" s="331"/>
      <c r="AI829" s="331"/>
      <c r="AJ829" s="331"/>
      <c r="AK829" s="331"/>
      <c r="AL829" s="331"/>
    </row>
    <row r="830" ht="15.75" customHeight="1">
      <c r="A830" s="331"/>
      <c r="B830" s="331"/>
      <c r="C830" s="331"/>
      <c r="D830" s="331"/>
      <c r="E830" s="331"/>
      <c r="F830" s="331"/>
      <c r="G830" s="331"/>
      <c r="H830" s="331"/>
      <c r="I830" s="331"/>
      <c r="J830" s="331"/>
      <c r="K830" s="331"/>
      <c r="L830" s="331"/>
      <c r="M830" s="331"/>
      <c r="N830" s="331"/>
      <c r="O830" s="331"/>
      <c r="P830" s="331"/>
      <c r="Q830" s="331"/>
      <c r="R830" s="331"/>
      <c r="S830" s="331"/>
      <c r="T830" s="331"/>
      <c r="U830" s="331"/>
      <c r="V830" s="331"/>
      <c r="W830" s="331"/>
      <c r="X830" s="331"/>
      <c r="Y830" s="331"/>
      <c r="Z830" s="331"/>
      <c r="AA830" s="331"/>
      <c r="AB830" s="331"/>
      <c r="AC830" s="331"/>
      <c r="AD830" s="331"/>
      <c r="AE830" s="331"/>
      <c r="AF830" s="331"/>
      <c r="AG830" s="331"/>
      <c r="AH830" s="331"/>
      <c r="AI830" s="331"/>
      <c r="AJ830" s="331"/>
      <c r="AK830" s="331"/>
      <c r="AL830" s="331"/>
    </row>
    <row r="831" ht="15.75" customHeight="1">
      <c r="A831" s="331"/>
      <c r="B831" s="331"/>
      <c r="C831" s="331"/>
      <c r="D831" s="331"/>
      <c r="E831" s="331"/>
      <c r="F831" s="331"/>
      <c r="G831" s="331"/>
      <c r="H831" s="331"/>
      <c r="I831" s="331"/>
      <c r="J831" s="331"/>
      <c r="K831" s="331"/>
      <c r="L831" s="331"/>
      <c r="M831" s="331"/>
      <c r="N831" s="331"/>
      <c r="O831" s="331"/>
      <c r="P831" s="331"/>
      <c r="Q831" s="331"/>
      <c r="R831" s="331"/>
      <c r="S831" s="331"/>
      <c r="T831" s="331"/>
      <c r="U831" s="331"/>
      <c r="V831" s="331"/>
      <c r="W831" s="331"/>
      <c r="X831" s="331"/>
      <c r="Y831" s="331"/>
      <c r="Z831" s="331"/>
      <c r="AA831" s="331"/>
      <c r="AB831" s="331"/>
      <c r="AC831" s="331"/>
      <c r="AD831" s="331"/>
      <c r="AE831" s="331"/>
      <c r="AF831" s="331"/>
      <c r="AG831" s="331"/>
      <c r="AH831" s="331"/>
      <c r="AI831" s="331"/>
      <c r="AJ831" s="331"/>
      <c r="AK831" s="331"/>
      <c r="AL831" s="331"/>
    </row>
    <row r="832" ht="15.75" customHeight="1">
      <c r="A832" s="331"/>
      <c r="B832" s="331"/>
      <c r="C832" s="331"/>
      <c r="D832" s="331"/>
      <c r="E832" s="331"/>
      <c r="F832" s="331"/>
      <c r="G832" s="331"/>
      <c r="H832" s="331"/>
      <c r="I832" s="331"/>
      <c r="J832" s="331"/>
      <c r="K832" s="331"/>
      <c r="L832" s="331"/>
      <c r="M832" s="331"/>
      <c r="N832" s="331"/>
      <c r="O832" s="331"/>
      <c r="P832" s="331"/>
      <c r="Q832" s="331"/>
      <c r="R832" s="331"/>
      <c r="S832" s="331"/>
      <c r="T832" s="331"/>
      <c r="U832" s="331"/>
      <c r="V832" s="331"/>
      <c r="W832" s="331"/>
      <c r="X832" s="331"/>
      <c r="Y832" s="331"/>
      <c r="Z832" s="331"/>
      <c r="AA832" s="331"/>
      <c r="AB832" s="331"/>
      <c r="AC832" s="331"/>
      <c r="AD832" s="331"/>
      <c r="AE832" s="331"/>
      <c r="AF832" s="331"/>
      <c r="AG832" s="331"/>
      <c r="AH832" s="331"/>
      <c r="AI832" s="331"/>
      <c r="AJ832" s="331"/>
      <c r="AK832" s="331"/>
      <c r="AL832" s="331"/>
    </row>
    <row r="833" ht="15.75" customHeight="1">
      <c r="A833" s="331"/>
      <c r="B833" s="331"/>
      <c r="C833" s="331"/>
      <c r="D833" s="331"/>
      <c r="E833" s="331"/>
      <c r="F833" s="331"/>
      <c r="G833" s="331"/>
      <c r="H833" s="331"/>
      <c r="I833" s="331"/>
      <c r="J833" s="331"/>
      <c r="K833" s="331"/>
      <c r="L833" s="331"/>
      <c r="M833" s="331"/>
      <c r="N833" s="331"/>
      <c r="O833" s="331"/>
      <c r="P833" s="331"/>
      <c r="Q833" s="331"/>
      <c r="R833" s="331"/>
      <c r="S833" s="331"/>
      <c r="T833" s="331"/>
      <c r="U833" s="331"/>
      <c r="V833" s="331"/>
      <c r="W833" s="331"/>
      <c r="X833" s="331"/>
      <c r="Y833" s="331"/>
      <c r="Z833" s="331"/>
      <c r="AA833" s="331"/>
      <c r="AB833" s="331"/>
      <c r="AC833" s="331"/>
      <c r="AD833" s="331"/>
      <c r="AE833" s="331"/>
      <c r="AF833" s="331"/>
      <c r="AG833" s="331"/>
      <c r="AH833" s="331"/>
      <c r="AI833" s="331"/>
      <c r="AJ833" s="331"/>
      <c r="AK833" s="331"/>
      <c r="AL833" s="331"/>
    </row>
    <row r="834" ht="15.75" customHeight="1">
      <c r="A834" s="331"/>
      <c r="B834" s="331"/>
      <c r="C834" s="331"/>
      <c r="D834" s="331"/>
      <c r="E834" s="331"/>
      <c r="F834" s="331"/>
      <c r="G834" s="331"/>
      <c r="H834" s="331"/>
      <c r="I834" s="331"/>
      <c r="J834" s="331"/>
      <c r="K834" s="331"/>
      <c r="L834" s="331"/>
      <c r="M834" s="331"/>
      <c r="N834" s="331"/>
      <c r="O834" s="331"/>
      <c r="P834" s="331"/>
      <c r="Q834" s="331"/>
      <c r="R834" s="331"/>
      <c r="S834" s="331"/>
      <c r="T834" s="331"/>
      <c r="U834" s="331"/>
      <c r="V834" s="331"/>
      <c r="W834" s="331"/>
      <c r="X834" s="331"/>
      <c r="Y834" s="331"/>
      <c r="Z834" s="331"/>
      <c r="AA834" s="331"/>
      <c r="AB834" s="331"/>
      <c r="AC834" s="331"/>
      <c r="AD834" s="331"/>
      <c r="AE834" s="331"/>
      <c r="AF834" s="331"/>
      <c r="AG834" s="331"/>
      <c r="AH834" s="331"/>
      <c r="AI834" s="331"/>
      <c r="AJ834" s="331"/>
      <c r="AK834" s="331"/>
      <c r="AL834" s="331"/>
    </row>
    <row r="835" ht="15.75" customHeight="1">
      <c r="A835" s="331"/>
      <c r="B835" s="331"/>
      <c r="C835" s="331"/>
      <c r="D835" s="331"/>
      <c r="E835" s="331"/>
      <c r="F835" s="331"/>
      <c r="G835" s="331"/>
      <c r="H835" s="331"/>
      <c r="I835" s="331"/>
      <c r="J835" s="331"/>
      <c r="K835" s="331"/>
      <c r="L835" s="331"/>
      <c r="M835" s="331"/>
      <c r="N835" s="331"/>
      <c r="O835" s="331"/>
      <c r="P835" s="331"/>
      <c r="Q835" s="331"/>
      <c r="R835" s="331"/>
      <c r="S835" s="331"/>
      <c r="T835" s="331"/>
      <c r="U835" s="331"/>
      <c r="V835" s="331"/>
      <c r="W835" s="331"/>
      <c r="X835" s="331"/>
      <c r="Y835" s="331"/>
      <c r="Z835" s="331"/>
      <c r="AA835" s="331"/>
      <c r="AB835" s="331"/>
      <c r="AC835" s="331"/>
      <c r="AD835" s="331"/>
      <c r="AE835" s="331"/>
      <c r="AF835" s="331"/>
      <c r="AG835" s="331"/>
      <c r="AH835" s="331"/>
      <c r="AI835" s="331"/>
      <c r="AJ835" s="331"/>
      <c r="AK835" s="331"/>
      <c r="AL835" s="331"/>
    </row>
    <row r="836" ht="15.75" customHeight="1">
      <c r="A836" s="331"/>
      <c r="B836" s="331"/>
      <c r="C836" s="331"/>
      <c r="D836" s="331"/>
      <c r="E836" s="331"/>
      <c r="F836" s="331"/>
      <c r="G836" s="331"/>
      <c r="H836" s="331"/>
      <c r="I836" s="331"/>
      <c r="J836" s="331"/>
      <c r="K836" s="331"/>
      <c r="L836" s="331"/>
      <c r="M836" s="331"/>
      <c r="N836" s="331"/>
      <c r="O836" s="331"/>
      <c r="P836" s="331"/>
      <c r="Q836" s="331"/>
      <c r="R836" s="331"/>
      <c r="S836" s="331"/>
      <c r="T836" s="331"/>
      <c r="U836" s="331"/>
      <c r="V836" s="331"/>
      <c r="W836" s="331"/>
      <c r="X836" s="331"/>
      <c r="Y836" s="331"/>
      <c r="Z836" s="331"/>
      <c r="AA836" s="331"/>
      <c r="AB836" s="331"/>
      <c r="AC836" s="331"/>
      <c r="AD836" s="331"/>
      <c r="AE836" s="331"/>
      <c r="AF836" s="331"/>
      <c r="AG836" s="331"/>
      <c r="AH836" s="331"/>
      <c r="AI836" s="331"/>
      <c r="AJ836" s="331"/>
      <c r="AK836" s="331"/>
      <c r="AL836" s="331"/>
    </row>
    <row r="837" ht="15.75" customHeight="1">
      <c r="A837" s="331"/>
      <c r="B837" s="331"/>
      <c r="C837" s="331"/>
      <c r="D837" s="331"/>
      <c r="E837" s="331"/>
      <c r="F837" s="331"/>
      <c r="G837" s="331"/>
      <c r="H837" s="331"/>
      <c r="I837" s="331"/>
      <c r="J837" s="331"/>
      <c r="K837" s="331"/>
      <c r="L837" s="331"/>
      <c r="M837" s="331"/>
      <c r="N837" s="331"/>
      <c r="O837" s="331"/>
      <c r="P837" s="331"/>
      <c r="Q837" s="331"/>
      <c r="R837" s="331"/>
      <c r="S837" s="331"/>
      <c r="T837" s="331"/>
      <c r="U837" s="331"/>
      <c r="V837" s="331"/>
      <c r="W837" s="331"/>
      <c r="X837" s="331"/>
      <c r="Y837" s="331"/>
      <c r="Z837" s="331"/>
      <c r="AA837" s="331"/>
      <c r="AB837" s="331"/>
      <c r="AC837" s="331"/>
      <c r="AD837" s="331"/>
      <c r="AE837" s="331"/>
      <c r="AF837" s="331"/>
      <c r="AG837" s="331"/>
      <c r="AH837" s="331"/>
      <c r="AI837" s="331"/>
      <c r="AJ837" s="331"/>
      <c r="AK837" s="331"/>
      <c r="AL837" s="331"/>
    </row>
    <row r="838" ht="15.75" customHeight="1">
      <c r="A838" s="331"/>
      <c r="B838" s="331"/>
      <c r="C838" s="331"/>
      <c r="D838" s="331"/>
      <c r="E838" s="331"/>
      <c r="F838" s="331"/>
      <c r="G838" s="331"/>
      <c r="H838" s="331"/>
      <c r="I838" s="331"/>
      <c r="J838" s="331"/>
      <c r="K838" s="331"/>
      <c r="L838" s="331"/>
      <c r="M838" s="331"/>
      <c r="N838" s="331"/>
      <c r="O838" s="331"/>
      <c r="P838" s="331"/>
      <c r="Q838" s="331"/>
      <c r="R838" s="331"/>
      <c r="S838" s="331"/>
      <c r="T838" s="331"/>
      <c r="U838" s="331"/>
      <c r="V838" s="331"/>
      <c r="W838" s="331"/>
      <c r="X838" s="331"/>
      <c r="Y838" s="331"/>
      <c r="Z838" s="331"/>
      <c r="AA838" s="331"/>
      <c r="AB838" s="331"/>
      <c r="AC838" s="331"/>
      <c r="AD838" s="331"/>
      <c r="AE838" s="331"/>
      <c r="AF838" s="331"/>
      <c r="AG838" s="331"/>
      <c r="AH838" s="331"/>
      <c r="AI838" s="331"/>
      <c r="AJ838" s="331"/>
      <c r="AK838" s="331"/>
      <c r="AL838" s="331"/>
    </row>
    <row r="839" ht="15.75" customHeight="1">
      <c r="A839" s="331"/>
      <c r="B839" s="331"/>
      <c r="C839" s="331"/>
      <c r="D839" s="331"/>
      <c r="E839" s="331"/>
      <c r="F839" s="331"/>
      <c r="G839" s="331"/>
      <c r="H839" s="331"/>
      <c r="I839" s="331"/>
      <c r="J839" s="331"/>
      <c r="K839" s="331"/>
      <c r="L839" s="331"/>
      <c r="M839" s="331"/>
      <c r="N839" s="331"/>
      <c r="O839" s="331"/>
      <c r="P839" s="331"/>
      <c r="Q839" s="331"/>
      <c r="R839" s="331"/>
      <c r="S839" s="331"/>
      <c r="T839" s="331"/>
      <c r="U839" s="331"/>
      <c r="V839" s="331"/>
      <c r="W839" s="331"/>
      <c r="X839" s="331"/>
      <c r="Y839" s="331"/>
      <c r="Z839" s="331"/>
      <c r="AA839" s="331"/>
      <c r="AB839" s="331"/>
      <c r="AC839" s="331"/>
      <c r="AD839" s="331"/>
      <c r="AE839" s="331"/>
      <c r="AF839" s="331"/>
      <c r="AG839" s="331"/>
      <c r="AH839" s="331"/>
      <c r="AI839" s="331"/>
      <c r="AJ839" s="331"/>
      <c r="AK839" s="331"/>
      <c r="AL839" s="331"/>
    </row>
    <row r="840" ht="15.75" customHeight="1">
      <c r="A840" s="331"/>
      <c r="B840" s="331"/>
      <c r="C840" s="331"/>
      <c r="D840" s="331"/>
      <c r="E840" s="331"/>
      <c r="F840" s="331"/>
      <c r="G840" s="331"/>
      <c r="H840" s="331"/>
      <c r="I840" s="331"/>
      <c r="J840" s="331"/>
      <c r="K840" s="331"/>
      <c r="L840" s="331"/>
      <c r="M840" s="331"/>
      <c r="N840" s="331"/>
      <c r="O840" s="331"/>
      <c r="P840" s="331"/>
      <c r="Q840" s="331"/>
      <c r="R840" s="331"/>
      <c r="S840" s="331"/>
      <c r="T840" s="331"/>
      <c r="U840" s="331"/>
      <c r="V840" s="331"/>
      <c r="W840" s="331"/>
      <c r="X840" s="331"/>
      <c r="Y840" s="331"/>
      <c r="Z840" s="331"/>
      <c r="AA840" s="331"/>
      <c r="AB840" s="331"/>
      <c r="AC840" s="331"/>
      <c r="AD840" s="331"/>
      <c r="AE840" s="331"/>
      <c r="AF840" s="331"/>
      <c r="AG840" s="331"/>
      <c r="AH840" s="331"/>
      <c r="AI840" s="331"/>
      <c r="AJ840" s="331"/>
      <c r="AK840" s="331"/>
      <c r="AL840" s="331"/>
    </row>
    <row r="841" ht="15.75" customHeight="1">
      <c r="A841" s="331"/>
      <c r="B841" s="331"/>
      <c r="C841" s="331"/>
      <c r="D841" s="331"/>
      <c r="E841" s="331"/>
      <c r="F841" s="331"/>
      <c r="G841" s="331"/>
      <c r="H841" s="331"/>
      <c r="I841" s="331"/>
      <c r="J841" s="331"/>
      <c r="K841" s="331"/>
      <c r="L841" s="331"/>
      <c r="M841" s="331"/>
      <c r="N841" s="331"/>
      <c r="O841" s="331"/>
      <c r="P841" s="331"/>
      <c r="Q841" s="331"/>
      <c r="R841" s="331"/>
      <c r="S841" s="331"/>
      <c r="T841" s="331"/>
      <c r="U841" s="331"/>
      <c r="V841" s="331"/>
      <c r="W841" s="331"/>
      <c r="X841" s="331"/>
      <c r="Y841" s="331"/>
      <c r="Z841" s="331"/>
      <c r="AA841" s="331"/>
      <c r="AB841" s="331"/>
      <c r="AC841" s="331"/>
      <c r="AD841" s="331"/>
      <c r="AE841" s="331"/>
      <c r="AF841" s="331"/>
      <c r="AG841" s="331"/>
      <c r="AH841" s="331"/>
      <c r="AI841" s="331"/>
      <c r="AJ841" s="331"/>
      <c r="AK841" s="331"/>
      <c r="AL841" s="331"/>
    </row>
    <row r="842" ht="15.75" customHeight="1">
      <c r="A842" s="331"/>
      <c r="B842" s="331"/>
      <c r="C842" s="331"/>
      <c r="D842" s="331"/>
      <c r="E842" s="331"/>
      <c r="F842" s="331"/>
      <c r="G842" s="331"/>
      <c r="H842" s="331"/>
      <c r="I842" s="331"/>
      <c r="J842" s="331"/>
      <c r="K842" s="331"/>
      <c r="L842" s="331"/>
      <c r="M842" s="331"/>
      <c r="N842" s="331"/>
      <c r="O842" s="331"/>
      <c r="P842" s="331"/>
      <c r="Q842" s="331"/>
      <c r="R842" s="331"/>
      <c r="S842" s="331"/>
      <c r="T842" s="331"/>
      <c r="U842" s="331"/>
      <c r="V842" s="331"/>
      <c r="W842" s="331"/>
      <c r="X842" s="331"/>
      <c r="Y842" s="331"/>
      <c r="Z842" s="331"/>
      <c r="AA842" s="331"/>
      <c r="AB842" s="331"/>
      <c r="AC842" s="331"/>
      <c r="AD842" s="331"/>
      <c r="AE842" s="331"/>
      <c r="AF842" s="331"/>
      <c r="AG842" s="331"/>
      <c r="AH842" s="331"/>
      <c r="AI842" s="331"/>
      <c r="AJ842" s="331"/>
      <c r="AK842" s="331"/>
      <c r="AL842" s="331"/>
    </row>
    <row r="843" ht="15.75" customHeight="1">
      <c r="A843" s="331"/>
      <c r="B843" s="331"/>
      <c r="C843" s="331"/>
      <c r="D843" s="331"/>
      <c r="E843" s="331"/>
      <c r="F843" s="331"/>
      <c r="G843" s="331"/>
      <c r="H843" s="331"/>
      <c r="I843" s="331"/>
      <c r="J843" s="331"/>
      <c r="K843" s="331"/>
      <c r="L843" s="331"/>
      <c r="M843" s="331"/>
      <c r="N843" s="331"/>
      <c r="O843" s="331"/>
      <c r="P843" s="331"/>
      <c r="Q843" s="331"/>
      <c r="R843" s="331"/>
      <c r="S843" s="331"/>
      <c r="T843" s="331"/>
      <c r="U843" s="331"/>
      <c r="V843" s="331"/>
      <c r="W843" s="331"/>
      <c r="X843" s="331"/>
      <c r="Y843" s="331"/>
      <c r="Z843" s="331"/>
      <c r="AA843" s="331"/>
      <c r="AB843" s="331"/>
      <c r="AC843" s="331"/>
      <c r="AD843" s="331"/>
      <c r="AE843" s="331"/>
      <c r="AF843" s="331"/>
      <c r="AG843" s="331"/>
      <c r="AH843" s="331"/>
      <c r="AI843" s="331"/>
      <c r="AJ843" s="331"/>
      <c r="AK843" s="331"/>
      <c r="AL843" s="331"/>
    </row>
    <row r="844" ht="15.75" customHeight="1">
      <c r="A844" s="331"/>
      <c r="B844" s="331"/>
      <c r="C844" s="331"/>
      <c r="D844" s="331"/>
      <c r="E844" s="331"/>
      <c r="F844" s="331"/>
      <c r="G844" s="331"/>
      <c r="H844" s="331"/>
      <c r="I844" s="331"/>
      <c r="J844" s="331"/>
      <c r="K844" s="331"/>
      <c r="L844" s="331"/>
      <c r="M844" s="331"/>
      <c r="N844" s="331"/>
      <c r="O844" s="331"/>
      <c r="P844" s="331"/>
      <c r="Q844" s="331"/>
      <c r="R844" s="331"/>
      <c r="S844" s="331"/>
      <c r="T844" s="331"/>
      <c r="U844" s="331"/>
      <c r="V844" s="331"/>
      <c r="W844" s="331"/>
      <c r="X844" s="331"/>
      <c r="Y844" s="331"/>
      <c r="Z844" s="331"/>
      <c r="AA844" s="331"/>
      <c r="AB844" s="331"/>
      <c r="AC844" s="331"/>
      <c r="AD844" s="331"/>
      <c r="AE844" s="331"/>
      <c r="AF844" s="331"/>
      <c r="AG844" s="331"/>
      <c r="AH844" s="331"/>
      <c r="AI844" s="331"/>
      <c r="AJ844" s="331"/>
      <c r="AK844" s="331"/>
      <c r="AL844" s="331"/>
    </row>
    <row r="845" ht="15.75" customHeight="1">
      <c r="A845" s="331"/>
      <c r="B845" s="331"/>
      <c r="C845" s="331"/>
      <c r="D845" s="331"/>
      <c r="E845" s="331"/>
      <c r="F845" s="331"/>
      <c r="G845" s="331"/>
      <c r="H845" s="331"/>
      <c r="I845" s="331"/>
      <c r="J845" s="331"/>
      <c r="K845" s="331"/>
      <c r="L845" s="331"/>
      <c r="M845" s="331"/>
      <c r="N845" s="331"/>
      <c r="O845" s="331"/>
      <c r="P845" s="331"/>
      <c r="Q845" s="331"/>
      <c r="R845" s="331"/>
      <c r="S845" s="331"/>
      <c r="T845" s="331"/>
      <c r="U845" s="331"/>
      <c r="V845" s="331"/>
      <c r="W845" s="331"/>
      <c r="X845" s="331"/>
      <c r="Y845" s="331"/>
      <c r="Z845" s="331"/>
      <c r="AA845" s="331"/>
      <c r="AB845" s="331"/>
      <c r="AC845" s="331"/>
      <c r="AD845" s="331"/>
      <c r="AE845" s="331"/>
      <c r="AF845" s="331"/>
      <c r="AG845" s="331"/>
      <c r="AH845" s="331"/>
      <c r="AI845" s="331"/>
      <c r="AJ845" s="331"/>
      <c r="AK845" s="331"/>
      <c r="AL845" s="331"/>
    </row>
    <row r="846" ht="15.75" customHeight="1">
      <c r="A846" s="331"/>
      <c r="B846" s="331"/>
      <c r="C846" s="331"/>
      <c r="D846" s="331"/>
      <c r="E846" s="331"/>
      <c r="F846" s="331"/>
      <c r="G846" s="331"/>
      <c r="H846" s="331"/>
      <c r="I846" s="331"/>
      <c r="J846" s="331"/>
      <c r="K846" s="331"/>
      <c r="L846" s="331"/>
      <c r="M846" s="331"/>
      <c r="N846" s="331"/>
      <c r="O846" s="331"/>
      <c r="P846" s="331"/>
      <c r="Q846" s="331"/>
      <c r="R846" s="331"/>
      <c r="S846" s="331"/>
      <c r="T846" s="331"/>
      <c r="U846" s="331"/>
      <c r="V846" s="331"/>
      <c r="W846" s="331"/>
      <c r="X846" s="331"/>
      <c r="Y846" s="331"/>
      <c r="Z846" s="331"/>
      <c r="AA846" s="331"/>
      <c r="AB846" s="331"/>
      <c r="AC846" s="331"/>
      <c r="AD846" s="331"/>
      <c r="AE846" s="331"/>
      <c r="AF846" s="331"/>
      <c r="AG846" s="331"/>
      <c r="AH846" s="331"/>
      <c r="AI846" s="331"/>
      <c r="AJ846" s="331"/>
      <c r="AK846" s="331"/>
      <c r="AL846" s="331"/>
    </row>
    <row r="847" ht="15.75" customHeight="1">
      <c r="A847" s="331"/>
      <c r="B847" s="331"/>
      <c r="C847" s="331"/>
      <c r="D847" s="331"/>
      <c r="E847" s="331"/>
      <c r="F847" s="331"/>
      <c r="G847" s="331"/>
      <c r="H847" s="331"/>
      <c r="I847" s="331"/>
      <c r="J847" s="331"/>
      <c r="K847" s="331"/>
      <c r="L847" s="331"/>
      <c r="M847" s="331"/>
      <c r="N847" s="331"/>
      <c r="O847" s="331"/>
      <c r="P847" s="331"/>
      <c r="Q847" s="331"/>
      <c r="R847" s="331"/>
      <c r="S847" s="331"/>
      <c r="T847" s="331"/>
      <c r="U847" s="331"/>
      <c r="V847" s="331"/>
      <c r="W847" s="331"/>
      <c r="X847" s="331"/>
      <c r="Y847" s="331"/>
      <c r="Z847" s="331"/>
      <c r="AA847" s="331"/>
      <c r="AB847" s="331"/>
      <c r="AC847" s="331"/>
      <c r="AD847" s="331"/>
      <c r="AE847" s="331"/>
      <c r="AF847" s="331"/>
      <c r="AG847" s="331"/>
      <c r="AH847" s="331"/>
      <c r="AI847" s="331"/>
      <c r="AJ847" s="331"/>
      <c r="AK847" s="331"/>
      <c r="AL847" s="331"/>
    </row>
    <row r="848" ht="15.75" customHeight="1">
      <c r="A848" s="331"/>
      <c r="B848" s="331"/>
      <c r="C848" s="331"/>
      <c r="D848" s="331"/>
      <c r="E848" s="331"/>
      <c r="F848" s="331"/>
      <c r="G848" s="331"/>
      <c r="H848" s="331"/>
      <c r="I848" s="331"/>
      <c r="J848" s="331"/>
      <c r="K848" s="331"/>
      <c r="L848" s="331"/>
      <c r="M848" s="331"/>
      <c r="N848" s="331"/>
      <c r="O848" s="331"/>
      <c r="P848" s="331"/>
      <c r="Q848" s="331"/>
      <c r="R848" s="331"/>
      <c r="S848" s="331"/>
      <c r="T848" s="331"/>
      <c r="U848" s="331"/>
      <c r="V848" s="331"/>
      <c r="W848" s="331"/>
      <c r="X848" s="331"/>
      <c r="Y848" s="331"/>
      <c r="Z848" s="331"/>
      <c r="AA848" s="331"/>
      <c r="AB848" s="331"/>
      <c r="AC848" s="331"/>
      <c r="AD848" s="331"/>
      <c r="AE848" s="331"/>
      <c r="AF848" s="331"/>
      <c r="AG848" s="331"/>
      <c r="AH848" s="331"/>
      <c r="AI848" s="331"/>
      <c r="AJ848" s="331"/>
      <c r="AK848" s="331"/>
      <c r="AL848" s="331"/>
    </row>
    <row r="849" ht="15.75" customHeight="1">
      <c r="A849" s="331"/>
      <c r="B849" s="331"/>
      <c r="C849" s="331"/>
      <c r="D849" s="331"/>
      <c r="E849" s="331"/>
      <c r="F849" s="331"/>
      <c r="G849" s="331"/>
      <c r="H849" s="331"/>
      <c r="I849" s="331"/>
      <c r="J849" s="331"/>
      <c r="K849" s="331"/>
      <c r="L849" s="331"/>
      <c r="M849" s="331"/>
      <c r="N849" s="331"/>
      <c r="O849" s="331"/>
      <c r="P849" s="331"/>
      <c r="Q849" s="331"/>
      <c r="R849" s="331"/>
      <c r="S849" s="331"/>
      <c r="T849" s="331"/>
      <c r="U849" s="331"/>
      <c r="V849" s="331"/>
      <c r="W849" s="331"/>
      <c r="X849" s="331"/>
      <c r="Y849" s="331"/>
      <c r="Z849" s="331"/>
      <c r="AA849" s="331"/>
      <c r="AB849" s="331"/>
      <c r="AC849" s="331"/>
      <c r="AD849" s="331"/>
      <c r="AE849" s="331"/>
      <c r="AF849" s="331"/>
      <c r="AG849" s="331"/>
      <c r="AH849" s="331"/>
      <c r="AI849" s="331"/>
      <c r="AJ849" s="331"/>
      <c r="AK849" s="331"/>
      <c r="AL849" s="331"/>
    </row>
    <row r="850" ht="15.75" customHeight="1">
      <c r="A850" s="331"/>
      <c r="B850" s="331"/>
      <c r="C850" s="331"/>
      <c r="D850" s="331"/>
      <c r="E850" s="331"/>
      <c r="F850" s="331"/>
      <c r="G850" s="331"/>
      <c r="H850" s="331"/>
      <c r="I850" s="331"/>
      <c r="J850" s="331"/>
      <c r="K850" s="331"/>
      <c r="L850" s="331"/>
      <c r="M850" s="331"/>
      <c r="N850" s="331"/>
      <c r="O850" s="331"/>
      <c r="P850" s="331"/>
      <c r="Q850" s="331"/>
      <c r="R850" s="331"/>
      <c r="S850" s="331"/>
      <c r="T850" s="331"/>
      <c r="U850" s="331"/>
      <c r="V850" s="331"/>
      <c r="W850" s="331"/>
      <c r="X850" s="331"/>
      <c r="Y850" s="331"/>
      <c r="Z850" s="331"/>
      <c r="AA850" s="331"/>
      <c r="AB850" s="331"/>
      <c r="AC850" s="331"/>
      <c r="AD850" s="331"/>
      <c r="AE850" s="331"/>
      <c r="AF850" s="331"/>
      <c r="AG850" s="331"/>
      <c r="AH850" s="331"/>
      <c r="AI850" s="331"/>
      <c r="AJ850" s="331"/>
      <c r="AK850" s="331"/>
      <c r="AL850" s="331"/>
    </row>
    <row r="851" ht="15.75" customHeight="1">
      <c r="A851" s="331"/>
      <c r="B851" s="331"/>
      <c r="C851" s="331"/>
      <c r="D851" s="331"/>
      <c r="E851" s="331"/>
      <c r="F851" s="331"/>
      <c r="G851" s="331"/>
      <c r="H851" s="331"/>
      <c r="I851" s="331"/>
      <c r="J851" s="331"/>
      <c r="K851" s="331"/>
      <c r="L851" s="331"/>
      <c r="M851" s="331"/>
      <c r="N851" s="331"/>
      <c r="O851" s="331"/>
      <c r="P851" s="331"/>
      <c r="Q851" s="331"/>
      <c r="R851" s="331"/>
      <c r="S851" s="331"/>
      <c r="T851" s="331"/>
      <c r="U851" s="331"/>
      <c r="V851" s="331"/>
      <c r="W851" s="331"/>
      <c r="X851" s="331"/>
      <c r="Y851" s="331"/>
      <c r="Z851" s="331"/>
      <c r="AA851" s="331"/>
      <c r="AB851" s="331"/>
      <c r="AC851" s="331"/>
      <c r="AD851" s="331"/>
      <c r="AE851" s="331"/>
      <c r="AF851" s="331"/>
      <c r="AG851" s="331"/>
      <c r="AH851" s="331"/>
      <c r="AI851" s="331"/>
      <c r="AJ851" s="331"/>
      <c r="AK851" s="331"/>
      <c r="AL851" s="331"/>
    </row>
    <row r="852" ht="15.75" customHeight="1">
      <c r="A852" s="331"/>
      <c r="B852" s="331"/>
      <c r="C852" s="331"/>
      <c r="D852" s="331"/>
      <c r="E852" s="331"/>
      <c r="F852" s="331"/>
      <c r="G852" s="331"/>
      <c r="H852" s="331"/>
      <c r="I852" s="331"/>
      <c r="J852" s="331"/>
      <c r="K852" s="331"/>
      <c r="L852" s="331"/>
      <c r="M852" s="331"/>
      <c r="N852" s="331"/>
      <c r="O852" s="331"/>
      <c r="P852" s="331"/>
      <c r="Q852" s="331"/>
      <c r="R852" s="331"/>
      <c r="S852" s="331"/>
      <c r="T852" s="331"/>
      <c r="U852" s="331"/>
      <c r="V852" s="331"/>
      <c r="W852" s="331"/>
      <c r="X852" s="331"/>
      <c r="Y852" s="331"/>
      <c r="Z852" s="331"/>
      <c r="AA852" s="331"/>
      <c r="AB852" s="331"/>
      <c r="AC852" s="331"/>
      <c r="AD852" s="331"/>
      <c r="AE852" s="331"/>
      <c r="AF852" s="331"/>
      <c r="AG852" s="331"/>
      <c r="AH852" s="331"/>
      <c r="AI852" s="331"/>
      <c r="AJ852" s="331"/>
      <c r="AK852" s="331"/>
      <c r="AL852" s="331"/>
    </row>
    <row r="853" ht="15.75" customHeight="1">
      <c r="A853" s="331"/>
      <c r="B853" s="331"/>
      <c r="C853" s="331"/>
      <c r="D853" s="331"/>
      <c r="E853" s="331"/>
      <c r="F853" s="331"/>
      <c r="G853" s="331"/>
      <c r="H853" s="331"/>
      <c r="I853" s="331"/>
      <c r="J853" s="331"/>
      <c r="K853" s="331"/>
      <c r="L853" s="331"/>
      <c r="M853" s="331"/>
      <c r="N853" s="331"/>
      <c r="O853" s="331"/>
      <c r="P853" s="331"/>
      <c r="Q853" s="331"/>
      <c r="R853" s="331"/>
      <c r="S853" s="331"/>
      <c r="T853" s="331"/>
      <c r="U853" s="331"/>
      <c r="V853" s="331"/>
      <c r="W853" s="331"/>
      <c r="X853" s="331"/>
      <c r="Y853" s="331"/>
      <c r="Z853" s="331"/>
      <c r="AA853" s="331"/>
      <c r="AB853" s="331"/>
      <c r="AC853" s="331"/>
      <c r="AD853" s="331"/>
      <c r="AE853" s="331"/>
      <c r="AF853" s="331"/>
      <c r="AG853" s="331"/>
      <c r="AH853" s="331"/>
      <c r="AI853" s="331"/>
      <c r="AJ853" s="331"/>
      <c r="AK853" s="331"/>
      <c r="AL853" s="331"/>
    </row>
    <row r="854" ht="15.75" customHeight="1">
      <c r="A854" s="331"/>
      <c r="B854" s="331"/>
      <c r="C854" s="331"/>
      <c r="D854" s="331"/>
      <c r="E854" s="331"/>
      <c r="F854" s="331"/>
      <c r="G854" s="331"/>
      <c r="H854" s="331"/>
      <c r="I854" s="331"/>
      <c r="J854" s="331"/>
      <c r="K854" s="331"/>
      <c r="L854" s="331"/>
      <c r="M854" s="331"/>
      <c r="N854" s="331"/>
      <c r="O854" s="331"/>
      <c r="P854" s="331"/>
      <c r="Q854" s="331"/>
      <c r="R854" s="331"/>
      <c r="S854" s="331"/>
      <c r="T854" s="331"/>
      <c r="U854" s="331"/>
      <c r="V854" s="331"/>
      <c r="W854" s="331"/>
      <c r="X854" s="331"/>
      <c r="Y854" s="331"/>
      <c r="Z854" s="331"/>
      <c r="AA854" s="331"/>
      <c r="AB854" s="331"/>
      <c r="AC854" s="331"/>
      <c r="AD854" s="331"/>
      <c r="AE854" s="331"/>
      <c r="AF854" s="331"/>
      <c r="AG854" s="331"/>
      <c r="AH854" s="331"/>
      <c r="AI854" s="331"/>
      <c r="AJ854" s="331"/>
      <c r="AK854" s="331"/>
      <c r="AL854" s="331"/>
    </row>
    <row r="855" ht="15.75" customHeight="1">
      <c r="A855" s="331"/>
      <c r="B855" s="331"/>
      <c r="C855" s="331"/>
      <c r="D855" s="331"/>
      <c r="E855" s="331"/>
      <c r="F855" s="331"/>
      <c r="G855" s="331"/>
      <c r="H855" s="331"/>
      <c r="I855" s="331"/>
      <c r="J855" s="331"/>
      <c r="K855" s="331"/>
      <c r="L855" s="331"/>
      <c r="M855" s="331"/>
      <c r="N855" s="331"/>
      <c r="O855" s="331"/>
      <c r="P855" s="331"/>
      <c r="Q855" s="331"/>
      <c r="R855" s="331"/>
      <c r="S855" s="331"/>
      <c r="T855" s="331"/>
      <c r="U855" s="331"/>
      <c r="V855" s="331"/>
      <c r="W855" s="331"/>
      <c r="X855" s="331"/>
      <c r="Y855" s="331"/>
      <c r="Z855" s="331"/>
      <c r="AA855" s="331"/>
      <c r="AB855" s="331"/>
      <c r="AC855" s="331"/>
      <c r="AD855" s="331"/>
      <c r="AE855" s="331"/>
      <c r="AF855" s="331"/>
      <c r="AG855" s="331"/>
      <c r="AH855" s="331"/>
      <c r="AI855" s="331"/>
      <c r="AJ855" s="331"/>
      <c r="AK855" s="331"/>
      <c r="AL855" s="331"/>
    </row>
    <row r="856" ht="15.75" customHeight="1">
      <c r="A856" s="331"/>
      <c r="B856" s="331"/>
      <c r="C856" s="331"/>
      <c r="D856" s="331"/>
      <c r="E856" s="331"/>
      <c r="F856" s="331"/>
      <c r="G856" s="331"/>
      <c r="H856" s="331"/>
      <c r="I856" s="331"/>
      <c r="J856" s="331"/>
      <c r="K856" s="331"/>
      <c r="L856" s="331"/>
      <c r="M856" s="331"/>
      <c r="N856" s="331"/>
      <c r="O856" s="331"/>
      <c r="P856" s="331"/>
      <c r="Q856" s="331"/>
      <c r="R856" s="331"/>
      <c r="S856" s="331"/>
      <c r="T856" s="331"/>
      <c r="U856" s="331"/>
      <c r="V856" s="331"/>
      <c r="W856" s="331"/>
      <c r="X856" s="331"/>
      <c r="Y856" s="331"/>
      <c r="Z856" s="331"/>
      <c r="AA856" s="331"/>
      <c r="AB856" s="331"/>
      <c r="AC856" s="331"/>
      <c r="AD856" s="331"/>
      <c r="AE856" s="331"/>
      <c r="AF856" s="331"/>
      <c r="AG856" s="331"/>
      <c r="AH856" s="331"/>
      <c r="AI856" s="331"/>
      <c r="AJ856" s="331"/>
      <c r="AK856" s="331"/>
      <c r="AL856" s="331"/>
    </row>
    <row r="857" ht="15.75" customHeight="1">
      <c r="A857" s="331"/>
      <c r="B857" s="331"/>
      <c r="C857" s="331"/>
      <c r="D857" s="331"/>
      <c r="E857" s="331"/>
      <c r="F857" s="331"/>
      <c r="G857" s="331"/>
      <c r="H857" s="331"/>
      <c r="I857" s="331"/>
      <c r="J857" s="331"/>
      <c r="K857" s="331"/>
      <c r="L857" s="331"/>
      <c r="M857" s="331"/>
      <c r="N857" s="331"/>
      <c r="O857" s="331"/>
      <c r="P857" s="331"/>
      <c r="Q857" s="331"/>
      <c r="R857" s="331"/>
      <c r="S857" s="331"/>
      <c r="T857" s="331"/>
      <c r="U857" s="331"/>
      <c r="V857" s="331"/>
      <c r="W857" s="331"/>
      <c r="X857" s="331"/>
      <c r="Y857" s="331"/>
      <c r="Z857" s="331"/>
      <c r="AA857" s="331"/>
      <c r="AB857" s="331"/>
      <c r="AC857" s="331"/>
      <c r="AD857" s="331"/>
      <c r="AE857" s="331"/>
      <c r="AF857" s="331"/>
      <c r="AG857" s="331"/>
      <c r="AH857" s="331"/>
      <c r="AI857" s="331"/>
      <c r="AJ857" s="331"/>
      <c r="AK857" s="331"/>
      <c r="AL857" s="331"/>
    </row>
    <row r="858" ht="15.75" customHeight="1">
      <c r="A858" s="331"/>
      <c r="B858" s="331"/>
      <c r="C858" s="331"/>
      <c r="D858" s="331"/>
      <c r="E858" s="331"/>
      <c r="F858" s="331"/>
      <c r="G858" s="331"/>
      <c r="H858" s="331"/>
      <c r="I858" s="331"/>
      <c r="J858" s="331"/>
      <c r="K858" s="331"/>
      <c r="L858" s="331"/>
      <c r="M858" s="331"/>
      <c r="N858" s="331"/>
      <c r="O858" s="331"/>
      <c r="P858" s="331"/>
      <c r="Q858" s="331"/>
      <c r="R858" s="331"/>
      <c r="S858" s="331"/>
      <c r="T858" s="331"/>
      <c r="U858" s="331"/>
      <c r="V858" s="331"/>
      <c r="W858" s="331"/>
      <c r="X858" s="331"/>
      <c r="Y858" s="331"/>
      <c r="Z858" s="331"/>
      <c r="AA858" s="331"/>
      <c r="AB858" s="331"/>
      <c r="AC858" s="331"/>
      <c r="AD858" s="331"/>
      <c r="AE858" s="331"/>
      <c r="AF858" s="331"/>
      <c r="AG858" s="331"/>
      <c r="AH858" s="331"/>
      <c r="AI858" s="331"/>
      <c r="AJ858" s="331"/>
      <c r="AK858" s="331"/>
      <c r="AL858" s="331"/>
    </row>
    <row r="859" ht="15.75" customHeight="1">
      <c r="A859" s="331"/>
      <c r="B859" s="331"/>
      <c r="C859" s="331"/>
      <c r="D859" s="331"/>
      <c r="E859" s="331"/>
      <c r="F859" s="331"/>
      <c r="G859" s="331"/>
      <c r="H859" s="331"/>
      <c r="I859" s="331"/>
      <c r="J859" s="331"/>
      <c r="K859" s="331"/>
      <c r="L859" s="331"/>
      <c r="M859" s="331"/>
      <c r="N859" s="331"/>
      <c r="O859" s="331"/>
      <c r="P859" s="331"/>
      <c r="Q859" s="331"/>
      <c r="R859" s="331"/>
      <c r="S859" s="331"/>
      <c r="T859" s="331"/>
      <c r="U859" s="331"/>
      <c r="V859" s="331"/>
      <c r="W859" s="331"/>
      <c r="X859" s="331"/>
      <c r="Y859" s="331"/>
      <c r="Z859" s="331"/>
      <c r="AA859" s="331"/>
      <c r="AB859" s="331"/>
      <c r="AC859" s="331"/>
      <c r="AD859" s="331"/>
      <c r="AE859" s="331"/>
      <c r="AF859" s="331"/>
      <c r="AG859" s="331"/>
      <c r="AH859" s="331"/>
      <c r="AI859" s="331"/>
      <c r="AJ859" s="331"/>
      <c r="AK859" s="331"/>
      <c r="AL859" s="331"/>
    </row>
    <row r="860" ht="15.75" customHeight="1">
      <c r="A860" s="331"/>
      <c r="B860" s="331"/>
      <c r="C860" s="331"/>
      <c r="D860" s="331"/>
      <c r="E860" s="331"/>
      <c r="F860" s="331"/>
      <c r="G860" s="331"/>
      <c r="H860" s="331"/>
      <c r="I860" s="331"/>
      <c r="J860" s="331"/>
      <c r="K860" s="331"/>
      <c r="L860" s="331"/>
      <c r="M860" s="331"/>
      <c r="N860" s="331"/>
      <c r="O860" s="331"/>
      <c r="P860" s="331"/>
      <c r="Q860" s="331"/>
      <c r="R860" s="331"/>
      <c r="S860" s="331"/>
      <c r="T860" s="331"/>
      <c r="U860" s="331"/>
      <c r="V860" s="331"/>
      <c r="W860" s="331"/>
      <c r="X860" s="331"/>
      <c r="Y860" s="331"/>
      <c r="Z860" s="331"/>
      <c r="AA860" s="331"/>
      <c r="AB860" s="331"/>
      <c r="AC860" s="331"/>
      <c r="AD860" s="331"/>
      <c r="AE860" s="331"/>
      <c r="AF860" s="331"/>
      <c r="AG860" s="331"/>
      <c r="AH860" s="331"/>
      <c r="AI860" s="331"/>
      <c r="AJ860" s="331"/>
      <c r="AK860" s="331"/>
      <c r="AL860" s="331"/>
    </row>
    <row r="861" ht="15.75" customHeight="1">
      <c r="A861" s="331"/>
      <c r="B861" s="331"/>
      <c r="C861" s="331"/>
      <c r="D861" s="331"/>
      <c r="E861" s="331"/>
      <c r="F861" s="331"/>
      <c r="G861" s="331"/>
      <c r="H861" s="331"/>
      <c r="I861" s="331"/>
      <c r="J861" s="331"/>
      <c r="K861" s="331"/>
      <c r="L861" s="331"/>
      <c r="M861" s="331"/>
      <c r="N861" s="331"/>
      <c r="O861" s="331"/>
      <c r="P861" s="331"/>
      <c r="Q861" s="331"/>
      <c r="R861" s="331"/>
      <c r="S861" s="331"/>
      <c r="T861" s="331"/>
      <c r="U861" s="331"/>
      <c r="V861" s="331"/>
      <c r="W861" s="331"/>
      <c r="X861" s="331"/>
      <c r="Y861" s="331"/>
      <c r="Z861" s="331"/>
      <c r="AA861" s="331"/>
      <c r="AB861" s="331"/>
      <c r="AC861" s="331"/>
      <c r="AD861" s="331"/>
      <c r="AE861" s="331"/>
      <c r="AF861" s="331"/>
      <c r="AG861" s="331"/>
      <c r="AH861" s="331"/>
      <c r="AI861" s="331"/>
      <c r="AJ861" s="331"/>
      <c r="AK861" s="331"/>
      <c r="AL861" s="331"/>
    </row>
    <row r="862" ht="15.75" customHeight="1">
      <c r="A862" s="331"/>
      <c r="B862" s="331"/>
      <c r="C862" s="331"/>
      <c r="D862" s="331"/>
      <c r="E862" s="331"/>
      <c r="F862" s="331"/>
      <c r="G862" s="331"/>
      <c r="H862" s="331"/>
      <c r="I862" s="331"/>
      <c r="J862" s="331"/>
      <c r="K862" s="331"/>
      <c r="L862" s="331"/>
      <c r="M862" s="331"/>
      <c r="N862" s="331"/>
      <c r="O862" s="331"/>
      <c r="P862" s="331"/>
      <c r="Q862" s="331"/>
      <c r="R862" s="331"/>
      <c r="S862" s="331"/>
      <c r="T862" s="331"/>
      <c r="U862" s="331"/>
      <c r="V862" s="331"/>
      <c r="W862" s="331"/>
      <c r="X862" s="331"/>
      <c r="Y862" s="331"/>
      <c r="Z862" s="331"/>
      <c r="AA862" s="331"/>
      <c r="AB862" s="331"/>
      <c r="AC862" s="331"/>
      <c r="AD862" s="331"/>
      <c r="AE862" s="331"/>
      <c r="AF862" s="331"/>
      <c r="AG862" s="331"/>
      <c r="AH862" s="331"/>
      <c r="AI862" s="331"/>
      <c r="AJ862" s="331"/>
      <c r="AK862" s="331"/>
      <c r="AL862" s="331"/>
    </row>
    <row r="863" ht="15.75" customHeight="1">
      <c r="A863" s="331"/>
      <c r="B863" s="331"/>
      <c r="C863" s="331"/>
      <c r="D863" s="331"/>
      <c r="E863" s="331"/>
      <c r="F863" s="331"/>
      <c r="G863" s="331"/>
      <c r="H863" s="331"/>
      <c r="I863" s="331"/>
      <c r="J863" s="331"/>
      <c r="K863" s="331"/>
      <c r="L863" s="331"/>
      <c r="M863" s="331"/>
      <c r="N863" s="331"/>
      <c r="O863" s="331"/>
      <c r="P863" s="331"/>
      <c r="Q863" s="331"/>
      <c r="R863" s="331"/>
      <c r="S863" s="331"/>
      <c r="T863" s="331"/>
      <c r="U863" s="331"/>
      <c r="V863" s="331"/>
      <c r="W863" s="331"/>
      <c r="X863" s="331"/>
      <c r="Y863" s="331"/>
      <c r="Z863" s="331"/>
      <c r="AA863" s="331"/>
      <c r="AB863" s="331"/>
      <c r="AC863" s="331"/>
      <c r="AD863" s="331"/>
      <c r="AE863" s="331"/>
      <c r="AF863" s="331"/>
      <c r="AG863" s="331"/>
      <c r="AH863" s="331"/>
      <c r="AI863" s="331"/>
      <c r="AJ863" s="331"/>
      <c r="AK863" s="331"/>
      <c r="AL863" s="331"/>
    </row>
    <row r="864" ht="15.75" customHeight="1">
      <c r="A864" s="331"/>
      <c r="B864" s="331"/>
      <c r="C864" s="331"/>
      <c r="D864" s="331"/>
      <c r="E864" s="331"/>
      <c r="F864" s="331"/>
      <c r="G864" s="331"/>
      <c r="H864" s="331"/>
      <c r="I864" s="331"/>
      <c r="J864" s="331"/>
      <c r="K864" s="331"/>
      <c r="L864" s="331"/>
      <c r="M864" s="331"/>
      <c r="N864" s="331"/>
      <c r="O864" s="331"/>
      <c r="P864" s="331"/>
      <c r="Q864" s="331"/>
      <c r="R864" s="331"/>
      <c r="S864" s="331"/>
      <c r="T864" s="331"/>
      <c r="U864" s="331"/>
      <c r="V864" s="331"/>
      <c r="W864" s="331"/>
      <c r="X864" s="331"/>
      <c r="Y864" s="331"/>
      <c r="Z864" s="331"/>
      <c r="AA864" s="331"/>
      <c r="AB864" s="331"/>
      <c r="AC864" s="331"/>
      <c r="AD864" s="331"/>
      <c r="AE864" s="331"/>
      <c r="AF864" s="331"/>
      <c r="AG864" s="331"/>
      <c r="AH864" s="331"/>
      <c r="AI864" s="331"/>
      <c r="AJ864" s="331"/>
      <c r="AK864" s="331"/>
      <c r="AL864" s="331"/>
    </row>
    <row r="865" ht="15.75" customHeight="1">
      <c r="A865" s="331"/>
      <c r="B865" s="331"/>
      <c r="C865" s="331"/>
      <c r="D865" s="331"/>
      <c r="E865" s="331"/>
      <c r="F865" s="331"/>
      <c r="G865" s="331"/>
      <c r="H865" s="331"/>
      <c r="I865" s="331"/>
      <c r="J865" s="331"/>
      <c r="K865" s="331"/>
      <c r="L865" s="331"/>
      <c r="M865" s="331"/>
      <c r="N865" s="331"/>
      <c r="O865" s="331"/>
      <c r="P865" s="331"/>
      <c r="Q865" s="331"/>
      <c r="R865" s="331"/>
      <c r="S865" s="331"/>
      <c r="T865" s="331"/>
      <c r="U865" s="331"/>
      <c r="V865" s="331"/>
      <c r="W865" s="331"/>
      <c r="X865" s="331"/>
      <c r="Y865" s="331"/>
      <c r="Z865" s="331"/>
      <c r="AA865" s="331"/>
      <c r="AB865" s="331"/>
      <c r="AC865" s="331"/>
      <c r="AD865" s="331"/>
      <c r="AE865" s="331"/>
      <c r="AF865" s="331"/>
      <c r="AG865" s="331"/>
      <c r="AH865" s="331"/>
      <c r="AI865" s="331"/>
      <c r="AJ865" s="331"/>
      <c r="AK865" s="331"/>
      <c r="AL865" s="331"/>
    </row>
    <row r="866" ht="15.75" customHeight="1">
      <c r="A866" s="331"/>
      <c r="B866" s="331"/>
      <c r="C866" s="331"/>
      <c r="D866" s="331"/>
      <c r="E866" s="331"/>
      <c r="F866" s="331"/>
      <c r="G866" s="331"/>
      <c r="H866" s="331"/>
      <c r="I866" s="331"/>
      <c r="J866" s="331"/>
      <c r="K866" s="331"/>
      <c r="L866" s="331"/>
      <c r="M866" s="331"/>
      <c r="N866" s="331"/>
      <c r="O866" s="331"/>
      <c r="P866" s="331"/>
      <c r="Q866" s="331"/>
      <c r="R866" s="331"/>
      <c r="S866" s="331"/>
      <c r="T866" s="331"/>
      <c r="U866" s="331"/>
      <c r="V866" s="331"/>
      <c r="W866" s="331"/>
      <c r="X866" s="331"/>
      <c r="Y866" s="331"/>
      <c r="Z866" s="331"/>
      <c r="AA866" s="331"/>
      <c r="AB866" s="331"/>
      <c r="AC866" s="331"/>
      <c r="AD866" s="331"/>
      <c r="AE866" s="331"/>
      <c r="AF866" s="331"/>
      <c r="AG866" s="331"/>
      <c r="AH866" s="331"/>
      <c r="AI866" s="331"/>
      <c r="AJ866" s="331"/>
      <c r="AK866" s="331"/>
      <c r="AL866" s="331"/>
    </row>
    <row r="867" ht="15.75" customHeight="1">
      <c r="A867" s="331"/>
      <c r="B867" s="331"/>
      <c r="C867" s="331"/>
      <c r="D867" s="331"/>
      <c r="E867" s="331"/>
      <c r="F867" s="331"/>
      <c r="G867" s="331"/>
      <c r="H867" s="331"/>
      <c r="I867" s="331"/>
      <c r="J867" s="331"/>
      <c r="K867" s="331"/>
      <c r="L867" s="331"/>
      <c r="M867" s="331"/>
      <c r="N867" s="331"/>
      <c r="O867" s="331"/>
      <c r="P867" s="331"/>
      <c r="Q867" s="331"/>
      <c r="R867" s="331"/>
      <c r="S867" s="331"/>
      <c r="T867" s="331"/>
      <c r="U867" s="331"/>
      <c r="V867" s="331"/>
      <c r="W867" s="331"/>
      <c r="X867" s="331"/>
      <c r="Y867" s="331"/>
      <c r="Z867" s="331"/>
      <c r="AA867" s="331"/>
      <c r="AB867" s="331"/>
      <c r="AC867" s="331"/>
      <c r="AD867" s="331"/>
      <c r="AE867" s="331"/>
      <c r="AF867" s="331"/>
      <c r="AG867" s="331"/>
      <c r="AH867" s="331"/>
      <c r="AI867" s="331"/>
      <c r="AJ867" s="331"/>
      <c r="AK867" s="331"/>
      <c r="AL867" s="331"/>
    </row>
    <row r="868" ht="15.75" customHeight="1">
      <c r="A868" s="331"/>
      <c r="B868" s="331"/>
      <c r="C868" s="331"/>
      <c r="D868" s="331"/>
      <c r="E868" s="331"/>
      <c r="F868" s="331"/>
      <c r="G868" s="331"/>
      <c r="H868" s="331"/>
      <c r="I868" s="331"/>
      <c r="J868" s="331"/>
      <c r="K868" s="331"/>
      <c r="L868" s="331"/>
      <c r="M868" s="331"/>
      <c r="N868" s="331"/>
      <c r="O868" s="331"/>
      <c r="P868" s="331"/>
      <c r="Q868" s="331"/>
      <c r="R868" s="331"/>
      <c r="S868" s="331"/>
      <c r="T868" s="331"/>
      <c r="U868" s="331"/>
      <c r="V868" s="331"/>
      <c r="W868" s="331"/>
      <c r="X868" s="331"/>
      <c r="Y868" s="331"/>
      <c r="Z868" s="331"/>
      <c r="AA868" s="331"/>
      <c r="AB868" s="331"/>
      <c r="AC868" s="331"/>
      <c r="AD868" s="331"/>
      <c r="AE868" s="331"/>
      <c r="AF868" s="331"/>
      <c r="AG868" s="331"/>
      <c r="AH868" s="331"/>
      <c r="AI868" s="331"/>
      <c r="AJ868" s="331"/>
      <c r="AK868" s="331"/>
      <c r="AL868" s="331"/>
    </row>
    <row r="869" ht="15.75" customHeight="1">
      <c r="A869" s="331"/>
      <c r="B869" s="331"/>
      <c r="C869" s="331"/>
      <c r="D869" s="331"/>
      <c r="E869" s="331"/>
      <c r="F869" s="331"/>
      <c r="G869" s="331"/>
      <c r="H869" s="331"/>
      <c r="I869" s="331"/>
      <c r="J869" s="331"/>
      <c r="K869" s="331"/>
      <c r="L869" s="331"/>
      <c r="M869" s="331"/>
      <c r="N869" s="331"/>
      <c r="O869" s="331"/>
      <c r="P869" s="331"/>
      <c r="Q869" s="331"/>
      <c r="R869" s="331"/>
      <c r="S869" s="331"/>
      <c r="T869" s="331"/>
      <c r="U869" s="331"/>
      <c r="V869" s="331"/>
      <c r="W869" s="331"/>
      <c r="X869" s="331"/>
      <c r="Y869" s="331"/>
      <c r="Z869" s="331"/>
      <c r="AA869" s="331"/>
      <c r="AB869" s="331"/>
      <c r="AC869" s="331"/>
      <c r="AD869" s="331"/>
      <c r="AE869" s="331"/>
      <c r="AF869" s="331"/>
      <c r="AG869" s="331"/>
      <c r="AH869" s="331"/>
      <c r="AI869" s="331"/>
      <c r="AJ869" s="331"/>
      <c r="AK869" s="331"/>
      <c r="AL869" s="331"/>
    </row>
    <row r="870" ht="15.75" customHeight="1">
      <c r="A870" s="331"/>
      <c r="B870" s="331"/>
      <c r="C870" s="331"/>
      <c r="D870" s="331"/>
      <c r="E870" s="331"/>
      <c r="F870" s="331"/>
      <c r="G870" s="331"/>
      <c r="H870" s="331"/>
      <c r="I870" s="331"/>
      <c r="J870" s="331"/>
      <c r="K870" s="331"/>
      <c r="L870" s="331"/>
      <c r="M870" s="331"/>
      <c r="N870" s="331"/>
      <c r="O870" s="331"/>
      <c r="P870" s="331"/>
      <c r="Q870" s="331"/>
      <c r="R870" s="331"/>
      <c r="S870" s="331"/>
      <c r="T870" s="331"/>
      <c r="U870" s="331"/>
      <c r="V870" s="331"/>
      <c r="W870" s="331"/>
      <c r="X870" s="331"/>
      <c r="Y870" s="331"/>
      <c r="Z870" s="331"/>
      <c r="AA870" s="331"/>
      <c r="AB870" s="331"/>
      <c r="AC870" s="331"/>
      <c r="AD870" s="331"/>
      <c r="AE870" s="331"/>
      <c r="AF870" s="331"/>
      <c r="AG870" s="331"/>
      <c r="AH870" s="331"/>
      <c r="AI870" s="331"/>
      <c r="AJ870" s="331"/>
      <c r="AK870" s="331"/>
      <c r="AL870" s="331"/>
    </row>
    <row r="871" ht="15.75" customHeight="1">
      <c r="A871" s="331"/>
      <c r="B871" s="331"/>
      <c r="C871" s="331"/>
      <c r="D871" s="331"/>
      <c r="E871" s="331"/>
      <c r="F871" s="331"/>
      <c r="G871" s="331"/>
      <c r="H871" s="331"/>
      <c r="I871" s="331"/>
      <c r="J871" s="331"/>
      <c r="K871" s="331"/>
      <c r="L871" s="331"/>
      <c r="M871" s="331"/>
      <c r="N871" s="331"/>
      <c r="O871" s="331"/>
      <c r="P871" s="331"/>
      <c r="Q871" s="331"/>
      <c r="R871" s="331"/>
      <c r="S871" s="331"/>
      <c r="T871" s="331"/>
      <c r="U871" s="331"/>
      <c r="V871" s="331"/>
      <c r="W871" s="331"/>
      <c r="X871" s="331"/>
      <c r="Y871" s="331"/>
      <c r="Z871" s="331"/>
      <c r="AA871" s="331"/>
      <c r="AB871" s="331"/>
      <c r="AC871" s="331"/>
      <c r="AD871" s="331"/>
      <c r="AE871" s="331"/>
      <c r="AF871" s="331"/>
      <c r="AG871" s="331"/>
      <c r="AH871" s="331"/>
      <c r="AI871" s="331"/>
      <c r="AJ871" s="331"/>
      <c r="AK871" s="331"/>
      <c r="AL871" s="331"/>
    </row>
    <row r="872" ht="15.75" customHeight="1">
      <c r="A872" s="331"/>
      <c r="B872" s="331"/>
      <c r="C872" s="331"/>
      <c r="D872" s="331"/>
      <c r="E872" s="331"/>
      <c r="F872" s="331"/>
      <c r="G872" s="331"/>
      <c r="H872" s="331"/>
      <c r="I872" s="331"/>
      <c r="J872" s="331"/>
      <c r="K872" s="331"/>
      <c r="L872" s="331"/>
      <c r="M872" s="331"/>
      <c r="N872" s="331"/>
      <c r="O872" s="331"/>
      <c r="P872" s="331"/>
      <c r="Q872" s="331"/>
      <c r="R872" s="331"/>
      <c r="S872" s="331"/>
      <c r="T872" s="331"/>
      <c r="U872" s="331"/>
      <c r="V872" s="331"/>
      <c r="W872" s="331"/>
      <c r="X872" s="331"/>
      <c r="Y872" s="331"/>
      <c r="Z872" s="331"/>
      <c r="AA872" s="331"/>
      <c r="AB872" s="331"/>
      <c r="AC872" s="331"/>
      <c r="AD872" s="331"/>
      <c r="AE872" s="331"/>
      <c r="AF872" s="331"/>
      <c r="AG872" s="331"/>
      <c r="AH872" s="331"/>
      <c r="AI872" s="331"/>
      <c r="AJ872" s="331"/>
      <c r="AK872" s="331"/>
      <c r="AL872" s="331"/>
    </row>
    <row r="873" ht="15.75" customHeight="1">
      <c r="A873" s="331"/>
      <c r="B873" s="331"/>
      <c r="C873" s="331"/>
      <c r="D873" s="331"/>
      <c r="E873" s="331"/>
      <c r="F873" s="331"/>
      <c r="G873" s="331"/>
      <c r="H873" s="331"/>
      <c r="I873" s="331"/>
      <c r="J873" s="331"/>
      <c r="K873" s="331"/>
      <c r="L873" s="331"/>
      <c r="M873" s="331"/>
      <c r="N873" s="331"/>
      <c r="O873" s="331"/>
      <c r="P873" s="331"/>
      <c r="Q873" s="331"/>
      <c r="R873" s="331"/>
      <c r="S873" s="331"/>
      <c r="T873" s="331"/>
      <c r="U873" s="331"/>
      <c r="V873" s="331"/>
      <c r="W873" s="331"/>
      <c r="X873" s="331"/>
      <c r="Y873" s="331"/>
      <c r="Z873" s="331"/>
      <c r="AA873" s="331"/>
      <c r="AB873" s="331"/>
      <c r="AC873" s="331"/>
      <c r="AD873" s="331"/>
      <c r="AE873" s="331"/>
      <c r="AF873" s="331"/>
      <c r="AG873" s="331"/>
      <c r="AH873" s="331"/>
      <c r="AI873" s="331"/>
      <c r="AJ873" s="331"/>
      <c r="AK873" s="331"/>
      <c r="AL873" s="331"/>
    </row>
    <row r="874" ht="15.75" customHeight="1">
      <c r="A874" s="331"/>
      <c r="B874" s="331"/>
      <c r="C874" s="331"/>
      <c r="D874" s="331"/>
      <c r="E874" s="331"/>
      <c r="F874" s="331"/>
      <c r="G874" s="331"/>
      <c r="H874" s="331"/>
      <c r="I874" s="331"/>
      <c r="J874" s="331"/>
      <c r="K874" s="331"/>
      <c r="L874" s="331"/>
      <c r="M874" s="331"/>
      <c r="N874" s="331"/>
      <c r="O874" s="331"/>
      <c r="P874" s="331"/>
      <c r="Q874" s="331"/>
      <c r="R874" s="331"/>
      <c r="S874" s="331"/>
      <c r="T874" s="331"/>
      <c r="U874" s="331"/>
      <c r="V874" s="331"/>
      <c r="W874" s="331"/>
      <c r="X874" s="331"/>
      <c r="Y874" s="331"/>
      <c r="Z874" s="331"/>
      <c r="AA874" s="331"/>
      <c r="AB874" s="331"/>
      <c r="AC874" s="331"/>
      <c r="AD874" s="331"/>
      <c r="AE874" s="331"/>
      <c r="AF874" s="331"/>
      <c r="AG874" s="331"/>
      <c r="AH874" s="331"/>
      <c r="AI874" s="331"/>
      <c r="AJ874" s="331"/>
      <c r="AK874" s="331"/>
      <c r="AL874" s="331"/>
    </row>
    <row r="875" ht="15.75" customHeight="1">
      <c r="A875" s="331"/>
      <c r="B875" s="331"/>
      <c r="C875" s="331"/>
      <c r="D875" s="331"/>
      <c r="E875" s="331"/>
      <c r="F875" s="331"/>
      <c r="G875" s="331"/>
      <c r="H875" s="331"/>
      <c r="I875" s="331"/>
      <c r="J875" s="331"/>
      <c r="K875" s="331"/>
      <c r="L875" s="331"/>
      <c r="M875" s="331"/>
      <c r="N875" s="331"/>
      <c r="O875" s="331"/>
      <c r="P875" s="331"/>
      <c r="Q875" s="331"/>
      <c r="R875" s="331"/>
      <c r="S875" s="331"/>
      <c r="T875" s="331"/>
      <c r="U875" s="331"/>
      <c r="V875" s="331"/>
      <c r="W875" s="331"/>
      <c r="X875" s="331"/>
      <c r="Y875" s="331"/>
      <c r="Z875" s="331"/>
      <c r="AA875" s="331"/>
      <c r="AB875" s="331"/>
      <c r="AC875" s="331"/>
      <c r="AD875" s="331"/>
      <c r="AE875" s="331"/>
      <c r="AF875" s="331"/>
      <c r="AG875" s="331"/>
      <c r="AH875" s="331"/>
      <c r="AI875" s="331"/>
      <c r="AJ875" s="331"/>
      <c r="AK875" s="331"/>
      <c r="AL875" s="331"/>
    </row>
    <row r="876" ht="15.75" customHeight="1">
      <c r="A876" s="331"/>
      <c r="B876" s="331"/>
      <c r="C876" s="331"/>
      <c r="D876" s="331"/>
      <c r="E876" s="331"/>
      <c r="F876" s="331"/>
      <c r="G876" s="331"/>
      <c r="H876" s="331"/>
      <c r="I876" s="331"/>
      <c r="J876" s="331"/>
      <c r="K876" s="331"/>
      <c r="L876" s="331"/>
      <c r="M876" s="331"/>
      <c r="N876" s="331"/>
      <c r="O876" s="331"/>
      <c r="P876" s="331"/>
      <c r="Q876" s="331"/>
      <c r="R876" s="331"/>
      <c r="S876" s="331"/>
      <c r="T876" s="331"/>
      <c r="U876" s="331"/>
      <c r="V876" s="331"/>
      <c r="W876" s="331"/>
      <c r="X876" s="331"/>
      <c r="Y876" s="331"/>
      <c r="Z876" s="331"/>
      <c r="AA876" s="331"/>
      <c r="AB876" s="331"/>
      <c r="AC876" s="331"/>
      <c r="AD876" s="331"/>
      <c r="AE876" s="331"/>
      <c r="AF876" s="331"/>
      <c r="AG876" s="331"/>
      <c r="AH876" s="331"/>
      <c r="AI876" s="331"/>
      <c r="AJ876" s="331"/>
      <c r="AK876" s="331"/>
      <c r="AL876" s="331"/>
    </row>
    <row r="877" ht="15.75" customHeight="1">
      <c r="A877" s="331"/>
      <c r="B877" s="331"/>
      <c r="C877" s="331"/>
      <c r="D877" s="331"/>
      <c r="E877" s="331"/>
      <c r="F877" s="331"/>
      <c r="G877" s="331"/>
      <c r="H877" s="331"/>
      <c r="I877" s="331"/>
      <c r="J877" s="331"/>
      <c r="K877" s="331"/>
      <c r="L877" s="331"/>
      <c r="M877" s="331"/>
      <c r="N877" s="331"/>
      <c r="O877" s="331"/>
      <c r="P877" s="331"/>
      <c r="Q877" s="331"/>
      <c r="R877" s="331"/>
      <c r="S877" s="331"/>
      <c r="T877" s="331"/>
      <c r="U877" s="331"/>
      <c r="V877" s="331"/>
      <c r="W877" s="331"/>
      <c r="X877" s="331"/>
      <c r="Y877" s="331"/>
      <c r="Z877" s="331"/>
      <c r="AA877" s="331"/>
      <c r="AB877" s="331"/>
      <c r="AC877" s="331"/>
      <c r="AD877" s="331"/>
      <c r="AE877" s="331"/>
      <c r="AF877" s="331"/>
      <c r="AG877" s="331"/>
      <c r="AH877" s="331"/>
      <c r="AI877" s="331"/>
      <c r="AJ877" s="331"/>
      <c r="AK877" s="331"/>
      <c r="AL877" s="331"/>
    </row>
    <row r="878" ht="15.75" customHeight="1">
      <c r="A878" s="331"/>
      <c r="B878" s="331"/>
      <c r="C878" s="331"/>
      <c r="D878" s="331"/>
      <c r="E878" s="331"/>
      <c r="F878" s="331"/>
      <c r="G878" s="331"/>
      <c r="H878" s="331"/>
      <c r="I878" s="331"/>
      <c r="J878" s="331"/>
      <c r="K878" s="331"/>
      <c r="L878" s="331"/>
      <c r="M878" s="331"/>
      <c r="N878" s="331"/>
      <c r="O878" s="331"/>
      <c r="P878" s="331"/>
      <c r="Q878" s="331"/>
      <c r="R878" s="331"/>
      <c r="S878" s="331"/>
      <c r="T878" s="331"/>
      <c r="U878" s="331"/>
      <c r="V878" s="331"/>
      <c r="W878" s="331"/>
      <c r="X878" s="331"/>
      <c r="Y878" s="331"/>
      <c r="Z878" s="331"/>
      <c r="AA878" s="331"/>
      <c r="AB878" s="331"/>
      <c r="AC878" s="331"/>
      <c r="AD878" s="331"/>
      <c r="AE878" s="331"/>
      <c r="AF878" s="331"/>
      <c r="AG878" s="331"/>
      <c r="AH878" s="331"/>
      <c r="AI878" s="331"/>
      <c r="AJ878" s="331"/>
      <c r="AK878" s="331"/>
      <c r="AL878" s="331"/>
    </row>
    <row r="879" ht="15.75" customHeight="1">
      <c r="A879" s="331"/>
      <c r="B879" s="331"/>
      <c r="C879" s="331"/>
      <c r="D879" s="331"/>
      <c r="E879" s="331"/>
      <c r="F879" s="331"/>
      <c r="G879" s="331"/>
      <c r="H879" s="331"/>
      <c r="I879" s="331"/>
      <c r="J879" s="331"/>
      <c r="K879" s="331"/>
      <c r="L879" s="331"/>
      <c r="M879" s="331"/>
      <c r="N879" s="331"/>
      <c r="O879" s="331"/>
      <c r="P879" s="331"/>
      <c r="Q879" s="331"/>
      <c r="R879" s="331"/>
      <c r="S879" s="331"/>
      <c r="T879" s="331"/>
      <c r="U879" s="331"/>
      <c r="V879" s="331"/>
      <c r="W879" s="331"/>
      <c r="X879" s="331"/>
      <c r="Y879" s="331"/>
      <c r="Z879" s="331"/>
      <c r="AA879" s="331"/>
      <c r="AB879" s="331"/>
      <c r="AC879" s="331"/>
      <c r="AD879" s="331"/>
      <c r="AE879" s="331"/>
      <c r="AF879" s="331"/>
      <c r="AG879" s="331"/>
      <c r="AH879" s="331"/>
      <c r="AI879" s="331"/>
      <c r="AJ879" s="331"/>
      <c r="AK879" s="331"/>
      <c r="AL879" s="331"/>
    </row>
    <row r="880" ht="15.75" customHeight="1">
      <c r="A880" s="331"/>
      <c r="B880" s="331"/>
      <c r="C880" s="331"/>
      <c r="D880" s="331"/>
      <c r="E880" s="331"/>
      <c r="F880" s="331"/>
      <c r="G880" s="331"/>
      <c r="H880" s="331"/>
      <c r="I880" s="331"/>
      <c r="J880" s="331"/>
      <c r="K880" s="331"/>
      <c r="L880" s="331"/>
      <c r="M880" s="331"/>
      <c r="N880" s="331"/>
      <c r="O880" s="331"/>
      <c r="P880" s="331"/>
      <c r="Q880" s="331"/>
      <c r="R880" s="331"/>
      <c r="S880" s="331"/>
      <c r="T880" s="331"/>
      <c r="U880" s="331"/>
      <c r="V880" s="331"/>
      <c r="W880" s="331"/>
      <c r="X880" s="331"/>
      <c r="Y880" s="331"/>
      <c r="Z880" s="331"/>
      <c r="AA880" s="331"/>
      <c r="AB880" s="331"/>
      <c r="AC880" s="331"/>
      <c r="AD880" s="331"/>
      <c r="AE880" s="331"/>
      <c r="AF880" s="331"/>
      <c r="AG880" s="331"/>
      <c r="AH880" s="331"/>
      <c r="AI880" s="331"/>
      <c r="AJ880" s="331"/>
      <c r="AK880" s="331"/>
      <c r="AL880" s="331"/>
    </row>
    <row r="881" ht="15.75" customHeight="1">
      <c r="A881" s="331"/>
      <c r="B881" s="331"/>
      <c r="C881" s="331"/>
      <c r="D881" s="331"/>
      <c r="E881" s="331"/>
      <c r="F881" s="331"/>
      <c r="G881" s="331"/>
      <c r="H881" s="331"/>
      <c r="I881" s="331"/>
      <c r="J881" s="331"/>
      <c r="K881" s="331"/>
      <c r="L881" s="331"/>
      <c r="M881" s="331"/>
      <c r="N881" s="331"/>
      <c r="O881" s="331"/>
      <c r="P881" s="331"/>
      <c r="Q881" s="331"/>
      <c r="R881" s="331"/>
      <c r="S881" s="331"/>
      <c r="T881" s="331"/>
      <c r="U881" s="331"/>
      <c r="V881" s="331"/>
      <c r="W881" s="331"/>
      <c r="X881" s="331"/>
      <c r="Y881" s="331"/>
      <c r="Z881" s="331"/>
      <c r="AA881" s="331"/>
      <c r="AB881" s="331"/>
      <c r="AC881" s="331"/>
      <c r="AD881" s="331"/>
      <c r="AE881" s="331"/>
      <c r="AF881" s="331"/>
      <c r="AG881" s="331"/>
      <c r="AH881" s="331"/>
      <c r="AI881" s="331"/>
      <c r="AJ881" s="331"/>
      <c r="AK881" s="331"/>
      <c r="AL881" s="331"/>
    </row>
    <row r="882" ht="15.75" customHeight="1">
      <c r="A882" s="331"/>
      <c r="B882" s="331"/>
      <c r="C882" s="331"/>
      <c r="D882" s="331"/>
      <c r="E882" s="331"/>
      <c r="F882" s="331"/>
      <c r="G882" s="331"/>
      <c r="H882" s="331"/>
      <c r="I882" s="331"/>
      <c r="J882" s="331"/>
      <c r="K882" s="331"/>
      <c r="L882" s="331"/>
      <c r="M882" s="331"/>
      <c r="N882" s="331"/>
      <c r="O882" s="331"/>
      <c r="P882" s="331"/>
      <c r="Q882" s="331"/>
      <c r="R882" s="331"/>
      <c r="S882" s="331"/>
      <c r="T882" s="331"/>
      <c r="U882" s="331"/>
      <c r="V882" s="331"/>
      <c r="W882" s="331"/>
      <c r="X882" s="331"/>
      <c r="Y882" s="331"/>
      <c r="Z882" s="331"/>
      <c r="AA882" s="331"/>
      <c r="AB882" s="331"/>
      <c r="AC882" s="331"/>
      <c r="AD882" s="331"/>
      <c r="AE882" s="331"/>
      <c r="AF882" s="331"/>
      <c r="AG882" s="331"/>
      <c r="AH882" s="331"/>
      <c r="AI882" s="331"/>
      <c r="AJ882" s="331"/>
      <c r="AK882" s="331"/>
      <c r="AL882" s="331"/>
    </row>
    <row r="883" ht="15.75" customHeight="1">
      <c r="A883" s="331"/>
      <c r="B883" s="331"/>
      <c r="C883" s="331"/>
      <c r="D883" s="331"/>
      <c r="E883" s="331"/>
      <c r="F883" s="331"/>
      <c r="G883" s="331"/>
      <c r="H883" s="331"/>
      <c r="I883" s="331"/>
      <c r="J883" s="331"/>
      <c r="K883" s="331"/>
      <c r="L883" s="331"/>
      <c r="M883" s="331"/>
      <c r="N883" s="331"/>
      <c r="O883" s="331"/>
      <c r="P883" s="331"/>
      <c r="Q883" s="331"/>
      <c r="R883" s="331"/>
      <c r="S883" s="331"/>
      <c r="T883" s="331"/>
      <c r="U883" s="331"/>
      <c r="V883" s="331"/>
      <c r="W883" s="331"/>
      <c r="X883" s="331"/>
      <c r="Y883" s="331"/>
      <c r="Z883" s="331"/>
      <c r="AA883" s="331"/>
      <c r="AB883" s="331"/>
      <c r="AC883" s="331"/>
      <c r="AD883" s="331"/>
      <c r="AE883" s="331"/>
      <c r="AF883" s="331"/>
      <c r="AG883" s="331"/>
      <c r="AH883" s="331"/>
      <c r="AI883" s="331"/>
      <c r="AJ883" s="331"/>
      <c r="AK883" s="331"/>
      <c r="AL883" s="331"/>
    </row>
    <row r="884" ht="15.75" customHeight="1">
      <c r="A884" s="331"/>
      <c r="B884" s="331"/>
      <c r="C884" s="331"/>
      <c r="D884" s="331"/>
      <c r="E884" s="331"/>
      <c r="F884" s="331"/>
      <c r="G884" s="331"/>
      <c r="H884" s="331"/>
      <c r="I884" s="331"/>
      <c r="J884" s="331"/>
      <c r="K884" s="331"/>
      <c r="L884" s="331"/>
      <c r="M884" s="331"/>
      <c r="N884" s="331"/>
      <c r="O884" s="331"/>
      <c r="P884" s="331"/>
      <c r="Q884" s="331"/>
      <c r="R884" s="331"/>
      <c r="S884" s="331"/>
      <c r="T884" s="331"/>
      <c r="U884" s="331"/>
      <c r="V884" s="331"/>
      <c r="W884" s="331"/>
      <c r="X884" s="331"/>
      <c r="Y884" s="331"/>
      <c r="Z884" s="331"/>
      <c r="AA884" s="331"/>
      <c r="AB884" s="331"/>
      <c r="AC884" s="331"/>
      <c r="AD884" s="331"/>
      <c r="AE884" s="331"/>
      <c r="AF884" s="331"/>
      <c r="AG884" s="331"/>
      <c r="AH884" s="331"/>
      <c r="AI884" s="331"/>
      <c r="AJ884" s="331"/>
      <c r="AK884" s="331"/>
      <c r="AL884" s="331"/>
    </row>
    <row r="885" ht="15.75" customHeight="1">
      <c r="A885" s="331"/>
      <c r="B885" s="331"/>
      <c r="C885" s="331"/>
      <c r="D885" s="331"/>
      <c r="E885" s="331"/>
      <c r="F885" s="331"/>
      <c r="G885" s="331"/>
      <c r="H885" s="331"/>
      <c r="I885" s="331"/>
      <c r="J885" s="331"/>
      <c r="K885" s="331"/>
      <c r="L885" s="331"/>
      <c r="M885" s="331"/>
      <c r="N885" s="331"/>
      <c r="O885" s="331"/>
      <c r="P885" s="331"/>
      <c r="Q885" s="331"/>
      <c r="R885" s="331"/>
      <c r="S885" s="331"/>
      <c r="T885" s="331"/>
      <c r="U885" s="331"/>
      <c r="V885" s="331"/>
      <c r="W885" s="331"/>
      <c r="X885" s="331"/>
      <c r="Y885" s="331"/>
      <c r="Z885" s="331"/>
      <c r="AA885" s="331"/>
      <c r="AB885" s="331"/>
      <c r="AC885" s="331"/>
      <c r="AD885" s="331"/>
      <c r="AE885" s="331"/>
      <c r="AF885" s="331"/>
      <c r="AG885" s="331"/>
      <c r="AH885" s="331"/>
      <c r="AI885" s="331"/>
      <c r="AJ885" s="331"/>
      <c r="AK885" s="331"/>
      <c r="AL885" s="331"/>
    </row>
    <row r="886" ht="15.75" customHeight="1">
      <c r="A886" s="331"/>
      <c r="B886" s="331"/>
      <c r="C886" s="331"/>
      <c r="D886" s="331"/>
      <c r="E886" s="331"/>
      <c r="F886" s="331"/>
      <c r="G886" s="331"/>
      <c r="H886" s="331"/>
      <c r="I886" s="331"/>
      <c r="J886" s="331"/>
      <c r="K886" s="331"/>
      <c r="L886" s="331"/>
      <c r="M886" s="331"/>
      <c r="N886" s="331"/>
      <c r="O886" s="331"/>
      <c r="P886" s="331"/>
      <c r="Q886" s="331"/>
      <c r="R886" s="331"/>
      <c r="S886" s="331"/>
      <c r="T886" s="331"/>
      <c r="U886" s="331"/>
      <c r="V886" s="331"/>
      <c r="W886" s="331"/>
      <c r="X886" s="331"/>
      <c r="Y886" s="331"/>
      <c r="Z886" s="331"/>
      <c r="AA886" s="331"/>
      <c r="AB886" s="331"/>
      <c r="AC886" s="331"/>
      <c r="AD886" s="331"/>
      <c r="AE886" s="331"/>
      <c r="AF886" s="331"/>
      <c r="AG886" s="331"/>
      <c r="AH886" s="331"/>
      <c r="AI886" s="331"/>
      <c r="AJ886" s="331"/>
      <c r="AK886" s="331"/>
      <c r="AL886" s="331"/>
    </row>
    <row r="887" ht="15.75" customHeight="1">
      <c r="A887" s="331"/>
      <c r="B887" s="331"/>
      <c r="C887" s="331"/>
      <c r="D887" s="331"/>
      <c r="E887" s="331"/>
      <c r="F887" s="331"/>
      <c r="G887" s="331"/>
      <c r="H887" s="331"/>
      <c r="I887" s="331"/>
      <c r="J887" s="331"/>
      <c r="K887" s="331"/>
      <c r="L887" s="331"/>
      <c r="M887" s="331"/>
      <c r="N887" s="331"/>
      <c r="O887" s="331"/>
      <c r="P887" s="331"/>
      <c r="Q887" s="331"/>
      <c r="R887" s="331"/>
      <c r="S887" s="331"/>
      <c r="T887" s="331"/>
      <c r="U887" s="331"/>
      <c r="V887" s="331"/>
      <c r="W887" s="331"/>
      <c r="X887" s="331"/>
      <c r="Y887" s="331"/>
      <c r="Z887" s="331"/>
      <c r="AA887" s="331"/>
      <c r="AB887" s="331"/>
      <c r="AC887" s="331"/>
      <c r="AD887" s="331"/>
      <c r="AE887" s="331"/>
      <c r="AF887" s="331"/>
      <c r="AG887" s="331"/>
      <c r="AH887" s="331"/>
      <c r="AI887" s="331"/>
      <c r="AJ887" s="331"/>
      <c r="AK887" s="331"/>
      <c r="AL887" s="331"/>
    </row>
    <row r="888" ht="15.75" customHeight="1">
      <c r="A888" s="331"/>
      <c r="B888" s="331"/>
      <c r="C888" s="331"/>
      <c r="D888" s="331"/>
      <c r="E888" s="331"/>
      <c r="F888" s="331"/>
      <c r="G888" s="331"/>
      <c r="H888" s="331"/>
      <c r="I888" s="331"/>
      <c r="J888" s="331"/>
      <c r="K888" s="331"/>
      <c r="L888" s="331"/>
      <c r="M888" s="331"/>
      <c r="N888" s="331"/>
      <c r="O888" s="331"/>
      <c r="P888" s="331"/>
      <c r="Q888" s="331"/>
      <c r="R888" s="331"/>
      <c r="S888" s="331"/>
      <c r="T888" s="331"/>
      <c r="U888" s="331"/>
      <c r="V888" s="331"/>
      <c r="W888" s="331"/>
      <c r="X888" s="331"/>
      <c r="Y888" s="331"/>
      <c r="Z888" s="331"/>
      <c r="AA888" s="331"/>
      <c r="AB888" s="331"/>
      <c r="AC888" s="331"/>
      <c r="AD888" s="331"/>
      <c r="AE888" s="331"/>
      <c r="AF888" s="331"/>
      <c r="AG888" s="331"/>
      <c r="AH888" s="331"/>
      <c r="AI888" s="331"/>
      <c r="AJ888" s="331"/>
      <c r="AK888" s="331"/>
      <c r="AL888" s="331"/>
    </row>
    <row r="889" ht="15.75" customHeight="1">
      <c r="A889" s="331"/>
      <c r="B889" s="331"/>
      <c r="C889" s="331"/>
      <c r="D889" s="331"/>
      <c r="E889" s="331"/>
      <c r="F889" s="331"/>
      <c r="G889" s="331"/>
      <c r="H889" s="331"/>
      <c r="I889" s="331"/>
      <c r="J889" s="331"/>
      <c r="K889" s="331"/>
      <c r="L889" s="331"/>
      <c r="M889" s="331"/>
      <c r="N889" s="331"/>
      <c r="O889" s="331"/>
      <c r="P889" s="331"/>
      <c r="Q889" s="331"/>
      <c r="R889" s="331"/>
      <c r="S889" s="331"/>
      <c r="T889" s="331"/>
      <c r="U889" s="331"/>
      <c r="V889" s="331"/>
      <c r="W889" s="331"/>
      <c r="X889" s="331"/>
      <c r="Y889" s="331"/>
      <c r="Z889" s="331"/>
      <c r="AA889" s="331"/>
      <c r="AB889" s="331"/>
      <c r="AC889" s="331"/>
      <c r="AD889" s="331"/>
      <c r="AE889" s="331"/>
      <c r="AF889" s="331"/>
      <c r="AG889" s="331"/>
      <c r="AH889" s="331"/>
      <c r="AI889" s="331"/>
      <c r="AJ889" s="331"/>
      <c r="AK889" s="331"/>
      <c r="AL889" s="331"/>
    </row>
    <row r="890" ht="15.75" customHeight="1">
      <c r="A890" s="331"/>
      <c r="B890" s="331"/>
      <c r="C890" s="331"/>
      <c r="D890" s="331"/>
      <c r="E890" s="331"/>
      <c r="F890" s="331"/>
      <c r="G890" s="331"/>
      <c r="H890" s="331"/>
      <c r="I890" s="331"/>
      <c r="J890" s="331"/>
      <c r="K890" s="331"/>
      <c r="L890" s="331"/>
      <c r="M890" s="331"/>
      <c r="N890" s="331"/>
      <c r="O890" s="331"/>
      <c r="P890" s="331"/>
      <c r="Q890" s="331"/>
      <c r="R890" s="331"/>
      <c r="S890" s="331"/>
      <c r="T890" s="331"/>
      <c r="U890" s="331"/>
      <c r="V890" s="331"/>
      <c r="W890" s="331"/>
      <c r="X890" s="331"/>
      <c r="Y890" s="331"/>
      <c r="Z890" s="331"/>
      <c r="AA890" s="331"/>
      <c r="AB890" s="331"/>
      <c r="AC890" s="331"/>
      <c r="AD890" s="331"/>
      <c r="AE890" s="331"/>
      <c r="AF890" s="331"/>
      <c r="AG890" s="331"/>
      <c r="AH890" s="331"/>
      <c r="AI890" s="331"/>
      <c r="AJ890" s="331"/>
      <c r="AK890" s="331"/>
      <c r="AL890" s="331"/>
    </row>
    <row r="891" ht="15.75" customHeight="1">
      <c r="A891" s="331"/>
      <c r="B891" s="331"/>
      <c r="C891" s="331"/>
      <c r="D891" s="331"/>
      <c r="E891" s="331"/>
      <c r="F891" s="331"/>
      <c r="G891" s="331"/>
      <c r="H891" s="331"/>
      <c r="I891" s="331"/>
      <c r="J891" s="331"/>
      <c r="K891" s="331"/>
      <c r="L891" s="331"/>
      <c r="M891" s="331"/>
      <c r="N891" s="331"/>
      <c r="O891" s="331"/>
      <c r="P891" s="331"/>
      <c r="Q891" s="331"/>
      <c r="R891" s="331"/>
      <c r="S891" s="331"/>
      <c r="T891" s="331"/>
      <c r="U891" s="331"/>
      <c r="V891" s="331"/>
      <c r="W891" s="331"/>
      <c r="X891" s="331"/>
      <c r="Y891" s="331"/>
      <c r="Z891" s="331"/>
      <c r="AA891" s="331"/>
      <c r="AB891" s="331"/>
      <c r="AC891" s="331"/>
      <c r="AD891" s="331"/>
      <c r="AE891" s="331"/>
      <c r="AF891" s="331"/>
      <c r="AG891" s="331"/>
      <c r="AH891" s="331"/>
      <c r="AI891" s="331"/>
      <c r="AJ891" s="331"/>
      <c r="AK891" s="331"/>
      <c r="AL891" s="331"/>
    </row>
    <row r="892" ht="15.75" customHeight="1">
      <c r="A892" s="331"/>
      <c r="B892" s="331"/>
      <c r="C892" s="331"/>
      <c r="D892" s="331"/>
      <c r="E892" s="331"/>
      <c r="F892" s="331"/>
      <c r="G892" s="331"/>
      <c r="H892" s="331"/>
      <c r="I892" s="331"/>
      <c r="J892" s="331"/>
      <c r="K892" s="331"/>
      <c r="L892" s="331"/>
      <c r="M892" s="331"/>
      <c r="N892" s="331"/>
      <c r="O892" s="331"/>
      <c r="P892" s="331"/>
      <c r="Q892" s="331"/>
      <c r="R892" s="331"/>
      <c r="S892" s="331"/>
      <c r="T892" s="331"/>
      <c r="U892" s="331"/>
      <c r="V892" s="331"/>
      <c r="W892" s="331"/>
      <c r="X892" s="331"/>
      <c r="Y892" s="331"/>
      <c r="Z892" s="331"/>
      <c r="AA892" s="331"/>
      <c r="AB892" s="331"/>
      <c r="AC892" s="331"/>
      <c r="AD892" s="331"/>
      <c r="AE892" s="331"/>
      <c r="AF892" s="331"/>
      <c r="AG892" s="331"/>
      <c r="AH892" s="331"/>
      <c r="AI892" s="331"/>
      <c r="AJ892" s="331"/>
      <c r="AK892" s="331"/>
      <c r="AL892" s="331"/>
    </row>
    <row r="893" ht="15.75" customHeight="1">
      <c r="A893" s="331"/>
      <c r="B893" s="331"/>
      <c r="C893" s="331"/>
      <c r="D893" s="331"/>
      <c r="E893" s="331"/>
      <c r="F893" s="331"/>
      <c r="G893" s="331"/>
      <c r="H893" s="331"/>
      <c r="I893" s="331"/>
      <c r="J893" s="331"/>
      <c r="K893" s="331"/>
      <c r="L893" s="331"/>
      <c r="M893" s="331"/>
      <c r="N893" s="331"/>
      <c r="O893" s="331"/>
      <c r="P893" s="331"/>
      <c r="Q893" s="331"/>
      <c r="R893" s="331"/>
      <c r="S893" s="331"/>
      <c r="T893" s="331"/>
      <c r="U893" s="331"/>
      <c r="V893" s="331"/>
      <c r="W893" s="331"/>
      <c r="X893" s="331"/>
      <c r="Y893" s="331"/>
      <c r="Z893" s="331"/>
      <c r="AA893" s="331"/>
      <c r="AB893" s="331"/>
      <c r="AC893" s="331"/>
      <c r="AD893" s="331"/>
      <c r="AE893" s="331"/>
      <c r="AF893" s="331"/>
      <c r="AG893" s="331"/>
      <c r="AH893" s="331"/>
      <c r="AI893" s="331"/>
      <c r="AJ893" s="331"/>
      <c r="AK893" s="331"/>
      <c r="AL893" s="331"/>
    </row>
    <row r="894" ht="15.75" customHeight="1">
      <c r="A894" s="331"/>
      <c r="B894" s="331"/>
      <c r="C894" s="331"/>
      <c r="D894" s="331"/>
      <c r="E894" s="331"/>
      <c r="F894" s="331"/>
      <c r="G894" s="331"/>
      <c r="H894" s="331"/>
      <c r="I894" s="331"/>
      <c r="J894" s="331"/>
      <c r="K894" s="331"/>
      <c r="L894" s="331"/>
      <c r="M894" s="331"/>
      <c r="N894" s="331"/>
      <c r="O894" s="331"/>
      <c r="P894" s="331"/>
      <c r="Q894" s="331"/>
      <c r="R894" s="331"/>
      <c r="S894" s="331"/>
      <c r="T894" s="331"/>
      <c r="U894" s="331"/>
      <c r="V894" s="331"/>
      <c r="W894" s="331"/>
      <c r="X894" s="331"/>
      <c r="Y894" s="331"/>
      <c r="Z894" s="331"/>
      <c r="AA894" s="331"/>
      <c r="AB894" s="331"/>
      <c r="AC894" s="331"/>
      <c r="AD894" s="331"/>
      <c r="AE894" s="331"/>
      <c r="AF894" s="331"/>
      <c r="AG894" s="331"/>
      <c r="AH894" s="331"/>
      <c r="AI894" s="331"/>
      <c r="AJ894" s="331"/>
      <c r="AK894" s="331"/>
      <c r="AL894" s="331"/>
    </row>
    <row r="895" ht="15.75" customHeight="1">
      <c r="A895" s="331"/>
      <c r="B895" s="331"/>
      <c r="C895" s="331"/>
      <c r="D895" s="331"/>
      <c r="E895" s="331"/>
      <c r="F895" s="331"/>
      <c r="G895" s="331"/>
      <c r="H895" s="331"/>
      <c r="I895" s="331"/>
      <c r="J895" s="331"/>
      <c r="K895" s="331"/>
      <c r="L895" s="331"/>
      <c r="M895" s="331"/>
      <c r="N895" s="331"/>
      <c r="O895" s="331"/>
      <c r="P895" s="331"/>
      <c r="Q895" s="331"/>
      <c r="R895" s="331"/>
      <c r="S895" s="331"/>
      <c r="T895" s="331"/>
      <c r="U895" s="331"/>
      <c r="V895" s="331"/>
      <c r="W895" s="331"/>
      <c r="X895" s="331"/>
      <c r="Y895" s="331"/>
      <c r="Z895" s="331"/>
      <c r="AA895" s="331"/>
      <c r="AB895" s="331"/>
      <c r="AC895" s="331"/>
      <c r="AD895" s="331"/>
      <c r="AE895" s="331"/>
      <c r="AF895" s="331"/>
      <c r="AG895" s="331"/>
      <c r="AH895" s="331"/>
      <c r="AI895" s="331"/>
      <c r="AJ895" s="331"/>
      <c r="AK895" s="331"/>
      <c r="AL895" s="331"/>
    </row>
    <row r="896" ht="15.75" customHeight="1">
      <c r="A896" s="331"/>
      <c r="B896" s="331"/>
      <c r="C896" s="331"/>
      <c r="D896" s="331"/>
      <c r="E896" s="331"/>
      <c r="F896" s="331"/>
      <c r="G896" s="331"/>
      <c r="H896" s="331"/>
      <c r="I896" s="331"/>
      <c r="J896" s="331"/>
      <c r="K896" s="331"/>
      <c r="L896" s="331"/>
      <c r="M896" s="331"/>
      <c r="N896" s="331"/>
      <c r="O896" s="331"/>
      <c r="P896" s="331"/>
      <c r="Q896" s="331"/>
      <c r="R896" s="331"/>
      <c r="S896" s="331"/>
      <c r="T896" s="331"/>
      <c r="U896" s="331"/>
      <c r="V896" s="331"/>
      <c r="W896" s="331"/>
      <c r="X896" s="331"/>
      <c r="Y896" s="331"/>
      <c r="Z896" s="331"/>
      <c r="AA896" s="331"/>
      <c r="AB896" s="331"/>
      <c r="AC896" s="331"/>
      <c r="AD896" s="331"/>
      <c r="AE896" s="331"/>
      <c r="AF896" s="331"/>
      <c r="AG896" s="331"/>
      <c r="AH896" s="331"/>
      <c r="AI896" s="331"/>
      <c r="AJ896" s="331"/>
      <c r="AK896" s="331"/>
      <c r="AL896" s="331"/>
    </row>
    <row r="897" ht="15.75" customHeight="1">
      <c r="A897" s="331"/>
      <c r="B897" s="331"/>
      <c r="C897" s="331"/>
      <c r="D897" s="331"/>
      <c r="E897" s="331"/>
      <c r="F897" s="331"/>
      <c r="G897" s="331"/>
      <c r="H897" s="331"/>
      <c r="I897" s="331"/>
      <c r="J897" s="331"/>
      <c r="K897" s="331"/>
      <c r="L897" s="331"/>
      <c r="M897" s="331"/>
      <c r="N897" s="331"/>
      <c r="O897" s="331"/>
      <c r="P897" s="331"/>
      <c r="Q897" s="331"/>
      <c r="R897" s="331"/>
      <c r="S897" s="331"/>
      <c r="T897" s="331"/>
      <c r="U897" s="331"/>
      <c r="V897" s="331"/>
      <c r="W897" s="331"/>
      <c r="X897" s="331"/>
      <c r="Y897" s="331"/>
      <c r="Z897" s="331"/>
      <c r="AA897" s="331"/>
      <c r="AB897" s="331"/>
      <c r="AC897" s="331"/>
      <c r="AD897" s="331"/>
      <c r="AE897" s="331"/>
      <c r="AF897" s="331"/>
      <c r="AG897" s="331"/>
      <c r="AH897" s="331"/>
      <c r="AI897" s="331"/>
      <c r="AJ897" s="331"/>
      <c r="AK897" s="331"/>
      <c r="AL897" s="331"/>
    </row>
    <row r="898" ht="15.75" customHeight="1">
      <c r="A898" s="331"/>
      <c r="B898" s="331"/>
      <c r="C898" s="331"/>
      <c r="D898" s="331"/>
      <c r="E898" s="331"/>
      <c r="F898" s="331"/>
      <c r="G898" s="331"/>
      <c r="H898" s="331"/>
      <c r="I898" s="331"/>
      <c r="J898" s="331"/>
      <c r="K898" s="331"/>
      <c r="L898" s="331"/>
      <c r="M898" s="331"/>
      <c r="N898" s="331"/>
      <c r="O898" s="331"/>
      <c r="P898" s="331"/>
      <c r="Q898" s="331"/>
      <c r="R898" s="331"/>
      <c r="S898" s="331"/>
      <c r="T898" s="331"/>
      <c r="U898" s="331"/>
      <c r="V898" s="331"/>
      <c r="W898" s="331"/>
      <c r="X898" s="331"/>
      <c r="Y898" s="331"/>
      <c r="Z898" s="331"/>
      <c r="AA898" s="331"/>
      <c r="AB898" s="331"/>
      <c r="AC898" s="331"/>
      <c r="AD898" s="331"/>
      <c r="AE898" s="331"/>
      <c r="AF898" s="331"/>
      <c r="AG898" s="331"/>
      <c r="AH898" s="331"/>
      <c r="AI898" s="331"/>
      <c r="AJ898" s="331"/>
      <c r="AK898" s="331"/>
      <c r="AL898" s="331"/>
    </row>
    <row r="899" ht="15.75" customHeight="1">
      <c r="A899" s="331"/>
      <c r="B899" s="331"/>
      <c r="C899" s="331"/>
      <c r="D899" s="331"/>
      <c r="E899" s="331"/>
      <c r="F899" s="331"/>
      <c r="G899" s="331"/>
      <c r="H899" s="331"/>
      <c r="I899" s="331"/>
      <c r="J899" s="331"/>
      <c r="K899" s="331"/>
      <c r="L899" s="331"/>
      <c r="M899" s="331"/>
      <c r="N899" s="331"/>
      <c r="O899" s="331"/>
      <c r="P899" s="331"/>
      <c r="Q899" s="331"/>
      <c r="R899" s="331"/>
      <c r="S899" s="331"/>
      <c r="T899" s="331"/>
      <c r="U899" s="331"/>
      <c r="V899" s="331"/>
      <c r="W899" s="331"/>
      <c r="X899" s="331"/>
      <c r="Y899" s="331"/>
      <c r="Z899" s="331"/>
      <c r="AA899" s="331"/>
      <c r="AB899" s="331"/>
      <c r="AC899" s="331"/>
      <c r="AD899" s="331"/>
      <c r="AE899" s="331"/>
      <c r="AF899" s="331"/>
      <c r="AG899" s="331"/>
      <c r="AH899" s="331"/>
      <c r="AI899" s="331"/>
      <c r="AJ899" s="331"/>
      <c r="AK899" s="331"/>
      <c r="AL899" s="331"/>
    </row>
    <row r="900" ht="15.75" customHeight="1">
      <c r="A900" s="331"/>
      <c r="B900" s="331"/>
      <c r="C900" s="331"/>
      <c r="D900" s="331"/>
      <c r="E900" s="331"/>
      <c r="F900" s="331"/>
      <c r="G900" s="331"/>
      <c r="H900" s="331"/>
      <c r="I900" s="331"/>
      <c r="J900" s="331"/>
      <c r="K900" s="331"/>
      <c r="L900" s="331"/>
      <c r="M900" s="331"/>
      <c r="N900" s="331"/>
      <c r="O900" s="331"/>
      <c r="P900" s="331"/>
      <c r="Q900" s="331"/>
      <c r="R900" s="331"/>
      <c r="S900" s="331"/>
      <c r="T900" s="331"/>
      <c r="U900" s="331"/>
      <c r="V900" s="331"/>
      <c r="W900" s="331"/>
      <c r="X900" s="331"/>
      <c r="Y900" s="331"/>
      <c r="Z900" s="331"/>
      <c r="AA900" s="331"/>
      <c r="AB900" s="331"/>
      <c r="AC900" s="331"/>
      <c r="AD900" s="331"/>
      <c r="AE900" s="331"/>
      <c r="AF900" s="331"/>
      <c r="AG900" s="331"/>
      <c r="AH900" s="331"/>
      <c r="AI900" s="331"/>
      <c r="AJ900" s="331"/>
      <c r="AK900" s="331"/>
      <c r="AL900" s="331"/>
    </row>
    <row r="901" ht="15.75" customHeight="1">
      <c r="A901" s="331"/>
      <c r="B901" s="331"/>
      <c r="C901" s="331"/>
      <c r="D901" s="331"/>
      <c r="E901" s="331"/>
      <c r="F901" s="331"/>
      <c r="G901" s="331"/>
      <c r="H901" s="331"/>
      <c r="I901" s="331"/>
      <c r="J901" s="331"/>
      <c r="K901" s="331"/>
      <c r="L901" s="331"/>
      <c r="M901" s="331"/>
      <c r="N901" s="331"/>
      <c r="O901" s="331"/>
      <c r="P901" s="331"/>
      <c r="Q901" s="331"/>
      <c r="R901" s="331"/>
      <c r="S901" s="331"/>
      <c r="T901" s="331"/>
      <c r="U901" s="331"/>
      <c r="V901" s="331"/>
      <c r="W901" s="331"/>
      <c r="X901" s="331"/>
      <c r="Y901" s="331"/>
      <c r="Z901" s="331"/>
      <c r="AA901" s="331"/>
      <c r="AB901" s="331"/>
      <c r="AC901" s="331"/>
      <c r="AD901" s="331"/>
      <c r="AE901" s="331"/>
      <c r="AF901" s="331"/>
      <c r="AG901" s="331"/>
      <c r="AH901" s="331"/>
      <c r="AI901" s="331"/>
      <c r="AJ901" s="331"/>
      <c r="AK901" s="331"/>
      <c r="AL901" s="331"/>
    </row>
    <row r="902" ht="15.75" customHeight="1">
      <c r="A902" s="331"/>
      <c r="B902" s="331"/>
      <c r="C902" s="331"/>
      <c r="D902" s="331"/>
      <c r="E902" s="331"/>
      <c r="F902" s="331"/>
      <c r="G902" s="331"/>
      <c r="H902" s="331"/>
      <c r="I902" s="331"/>
      <c r="J902" s="331"/>
      <c r="K902" s="331"/>
      <c r="L902" s="331"/>
      <c r="M902" s="331"/>
      <c r="N902" s="331"/>
      <c r="O902" s="331"/>
      <c r="P902" s="331"/>
      <c r="Q902" s="331"/>
      <c r="R902" s="331"/>
      <c r="S902" s="331"/>
      <c r="T902" s="331"/>
      <c r="U902" s="331"/>
      <c r="V902" s="331"/>
      <c r="W902" s="331"/>
      <c r="X902" s="331"/>
      <c r="Y902" s="331"/>
      <c r="Z902" s="331"/>
      <c r="AA902" s="331"/>
      <c r="AB902" s="331"/>
      <c r="AC902" s="331"/>
      <c r="AD902" s="331"/>
      <c r="AE902" s="331"/>
      <c r="AF902" s="331"/>
      <c r="AG902" s="331"/>
      <c r="AH902" s="331"/>
      <c r="AI902" s="331"/>
      <c r="AJ902" s="331"/>
      <c r="AK902" s="331"/>
      <c r="AL902" s="331"/>
    </row>
    <row r="903" ht="15.75" customHeight="1">
      <c r="A903" s="331"/>
      <c r="B903" s="331"/>
      <c r="C903" s="331"/>
      <c r="D903" s="331"/>
      <c r="E903" s="331"/>
      <c r="F903" s="331"/>
      <c r="G903" s="331"/>
      <c r="H903" s="331"/>
      <c r="I903" s="331"/>
      <c r="J903" s="331"/>
      <c r="K903" s="331"/>
      <c r="L903" s="331"/>
      <c r="M903" s="331"/>
      <c r="N903" s="331"/>
      <c r="O903" s="331"/>
      <c r="P903" s="331"/>
      <c r="Q903" s="331"/>
      <c r="R903" s="331"/>
      <c r="S903" s="331"/>
      <c r="T903" s="331"/>
      <c r="U903" s="331"/>
      <c r="V903" s="331"/>
      <c r="W903" s="331"/>
      <c r="X903" s="331"/>
      <c r="Y903" s="331"/>
      <c r="Z903" s="331"/>
      <c r="AA903" s="331"/>
      <c r="AB903" s="331"/>
      <c r="AC903" s="331"/>
      <c r="AD903" s="331"/>
      <c r="AE903" s="331"/>
      <c r="AF903" s="331"/>
      <c r="AG903" s="331"/>
      <c r="AH903" s="331"/>
      <c r="AI903" s="331"/>
      <c r="AJ903" s="331"/>
      <c r="AK903" s="331"/>
      <c r="AL903" s="331"/>
    </row>
    <row r="904" ht="15.75" customHeight="1">
      <c r="A904" s="331"/>
      <c r="B904" s="331"/>
      <c r="C904" s="331"/>
      <c r="D904" s="331"/>
      <c r="E904" s="331"/>
      <c r="F904" s="331"/>
      <c r="G904" s="331"/>
      <c r="H904" s="331"/>
      <c r="I904" s="331"/>
      <c r="J904" s="331"/>
      <c r="K904" s="331"/>
      <c r="L904" s="331"/>
      <c r="M904" s="331"/>
      <c r="N904" s="331"/>
      <c r="O904" s="331"/>
      <c r="P904" s="331"/>
      <c r="Q904" s="331"/>
      <c r="R904" s="331"/>
      <c r="S904" s="331"/>
      <c r="T904" s="331"/>
      <c r="U904" s="331"/>
      <c r="V904" s="331"/>
      <c r="W904" s="331"/>
      <c r="X904" s="331"/>
      <c r="Y904" s="331"/>
      <c r="Z904" s="331"/>
      <c r="AA904" s="331"/>
      <c r="AB904" s="331"/>
      <c r="AC904" s="331"/>
      <c r="AD904" s="331"/>
      <c r="AE904" s="331"/>
      <c r="AF904" s="331"/>
      <c r="AG904" s="331"/>
      <c r="AH904" s="331"/>
      <c r="AI904" s="331"/>
      <c r="AJ904" s="331"/>
      <c r="AK904" s="331"/>
      <c r="AL904" s="331"/>
    </row>
    <row r="905" ht="15.75" customHeight="1">
      <c r="A905" s="331"/>
      <c r="B905" s="331"/>
      <c r="C905" s="331"/>
      <c r="D905" s="331"/>
      <c r="E905" s="331"/>
      <c r="F905" s="331"/>
      <c r="G905" s="331"/>
      <c r="H905" s="331"/>
      <c r="I905" s="331"/>
      <c r="J905" s="331"/>
      <c r="K905" s="331"/>
      <c r="L905" s="331"/>
      <c r="M905" s="331"/>
      <c r="N905" s="331"/>
      <c r="O905" s="331"/>
      <c r="P905" s="331"/>
      <c r="Q905" s="331"/>
      <c r="R905" s="331"/>
      <c r="S905" s="331"/>
      <c r="T905" s="331"/>
      <c r="U905" s="331"/>
      <c r="V905" s="331"/>
      <c r="W905" s="331"/>
      <c r="X905" s="331"/>
      <c r="Y905" s="331"/>
      <c r="Z905" s="331"/>
      <c r="AA905" s="331"/>
      <c r="AB905" s="331"/>
      <c r="AC905" s="331"/>
      <c r="AD905" s="331"/>
      <c r="AE905" s="331"/>
      <c r="AF905" s="331"/>
      <c r="AG905" s="331"/>
      <c r="AH905" s="331"/>
      <c r="AI905" s="331"/>
      <c r="AJ905" s="331"/>
      <c r="AK905" s="331"/>
      <c r="AL905" s="331"/>
    </row>
    <row r="906" ht="15.75" customHeight="1">
      <c r="A906" s="331"/>
      <c r="B906" s="331"/>
      <c r="C906" s="331"/>
      <c r="D906" s="331"/>
      <c r="E906" s="331"/>
      <c r="F906" s="331"/>
      <c r="G906" s="331"/>
      <c r="H906" s="331"/>
      <c r="I906" s="331"/>
      <c r="J906" s="331"/>
      <c r="K906" s="331"/>
      <c r="L906" s="331"/>
      <c r="M906" s="331"/>
      <c r="N906" s="331"/>
      <c r="O906" s="331"/>
      <c r="P906" s="331"/>
      <c r="Q906" s="331"/>
      <c r="R906" s="331"/>
      <c r="S906" s="331"/>
      <c r="T906" s="331"/>
      <c r="U906" s="331"/>
      <c r="V906" s="331"/>
      <c r="W906" s="331"/>
      <c r="X906" s="331"/>
      <c r="Y906" s="331"/>
      <c r="Z906" s="331"/>
      <c r="AA906" s="331"/>
      <c r="AB906" s="331"/>
      <c r="AC906" s="331"/>
      <c r="AD906" s="331"/>
      <c r="AE906" s="331"/>
      <c r="AF906" s="331"/>
      <c r="AG906" s="331"/>
      <c r="AH906" s="331"/>
      <c r="AI906" s="331"/>
      <c r="AJ906" s="331"/>
      <c r="AK906" s="331"/>
      <c r="AL906" s="331"/>
    </row>
    <row r="907" ht="15.75" customHeight="1">
      <c r="A907" s="331"/>
      <c r="B907" s="331"/>
      <c r="C907" s="331"/>
      <c r="D907" s="331"/>
      <c r="E907" s="331"/>
      <c r="F907" s="331"/>
      <c r="G907" s="331"/>
      <c r="H907" s="331"/>
      <c r="I907" s="331"/>
      <c r="J907" s="331"/>
      <c r="K907" s="331"/>
      <c r="L907" s="331"/>
      <c r="M907" s="331"/>
      <c r="N907" s="331"/>
      <c r="O907" s="331"/>
      <c r="P907" s="331"/>
      <c r="Q907" s="331"/>
      <c r="R907" s="331"/>
      <c r="S907" s="331"/>
      <c r="T907" s="331"/>
      <c r="U907" s="331"/>
      <c r="V907" s="331"/>
      <c r="W907" s="331"/>
      <c r="X907" s="331"/>
      <c r="Y907" s="331"/>
      <c r="Z907" s="331"/>
      <c r="AA907" s="331"/>
      <c r="AB907" s="331"/>
      <c r="AC907" s="331"/>
      <c r="AD907" s="331"/>
      <c r="AE907" s="331"/>
      <c r="AF907" s="331"/>
      <c r="AG907" s="331"/>
      <c r="AH907" s="331"/>
      <c r="AI907" s="331"/>
      <c r="AJ907" s="331"/>
      <c r="AK907" s="331"/>
      <c r="AL907" s="331"/>
    </row>
    <row r="908" ht="15.75" customHeight="1">
      <c r="A908" s="331"/>
      <c r="B908" s="331"/>
      <c r="C908" s="331"/>
      <c r="D908" s="331"/>
      <c r="E908" s="331"/>
      <c r="F908" s="331"/>
      <c r="G908" s="331"/>
      <c r="H908" s="331"/>
      <c r="I908" s="331"/>
      <c r="J908" s="331"/>
      <c r="K908" s="331"/>
      <c r="L908" s="331"/>
      <c r="M908" s="331"/>
      <c r="N908" s="331"/>
      <c r="O908" s="331"/>
      <c r="P908" s="331"/>
      <c r="Q908" s="331"/>
      <c r="R908" s="331"/>
      <c r="S908" s="331"/>
      <c r="T908" s="331"/>
      <c r="U908" s="331"/>
      <c r="V908" s="331"/>
      <c r="W908" s="331"/>
      <c r="X908" s="331"/>
      <c r="Y908" s="331"/>
      <c r="Z908" s="331"/>
      <c r="AA908" s="331"/>
      <c r="AB908" s="331"/>
      <c r="AC908" s="331"/>
      <c r="AD908" s="331"/>
      <c r="AE908" s="331"/>
      <c r="AF908" s="331"/>
      <c r="AG908" s="331"/>
      <c r="AH908" s="331"/>
      <c r="AI908" s="331"/>
      <c r="AJ908" s="331"/>
      <c r="AK908" s="331"/>
      <c r="AL908" s="331"/>
    </row>
    <row r="909" ht="15.75" customHeight="1">
      <c r="A909" s="331"/>
      <c r="B909" s="331"/>
      <c r="C909" s="331"/>
      <c r="D909" s="331"/>
      <c r="E909" s="331"/>
      <c r="F909" s="331"/>
      <c r="G909" s="331"/>
      <c r="H909" s="331"/>
      <c r="I909" s="331"/>
      <c r="J909" s="331"/>
      <c r="K909" s="331"/>
      <c r="L909" s="331"/>
      <c r="M909" s="331"/>
      <c r="N909" s="331"/>
      <c r="O909" s="331"/>
      <c r="P909" s="331"/>
      <c r="Q909" s="331"/>
      <c r="R909" s="331"/>
      <c r="S909" s="331"/>
      <c r="T909" s="331"/>
      <c r="U909" s="331"/>
      <c r="V909" s="331"/>
      <c r="W909" s="331"/>
      <c r="X909" s="331"/>
      <c r="Y909" s="331"/>
      <c r="Z909" s="331"/>
      <c r="AA909" s="331"/>
      <c r="AB909" s="331"/>
      <c r="AC909" s="331"/>
      <c r="AD909" s="331"/>
      <c r="AE909" s="331"/>
      <c r="AF909" s="331"/>
      <c r="AG909" s="331"/>
      <c r="AH909" s="331"/>
      <c r="AI909" s="331"/>
      <c r="AJ909" s="331"/>
      <c r="AK909" s="331"/>
      <c r="AL909" s="331"/>
    </row>
    <row r="910" ht="15.75" customHeight="1">
      <c r="A910" s="331"/>
      <c r="B910" s="331"/>
      <c r="C910" s="331"/>
      <c r="D910" s="331"/>
      <c r="E910" s="331"/>
      <c r="F910" s="331"/>
      <c r="G910" s="331"/>
      <c r="H910" s="331"/>
      <c r="I910" s="331"/>
      <c r="J910" s="331"/>
      <c r="K910" s="331"/>
      <c r="L910" s="331"/>
      <c r="M910" s="331"/>
      <c r="N910" s="331"/>
      <c r="O910" s="331"/>
      <c r="P910" s="331"/>
      <c r="Q910" s="331"/>
      <c r="R910" s="331"/>
      <c r="S910" s="331"/>
      <c r="T910" s="331"/>
      <c r="U910" s="331"/>
      <c r="V910" s="331"/>
      <c r="W910" s="331"/>
      <c r="X910" s="331"/>
      <c r="Y910" s="331"/>
      <c r="Z910" s="331"/>
      <c r="AA910" s="331"/>
      <c r="AB910" s="331"/>
      <c r="AC910" s="331"/>
      <c r="AD910" s="331"/>
      <c r="AE910" s="331"/>
      <c r="AF910" s="331"/>
      <c r="AG910" s="331"/>
      <c r="AH910" s="331"/>
      <c r="AI910" s="331"/>
      <c r="AJ910" s="331"/>
      <c r="AK910" s="331"/>
      <c r="AL910" s="331"/>
    </row>
    <row r="911" ht="15.75" customHeight="1">
      <c r="A911" s="331"/>
      <c r="B911" s="331"/>
      <c r="C911" s="331"/>
      <c r="D911" s="331"/>
      <c r="E911" s="331"/>
      <c r="F911" s="331"/>
      <c r="G911" s="331"/>
      <c r="H911" s="331"/>
      <c r="I911" s="331"/>
      <c r="J911" s="331"/>
      <c r="K911" s="331"/>
      <c r="L911" s="331"/>
      <c r="M911" s="331"/>
      <c r="N911" s="331"/>
      <c r="O911" s="331"/>
      <c r="P911" s="331"/>
      <c r="Q911" s="331"/>
      <c r="R911" s="331"/>
      <c r="S911" s="331"/>
      <c r="T911" s="331"/>
      <c r="U911" s="331"/>
      <c r="V911" s="331"/>
      <c r="W911" s="331"/>
      <c r="X911" s="331"/>
      <c r="Y911" s="331"/>
      <c r="Z911" s="331"/>
      <c r="AA911" s="331"/>
      <c r="AB911" s="331"/>
      <c r="AC911" s="331"/>
      <c r="AD911" s="331"/>
      <c r="AE911" s="331"/>
      <c r="AF911" s="331"/>
      <c r="AG911" s="331"/>
      <c r="AH911" s="331"/>
      <c r="AI911" s="331"/>
      <c r="AJ911" s="331"/>
      <c r="AK911" s="331"/>
      <c r="AL911" s="331"/>
    </row>
    <row r="912" ht="15.75" customHeight="1">
      <c r="A912" s="331"/>
      <c r="B912" s="331"/>
      <c r="C912" s="331"/>
      <c r="D912" s="331"/>
      <c r="E912" s="331"/>
      <c r="F912" s="331"/>
      <c r="G912" s="331"/>
      <c r="H912" s="331"/>
      <c r="I912" s="331"/>
      <c r="J912" s="331"/>
      <c r="K912" s="331"/>
      <c r="L912" s="331"/>
      <c r="M912" s="331"/>
      <c r="N912" s="331"/>
      <c r="O912" s="331"/>
      <c r="P912" s="331"/>
      <c r="Q912" s="331"/>
      <c r="R912" s="331"/>
      <c r="S912" s="331"/>
      <c r="T912" s="331"/>
      <c r="U912" s="331"/>
      <c r="V912" s="331"/>
      <c r="W912" s="331"/>
      <c r="X912" s="331"/>
      <c r="Y912" s="331"/>
      <c r="Z912" s="331"/>
      <c r="AA912" s="331"/>
      <c r="AB912" s="331"/>
      <c r="AC912" s="331"/>
      <c r="AD912" s="331"/>
      <c r="AE912" s="331"/>
      <c r="AF912" s="331"/>
      <c r="AG912" s="331"/>
      <c r="AH912" s="331"/>
      <c r="AI912" s="331"/>
      <c r="AJ912" s="331"/>
      <c r="AK912" s="331"/>
      <c r="AL912" s="331"/>
    </row>
    <row r="913" ht="15.75" customHeight="1">
      <c r="A913" s="331"/>
      <c r="B913" s="331"/>
      <c r="C913" s="331"/>
      <c r="D913" s="331"/>
      <c r="E913" s="331"/>
      <c r="F913" s="331"/>
      <c r="G913" s="331"/>
      <c r="H913" s="331"/>
      <c r="I913" s="331"/>
      <c r="J913" s="331"/>
      <c r="K913" s="331"/>
      <c r="L913" s="331"/>
      <c r="M913" s="331"/>
      <c r="N913" s="331"/>
      <c r="O913" s="331"/>
      <c r="P913" s="331"/>
      <c r="Q913" s="331"/>
      <c r="R913" s="331"/>
      <c r="S913" s="331"/>
      <c r="T913" s="331"/>
      <c r="U913" s="331"/>
      <c r="V913" s="331"/>
      <c r="W913" s="331"/>
      <c r="X913" s="331"/>
      <c r="Y913" s="331"/>
      <c r="Z913" s="331"/>
      <c r="AA913" s="331"/>
      <c r="AB913" s="331"/>
      <c r="AC913" s="331"/>
      <c r="AD913" s="331"/>
      <c r="AE913" s="331"/>
      <c r="AF913" s="331"/>
      <c r="AG913" s="331"/>
      <c r="AH913" s="331"/>
      <c r="AI913" s="331"/>
      <c r="AJ913" s="331"/>
      <c r="AK913" s="331"/>
      <c r="AL913" s="331"/>
    </row>
    <row r="914" ht="15.75" customHeight="1">
      <c r="A914" s="331"/>
      <c r="B914" s="331"/>
      <c r="C914" s="331"/>
      <c r="D914" s="331"/>
      <c r="E914" s="331"/>
      <c r="F914" s="331"/>
      <c r="G914" s="331"/>
      <c r="H914" s="331"/>
      <c r="I914" s="331"/>
      <c r="J914" s="331"/>
      <c r="K914" s="331"/>
      <c r="L914" s="331"/>
      <c r="M914" s="331"/>
      <c r="N914" s="331"/>
      <c r="O914" s="331"/>
      <c r="P914" s="331"/>
      <c r="Q914" s="331"/>
      <c r="R914" s="331"/>
      <c r="S914" s="331"/>
      <c r="T914" s="331"/>
      <c r="U914" s="331"/>
      <c r="V914" s="331"/>
      <c r="W914" s="331"/>
      <c r="X914" s="331"/>
      <c r="Y914" s="331"/>
      <c r="Z914" s="331"/>
      <c r="AA914" s="331"/>
      <c r="AB914" s="331"/>
      <c r="AC914" s="331"/>
      <c r="AD914" s="331"/>
      <c r="AE914" s="331"/>
      <c r="AF914" s="331"/>
      <c r="AG914" s="331"/>
      <c r="AH914" s="331"/>
      <c r="AI914" s="331"/>
      <c r="AJ914" s="331"/>
      <c r="AK914" s="331"/>
      <c r="AL914" s="331"/>
    </row>
    <row r="915" ht="15.75" customHeight="1">
      <c r="A915" s="331"/>
      <c r="B915" s="331"/>
      <c r="C915" s="331"/>
      <c r="D915" s="331"/>
      <c r="E915" s="331"/>
      <c r="F915" s="331"/>
      <c r="G915" s="331"/>
      <c r="H915" s="331"/>
      <c r="I915" s="331"/>
      <c r="J915" s="331"/>
      <c r="K915" s="331"/>
      <c r="L915" s="331"/>
      <c r="M915" s="331"/>
      <c r="N915" s="331"/>
      <c r="O915" s="331"/>
      <c r="P915" s="331"/>
      <c r="Q915" s="331"/>
      <c r="R915" s="331"/>
      <c r="S915" s="331"/>
      <c r="T915" s="331"/>
      <c r="U915" s="331"/>
      <c r="V915" s="331"/>
      <c r="W915" s="331"/>
      <c r="X915" s="331"/>
      <c r="Y915" s="331"/>
      <c r="Z915" s="331"/>
      <c r="AA915" s="331"/>
      <c r="AB915" s="331"/>
      <c r="AC915" s="331"/>
      <c r="AD915" s="331"/>
      <c r="AE915" s="331"/>
      <c r="AF915" s="331"/>
      <c r="AG915" s="331"/>
      <c r="AH915" s="331"/>
      <c r="AI915" s="331"/>
      <c r="AJ915" s="331"/>
      <c r="AK915" s="331"/>
      <c r="AL915" s="331"/>
    </row>
    <row r="916" ht="15.75" customHeight="1">
      <c r="A916" s="331"/>
      <c r="B916" s="331"/>
      <c r="C916" s="331"/>
      <c r="D916" s="331"/>
      <c r="E916" s="331"/>
      <c r="F916" s="331"/>
      <c r="G916" s="331"/>
      <c r="H916" s="331"/>
      <c r="I916" s="331"/>
      <c r="J916" s="331"/>
      <c r="K916" s="331"/>
      <c r="L916" s="331"/>
      <c r="M916" s="331"/>
      <c r="N916" s="331"/>
      <c r="O916" s="331"/>
      <c r="P916" s="331"/>
      <c r="Q916" s="331"/>
      <c r="R916" s="331"/>
      <c r="S916" s="331"/>
      <c r="T916" s="331"/>
      <c r="U916" s="331"/>
      <c r="V916" s="331"/>
      <c r="W916" s="331"/>
      <c r="X916" s="331"/>
      <c r="Y916" s="331"/>
      <c r="Z916" s="331"/>
      <c r="AA916" s="331"/>
      <c r="AB916" s="331"/>
      <c r="AC916" s="331"/>
      <c r="AD916" s="331"/>
      <c r="AE916" s="331"/>
      <c r="AF916" s="331"/>
      <c r="AG916" s="331"/>
      <c r="AH916" s="331"/>
      <c r="AI916" s="331"/>
      <c r="AJ916" s="331"/>
      <c r="AK916" s="331"/>
      <c r="AL916" s="331"/>
    </row>
    <row r="917" ht="15.75" customHeight="1">
      <c r="A917" s="331"/>
      <c r="B917" s="331"/>
      <c r="C917" s="331"/>
      <c r="D917" s="331"/>
      <c r="E917" s="331"/>
      <c r="F917" s="331"/>
      <c r="G917" s="331"/>
      <c r="H917" s="331"/>
      <c r="I917" s="331"/>
      <c r="J917" s="331"/>
      <c r="K917" s="331"/>
      <c r="L917" s="331"/>
      <c r="M917" s="331"/>
      <c r="N917" s="331"/>
      <c r="O917" s="331"/>
      <c r="P917" s="331"/>
      <c r="Q917" s="331"/>
      <c r="R917" s="331"/>
      <c r="S917" s="331"/>
      <c r="T917" s="331"/>
      <c r="U917" s="331"/>
      <c r="V917" s="331"/>
      <c r="W917" s="331"/>
      <c r="X917" s="331"/>
      <c r="Y917" s="331"/>
      <c r="Z917" s="331"/>
      <c r="AA917" s="331"/>
      <c r="AB917" s="331"/>
      <c r="AC917" s="331"/>
      <c r="AD917" s="331"/>
      <c r="AE917" s="331"/>
      <c r="AF917" s="331"/>
      <c r="AG917" s="331"/>
      <c r="AH917" s="331"/>
      <c r="AI917" s="331"/>
      <c r="AJ917" s="331"/>
      <c r="AK917" s="331"/>
      <c r="AL917" s="331"/>
    </row>
    <row r="918" ht="15.75" customHeight="1">
      <c r="A918" s="331"/>
      <c r="B918" s="331"/>
      <c r="C918" s="331"/>
      <c r="D918" s="331"/>
      <c r="E918" s="331"/>
      <c r="F918" s="331"/>
      <c r="G918" s="331"/>
      <c r="H918" s="331"/>
      <c r="I918" s="331"/>
      <c r="J918" s="331"/>
      <c r="K918" s="331"/>
      <c r="L918" s="331"/>
      <c r="M918" s="331"/>
      <c r="N918" s="331"/>
      <c r="O918" s="331"/>
      <c r="P918" s="331"/>
      <c r="Q918" s="331"/>
      <c r="R918" s="331"/>
      <c r="S918" s="331"/>
      <c r="T918" s="331"/>
      <c r="U918" s="331"/>
      <c r="V918" s="331"/>
      <c r="W918" s="331"/>
      <c r="X918" s="331"/>
      <c r="Y918" s="331"/>
      <c r="Z918" s="331"/>
      <c r="AA918" s="331"/>
      <c r="AB918" s="331"/>
      <c r="AC918" s="331"/>
      <c r="AD918" s="331"/>
      <c r="AE918" s="331"/>
      <c r="AF918" s="331"/>
      <c r="AG918" s="331"/>
      <c r="AH918" s="331"/>
      <c r="AI918" s="331"/>
      <c r="AJ918" s="331"/>
      <c r="AK918" s="331"/>
      <c r="AL918" s="331"/>
    </row>
    <row r="919" ht="15.75" customHeight="1">
      <c r="A919" s="331"/>
      <c r="B919" s="331"/>
      <c r="C919" s="331"/>
      <c r="D919" s="331"/>
      <c r="E919" s="331"/>
      <c r="F919" s="331"/>
      <c r="G919" s="331"/>
      <c r="H919" s="331"/>
      <c r="I919" s="331"/>
      <c r="J919" s="331"/>
      <c r="K919" s="331"/>
      <c r="L919" s="331"/>
      <c r="M919" s="331"/>
      <c r="N919" s="331"/>
      <c r="O919" s="331"/>
      <c r="P919" s="331"/>
      <c r="Q919" s="331"/>
      <c r="R919" s="331"/>
      <c r="S919" s="331"/>
      <c r="T919" s="331"/>
      <c r="U919" s="331"/>
      <c r="V919" s="331"/>
      <c r="W919" s="331"/>
      <c r="X919" s="331"/>
      <c r="Y919" s="331"/>
      <c r="Z919" s="331"/>
      <c r="AA919" s="331"/>
      <c r="AB919" s="331"/>
      <c r="AC919" s="331"/>
      <c r="AD919" s="331"/>
      <c r="AE919" s="331"/>
      <c r="AF919" s="331"/>
      <c r="AG919" s="331"/>
      <c r="AH919" s="331"/>
      <c r="AI919" s="331"/>
      <c r="AJ919" s="331"/>
      <c r="AK919" s="331"/>
      <c r="AL919" s="331"/>
    </row>
    <row r="920" ht="15.75" customHeight="1">
      <c r="A920" s="331"/>
      <c r="B920" s="331"/>
      <c r="C920" s="331"/>
      <c r="D920" s="331"/>
      <c r="E920" s="331"/>
      <c r="F920" s="331"/>
      <c r="G920" s="331"/>
      <c r="H920" s="331"/>
      <c r="I920" s="331"/>
      <c r="J920" s="331"/>
      <c r="K920" s="331"/>
      <c r="L920" s="331"/>
      <c r="M920" s="331"/>
      <c r="N920" s="331"/>
      <c r="O920" s="331"/>
      <c r="P920" s="331"/>
      <c r="Q920" s="331"/>
      <c r="R920" s="331"/>
      <c r="S920" s="331"/>
      <c r="T920" s="331"/>
      <c r="U920" s="331"/>
      <c r="V920" s="331"/>
      <c r="W920" s="331"/>
      <c r="X920" s="331"/>
      <c r="Y920" s="331"/>
      <c r="Z920" s="331"/>
      <c r="AA920" s="331"/>
      <c r="AB920" s="331"/>
      <c r="AC920" s="331"/>
      <c r="AD920" s="331"/>
      <c r="AE920" s="331"/>
      <c r="AF920" s="331"/>
      <c r="AG920" s="331"/>
      <c r="AH920" s="331"/>
      <c r="AI920" s="331"/>
      <c r="AJ920" s="331"/>
      <c r="AK920" s="331"/>
      <c r="AL920" s="331"/>
    </row>
    <row r="921" ht="15.75" customHeight="1">
      <c r="A921" s="331"/>
      <c r="B921" s="331"/>
      <c r="C921" s="331"/>
      <c r="D921" s="331"/>
      <c r="E921" s="331"/>
      <c r="F921" s="331"/>
      <c r="G921" s="331"/>
      <c r="H921" s="331"/>
      <c r="I921" s="331"/>
      <c r="J921" s="331"/>
      <c r="K921" s="331"/>
      <c r="L921" s="331"/>
      <c r="M921" s="331"/>
      <c r="N921" s="331"/>
      <c r="O921" s="331"/>
      <c r="P921" s="331"/>
      <c r="Q921" s="331"/>
      <c r="R921" s="331"/>
      <c r="S921" s="331"/>
      <c r="T921" s="331"/>
      <c r="U921" s="331"/>
      <c r="V921" s="331"/>
      <c r="W921" s="331"/>
      <c r="X921" s="331"/>
      <c r="Y921" s="331"/>
      <c r="Z921" s="331"/>
      <c r="AA921" s="331"/>
      <c r="AB921" s="331"/>
      <c r="AC921" s="331"/>
      <c r="AD921" s="331"/>
      <c r="AE921" s="331"/>
      <c r="AF921" s="331"/>
      <c r="AG921" s="331"/>
      <c r="AH921" s="331"/>
      <c r="AI921" s="331"/>
      <c r="AJ921" s="331"/>
      <c r="AK921" s="331"/>
      <c r="AL921" s="331"/>
    </row>
    <row r="922" ht="15.75" customHeight="1">
      <c r="A922" s="331"/>
      <c r="B922" s="331"/>
      <c r="C922" s="331"/>
      <c r="D922" s="331"/>
      <c r="E922" s="331"/>
      <c r="F922" s="331"/>
      <c r="G922" s="331"/>
      <c r="H922" s="331"/>
      <c r="I922" s="331"/>
      <c r="J922" s="331"/>
      <c r="K922" s="331"/>
      <c r="L922" s="331"/>
      <c r="M922" s="331"/>
      <c r="N922" s="331"/>
      <c r="O922" s="331"/>
      <c r="P922" s="331"/>
      <c r="Q922" s="331"/>
      <c r="R922" s="331"/>
      <c r="S922" s="331"/>
      <c r="T922" s="331"/>
      <c r="U922" s="331"/>
      <c r="V922" s="331"/>
      <c r="W922" s="331"/>
      <c r="X922" s="331"/>
      <c r="Y922" s="331"/>
      <c r="Z922" s="331"/>
      <c r="AA922" s="331"/>
      <c r="AB922" s="331"/>
      <c r="AC922" s="331"/>
      <c r="AD922" s="331"/>
      <c r="AE922" s="331"/>
      <c r="AF922" s="331"/>
      <c r="AG922" s="331"/>
      <c r="AH922" s="331"/>
      <c r="AI922" s="331"/>
      <c r="AJ922" s="331"/>
      <c r="AK922" s="331"/>
      <c r="AL922" s="331"/>
    </row>
    <row r="923" ht="15.75" customHeight="1">
      <c r="A923" s="331"/>
      <c r="B923" s="331"/>
      <c r="C923" s="331"/>
      <c r="D923" s="331"/>
      <c r="E923" s="331"/>
      <c r="F923" s="331"/>
      <c r="G923" s="331"/>
      <c r="H923" s="331"/>
      <c r="I923" s="331"/>
      <c r="J923" s="331"/>
      <c r="K923" s="331"/>
      <c r="L923" s="331"/>
      <c r="M923" s="331"/>
      <c r="N923" s="331"/>
      <c r="O923" s="331"/>
      <c r="P923" s="331"/>
      <c r="Q923" s="331"/>
      <c r="R923" s="331"/>
      <c r="S923" s="331"/>
      <c r="T923" s="331"/>
      <c r="U923" s="331"/>
      <c r="V923" s="331"/>
      <c r="W923" s="331"/>
      <c r="X923" s="331"/>
      <c r="Y923" s="331"/>
      <c r="Z923" s="331"/>
      <c r="AA923" s="331"/>
      <c r="AB923" s="331"/>
      <c r="AC923" s="331"/>
      <c r="AD923" s="331"/>
      <c r="AE923" s="331"/>
      <c r="AF923" s="331"/>
      <c r="AG923" s="331"/>
      <c r="AH923" s="331"/>
      <c r="AI923" s="331"/>
      <c r="AJ923" s="331"/>
      <c r="AK923" s="331"/>
      <c r="AL923" s="331"/>
    </row>
    <row r="924" ht="15.75" customHeight="1">
      <c r="A924" s="331"/>
      <c r="B924" s="331"/>
      <c r="C924" s="331"/>
      <c r="D924" s="331"/>
      <c r="E924" s="331"/>
      <c r="F924" s="331"/>
      <c r="G924" s="331"/>
      <c r="H924" s="331"/>
      <c r="I924" s="331"/>
      <c r="J924" s="331"/>
      <c r="K924" s="331"/>
      <c r="L924" s="331"/>
      <c r="M924" s="331"/>
      <c r="N924" s="331"/>
      <c r="O924" s="331"/>
      <c r="P924" s="331"/>
      <c r="Q924" s="331"/>
      <c r="R924" s="331"/>
      <c r="S924" s="331"/>
      <c r="T924" s="331"/>
      <c r="U924" s="331"/>
      <c r="V924" s="331"/>
      <c r="W924" s="331"/>
      <c r="X924" s="331"/>
      <c r="Y924" s="331"/>
      <c r="Z924" s="331"/>
      <c r="AA924" s="331"/>
      <c r="AB924" s="331"/>
      <c r="AC924" s="331"/>
      <c r="AD924" s="331"/>
      <c r="AE924" s="331"/>
      <c r="AF924" s="331"/>
      <c r="AG924" s="331"/>
      <c r="AH924" s="331"/>
      <c r="AI924" s="331"/>
      <c r="AJ924" s="331"/>
      <c r="AK924" s="331"/>
      <c r="AL924" s="331"/>
    </row>
    <row r="925" ht="15.75" customHeight="1">
      <c r="A925" s="331"/>
      <c r="B925" s="331"/>
      <c r="C925" s="331"/>
      <c r="D925" s="331"/>
      <c r="E925" s="331"/>
      <c r="F925" s="331"/>
      <c r="G925" s="331"/>
      <c r="H925" s="331"/>
      <c r="I925" s="331"/>
      <c r="J925" s="331"/>
      <c r="K925" s="331"/>
      <c r="L925" s="331"/>
      <c r="M925" s="331"/>
      <c r="N925" s="331"/>
      <c r="O925" s="331"/>
      <c r="P925" s="331"/>
      <c r="Q925" s="331"/>
      <c r="R925" s="331"/>
      <c r="S925" s="331"/>
      <c r="T925" s="331"/>
      <c r="U925" s="331"/>
      <c r="V925" s="331"/>
      <c r="W925" s="331"/>
      <c r="X925" s="331"/>
      <c r="Y925" s="331"/>
      <c r="Z925" s="331"/>
      <c r="AA925" s="331"/>
      <c r="AB925" s="331"/>
      <c r="AC925" s="331"/>
      <c r="AD925" s="331"/>
      <c r="AE925" s="331"/>
      <c r="AF925" s="331"/>
      <c r="AG925" s="331"/>
      <c r="AH925" s="331"/>
      <c r="AI925" s="331"/>
      <c r="AJ925" s="331"/>
      <c r="AK925" s="331"/>
      <c r="AL925" s="331"/>
    </row>
    <row r="926" ht="15.75" customHeight="1">
      <c r="A926" s="331"/>
      <c r="B926" s="331"/>
      <c r="C926" s="331"/>
      <c r="D926" s="331"/>
      <c r="E926" s="331"/>
      <c r="F926" s="331"/>
      <c r="G926" s="331"/>
      <c r="H926" s="331"/>
      <c r="I926" s="331"/>
      <c r="J926" s="331"/>
      <c r="K926" s="331"/>
      <c r="L926" s="331"/>
      <c r="M926" s="331"/>
      <c r="N926" s="331"/>
      <c r="O926" s="331"/>
      <c r="P926" s="331"/>
      <c r="Q926" s="331"/>
      <c r="R926" s="331"/>
      <c r="S926" s="331"/>
      <c r="T926" s="331"/>
      <c r="U926" s="331"/>
      <c r="V926" s="331"/>
      <c r="W926" s="331"/>
      <c r="X926" s="331"/>
      <c r="Y926" s="331"/>
      <c r="Z926" s="331"/>
      <c r="AA926" s="331"/>
      <c r="AB926" s="331"/>
      <c r="AC926" s="331"/>
      <c r="AD926" s="331"/>
      <c r="AE926" s="331"/>
      <c r="AF926" s="331"/>
      <c r="AG926" s="331"/>
      <c r="AH926" s="331"/>
      <c r="AI926" s="331"/>
      <c r="AJ926" s="331"/>
      <c r="AK926" s="331"/>
      <c r="AL926" s="331"/>
    </row>
    <row r="927" ht="15.75" customHeight="1">
      <c r="A927" s="331"/>
      <c r="B927" s="331"/>
      <c r="C927" s="331"/>
      <c r="D927" s="331"/>
      <c r="E927" s="331"/>
      <c r="F927" s="331"/>
      <c r="G927" s="331"/>
      <c r="H927" s="331"/>
      <c r="I927" s="331"/>
      <c r="J927" s="331"/>
      <c r="K927" s="331"/>
      <c r="L927" s="331"/>
      <c r="M927" s="331"/>
      <c r="N927" s="331"/>
      <c r="O927" s="331"/>
      <c r="P927" s="331"/>
      <c r="Q927" s="331"/>
      <c r="R927" s="331"/>
      <c r="S927" s="331"/>
      <c r="T927" s="331"/>
      <c r="U927" s="331"/>
      <c r="V927" s="331"/>
      <c r="W927" s="331"/>
      <c r="X927" s="331"/>
      <c r="Y927" s="331"/>
      <c r="Z927" s="331"/>
      <c r="AA927" s="331"/>
      <c r="AB927" s="331"/>
      <c r="AC927" s="331"/>
      <c r="AD927" s="331"/>
      <c r="AE927" s="331"/>
      <c r="AF927" s="331"/>
      <c r="AG927" s="331"/>
      <c r="AH927" s="331"/>
      <c r="AI927" s="331"/>
      <c r="AJ927" s="331"/>
      <c r="AK927" s="331"/>
      <c r="AL927" s="331"/>
    </row>
    <row r="928" ht="15.75" customHeight="1">
      <c r="A928" s="331"/>
      <c r="B928" s="331"/>
      <c r="C928" s="331"/>
      <c r="D928" s="331"/>
      <c r="E928" s="331"/>
      <c r="F928" s="331"/>
      <c r="G928" s="331"/>
      <c r="H928" s="331"/>
      <c r="I928" s="331"/>
      <c r="J928" s="331"/>
      <c r="K928" s="331"/>
      <c r="L928" s="331"/>
      <c r="M928" s="331"/>
      <c r="N928" s="331"/>
      <c r="O928" s="331"/>
      <c r="P928" s="331"/>
      <c r="Q928" s="331"/>
      <c r="R928" s="331"/>
      <c r="S928" s="331"/>
      <c r="T928" s="331"/>
      <c r="U928" s="331"/>
      <c r="V928" s="331"/>
      <c r="W928" s="331"/>
      <c r="X928" s="331"/>
      <c r="Y928" s="331"/>
      <c r="Z928" s="331"/>
      <c r="AA928" s="331"/>
      <c r="AB928" s="331"/>
      <c r="AC928" s="331"/>
      <c r="AD928" s="331"/>
      <c r="AE928" s="331"/>
      <c r="AF928" s="331"/>
      <c r="AG928" s="331"/>
      <c r="AH928" s="331"/>
      <c r="AI928" s="331"/>
      <c r="AJ928" s="331"/>
      <c r="AK928" s="331"/>
      <c r="AL928" s="331"/>
    </row>
    <row r="929" ht="15.75" customHeight="1">
      <c r="A929" s="331"/>
      <c r="B929" s="331"/>
      <c r="C929" s="331"/>
      <c r="D929" s="331"/>
      <c r="E929" s="331"/>
      <c r="F929" s="331"/>
      <c r="G929" s="331"/>
      <c r="H929" s="331"/>
      <c r="I929" s="331"/>
      <c r="J929" s="331"/>
      <c r="K929" s="331"/>
      <c r="L929" s="331"/>
      <c r="M929" s="331"/>
      <c r="N929" s="331"/>
      <c r="O929" s="331"/>
      <c r="P929" s="331"/>
      <c r="Q929" s="331"/>
      <c r="R929" s="331"/>
      <c r="S929" s="331"/>
      <c r="T929" s="331"/>
      <c r="U929" s="331"/>
      <c r="V929" s="331"/>
      <c r="W929" s="331"/>
      <c r="X929" s="331"/>
      <c r="Y929" s="331"/>
      <c r="Z929" s="331"/>
      <c r="AA929" s="331"/>
      <c r="AB929" s="331"/>
      <c r="AC929" s="331"/>
      <c r="AD929" s="331"/>
      <c r="AE929" s="331"/>
      <c r="AF929" s="331"/>
      <c r="AG929" s="331"/>
      <c r="AH929" s="331"/>
      <c r="AI929" s="331"/>
      <c r="AJ929" s="331"/>
      <c r="AK929" s="331"/>
      <c r="AL929" s="331"/>
    </row>
    <row r="930" ht="15.75" customHeight="1">
      <c r="A930" s="331"/>
      <c r="B930" s="331"/>
      <c r="C930" s="331"/>
      <c r="D930" s="331"/>
      <c r="E930" s="331"/>
      <c r="F930" s="331"/>
      <c r="G930" s="331"/>
      <c r="H930" s="331"/>
      <c r="I930" s="331"/>
      <c r="J930" s="331"/>
      <c r="K930" s="331"/>
      <c r="L930" s="331"/>
      <c r="M930" s="331"/>
      <c r="N930" s="331"/>
      <c r="O930" s="331"/>
      <c r="P930" s="331"/>
      <c r="Q930" s="331"/>
      <c r="R930" s="331"/>
      <c r="S930" s="331"/>
      <c r="T930" s="331"/>
      <c r="U930" s="331"/>
      <c r="V930" s="331"/>
      <c r="W930" s="331"/>
      <c r="X930" s="331"/>
      <c r="Y930" s="331"/>
      <c r="Z930" s="331"/>
      <c r="AA930" s="331"/>
      <c r="AB930" s="331"/>
      <c r="AC930" s="331"/>
      <c r="AD930" s="331"/>
      <c r="AE930" s="331"/>
      <c r="AF930" s="331"/>
      <c r="AG930" s="331"/>
      <c r="AH930" s="331"/>
      <c r="AI930" s="331"/>
      <c r="AJ930" s="331"/>
      <c r="AK930" s="331"/>
      <c r="AL930" s="331"/>
    </row>
    <row r="931" ht="15.75" customHeight="1">
      <c r="A931" s="331"/>
      <c r="B931" s="331"/>
      <c r="C931" s="331"/>
      <c r="D931" s="331"/>
      <c r="E931" s="331"/>
      <c r="F931" s="331"/>
      <c r="G931" s="331"/>
      <c r="H931" s="331"/>
      <c r="I931" s="331"/>
      <c r="J931" s="331"/>
      <c r="K931" s="331"/>
      <c r="L931" s="331"/>
      <c r="M931" s="331"/>
      <c r="N931" s="331"/>
      <c r="O931" s="331"/>
      <c r="P931" s="331"/>
      <c r="Q931" s="331"/>
      <c r="R931" s="331"/>
      <c r="S931" s="331"/>
      <c r="T931" s="331"/>
      <c r="U931" s="331"/>
      <c r="V931" s="331"/>
      <c r="W931" s="331"/>
      <c r="X931" s="331"/>
      <c r="Y931" s="331"/>
      <c r="Z931" s="331"/>
      <c r="AA931" s="331"/>
      <c r="AB931" s="331"/>
      <c r="AC931" s="331"/>
      <c r="AD931" s="331"/>
      <c r="AE931" s="331"/>
      <c r="AF931" s="331"/>
      <c r="AG931" s="331"/>
      <c r="AH931" s="331"/>
      <c r="AI931" s="331"/>
      <c r="AJ931" s="331"/>
      <c r="AK931" s="331"/>
      <c r="AL931" s="331"/>
    </row>
    <row r="932" ht="15.75" customHeight="1">
      <c r="A932" s="331"/>
      <c r="B932" s="331"/>
      <c r="C932" s="331"/>
      <c r="D932" s="331"/>
      <c r="E932" s="331"/>
      <c r="F932" s="331"/>
      <c r="G932" s="331"/>
      <c r="H932" s="331"/>
      <c r="I932" s="331"/>
      <c r="J932" s="331"/>
      <c r="K932" s="331"/>
      <c r="L932" s="331"/>
      <c r="M932" s="331"/>
      <c r="N932" s="331"/>
      <c r="O932" s="331"/>
      <c r="P932" s="331"/>
      <c r="Q932" s="331"/>
      <c r="R932" s="331"/>
      <c r="S932" s="331"/>
      <c r="T932" s="331"/>
      <c r="U932" s="331"/>
      <c r="V932" s="331"/>
      <c r="W932" s="331"/>
      <c r="X932" s="331"/>
      <c r="Y932" s="331"/>
      <c r="Z932" s="331"/>
      <c r="AA932" s="331"/>
      <c r="AB932" s="331"/>
      <c r="AC932" s="331"/>
      <c r="AD932" s="331"/>
      <c r="AE932" s="331"/>
      <c r="AF932" s="331"/>
      <c r="AG932" s="331"/>
      <c r="AH932" s="331"/>
      <c r="AI932" s="331"/>
      <c r="AJ932" s="331"/>
      <c r="AK932" s="331"/>
      <c r="AL932" s="331"/>
    </row>
    <row r="933" ht="15.75" customHeight="1">
      <c r="A933" s="331"/>
      <c r="B933" s="331"/>
      <c r="C933" s="331"/>
      <c r="D933" s="331"/>
      <c r="E933" s="331"/>
      <c r="F933" s="331"/>
      <c r="G933" s="331"/>
      <c r="H933" s="331"/>
      <c r="I933" s="331"/>
      <c r="J933" s="331"/>
      <c r="K933" s="331"/>
      <c r="L933" s="331"/>
      <c r="M933" s="331"/>
      <c r="N933" s="331"/>
      <c r="O933" s="331"/>
      <c r="P933" s="331"/>
      <c r="Q933" s="331"/>
      <c r="R933" s="331"/>
      <c r="S933" s="331"/>
      <c r="T933" s="331"/>
      <c r="U933" s="331"/>
      <c r="V933" s="331"/>
      <c r="W933" s="331"/>
      <c r="X933" s="331"/>
      <c r="Y933" s="331"/>
      <c r="Z933" s="331"/>
      <c r="AA933" s="331"/>
      <c r="AB933" s="331"/>
      <c r="AC933" s="331"/>
      <c r="AD933" s="331"/>
      <c r="AE933" s="331"/>
      <c r="AF933" s="331"/>
      <c r="AG933" s="331"/>
      <c r="AH933" s="331"/>
      <c r="AI933" s="331"/>
      <c r="AJ933" s="331"/>
      <c r="AK933" s="331"/>
      <c r="AL933" s="331"/>
    </row>
    <row r="934" ht="15.75" customHeight="1">
      <c r="A934" s="331"/>
      <c r="B934" s="331"/>
      <c r="C934" s="331"/>
      <c r="D934" s="331"/>
      <c r="E934" s="331"/>
      <c r="F934" s="331"/>
      <c r="G934" s="331"/>
      <c r="H934" s="331"/>
      <c r="I934" s="331"/>
      <c r="J934" s="331"/>
      <c r="K934" s="331"/>
      <c r="L934" s="331"/>
      <c r="M934" s="331"/>
      <c r="N934" s="331"/>
      <c r="O934" s="331"/>
      <c r="P934" s="331"/>
      <c r="Q934" s="331"/>
      <c r="R934" s="331"/>
      <c r="S934" s="331"/>
      <c r="T934" s="331"/>
      <c r="U934" s="331"/>
      <c r="V934" s="331"/>
      <c r="W934" s="331"/>
      <c r="X934" s="331"/>
      <c r="Y934" s="331"/>
      <c r="Z934" s="331"/>
      <c r="AA934" s="331"/>
      <c r="AB934" s="331"/>
      <c r="AC934" s="331"/>
      <c r="AD934" s="331"/>
      <c r="AE934" s="331"/>
      <c r="AF934" s="331"/>
      <c r="AG934" s="331"/>
      <c r="AH934" s="331"/>
      <c r="AI934" s="331"/>
      <c r="AJ934" s="331"/>
      <c r="AK934" s="331"/>
      <c r="AL934" s="331"/>
    </row>
    <row r="935" ht="15.75" customHeight="1">
      <c r="A935" s="331"/>
      <c r="B935" s="331"/>
      <c r="C935" s="331"/>
      <c r="D935" s="331"/>
      <c r="E935" s="331"/>
      <c r="F935" s="331"/>
      <c r="G935" s="331"/>
      <c r="H935" s="331"/>
      <c r="I935" s="331"/>
      <c r="J935" s="331"/>
      <c r="K935" s="331"/>
      <c r="L935" s="331"/>
      <c r="M935" s="331"/>
      <c r="N935" s="331"/>
      <c r="O935" s="331"/>
      <c r="P935" s="331"/>
      <c r="Q935" s="331"/>
      <c r="R935" s="331"/>
      <c r="S935" s="331"/>
      <c r="T935" s="331"/>
      <c r="U935" s="331"/>
      <c r="V935" s="331"/>
      <c r="W935" s="331"/>
      <c r="X935" s="331"/>
      <c r="Y935" s="331"/>
      <c r="Z935" s="331"/>
      <c r="AA935" s="331"/>
      <c r="AB935" s="331"/>
      <c r="AC935" s="331"/>
      <c r="AD935" s="331"/>
      <c r="AE935" s="331"/>
      <c r="AF935" s="331"/>
      <c r="AG935" s="331"/>
      <c r="AH935" s="331"/>
      <c r="AI935" s="331"/>
      <c r="AJ935" s="331"/>
      <c r="AK935" s="331"/>
      <c r="AL935" s="331"/>
    </row>
    <row r="936" ht="15.75" customHeight="1">
      <c r="A936" s="331"/>
      <c r="B936" s="331"/>
      <c r="C936" s="331"/>
      <c r="D936" s="331"/>
      <c r="E936" s="331"/>
      <c r="F936" s="331"/>
      <c r="G936" s="331"/>
      <c r="H936" s="331"/>
      <c r="I936" s="331"/>
      <c r="J936" s="331"/>
      <c r="K936" s="331"/>
      <c r="L936" s="331"/>
      <c r="M936" s="331"/>
      <c r="N936" s="331"/>
      <c r="O936" s="331"/>
      <c r="P936" s="331"/>
      <c r="Q936" s="331"/>
      <c r="R936" s="331"/>
      <c r="S936" s="331"/>
      <c r="T936" s="331"/>
      <c r="U936" s="331"/>
      <c r="V936" s="331"/>
      <c r="W936" s="331"/>
      <c r="X936" s="331"/>
      <c r="Y936" s="331"/>
      <c r="Z936" s="331"/>
      <c r="AA936" s="331"/>
      <c r="AB936" s="331"/>
      <c r="AC936" s="331"/>
      <c r="AD936" s="331"/>
      <c r="AE936" s="331"/>
      <c r="AF936" s="331"/>
      <c r="AG936" s="331"/>
      <c r="AH936" s="331"/>
      <c r="AI936" s="331"/>
      <c r="AJ936" s="331"/>
      <c r="AK936" s="331"/>
      <c r="AL936" s="331"/>
    </row>
    <row r="937" ht="15.75" customHeight="1">
      <c r="A937" s="331"/>
      <c r="B937" s="331"/>
      <c r="C937" s="331"/>
      <c r="D937" s="331"/>
      <c r="E937" s="331"/>
      <c r="F937" s="331"/>
      <c r="G937" s="331"/>
      <c r="H937" s="331"/>
      <c r="I937" s="331"/>
      <c r="J937" s="331"/>
      <c r="K937" s="331"/>
      <c r="L937" s="331"/>
      <c r="M937" s="331"/>
      <c r="N937" s="331"/>
      <c r="O937" s="331"/>
      <c r="P937" s="331"/>
      <c r="Q937" s="331"/>
      <c r="R937" s="331"/>
      <c r="S937" s="331"/>
      <c r="T937" s="331"/>
      <c r="U937" s="331"/>
      <c r="V937" s="331"/>
      <c r="W937" s="331"/>
      <c r="X937" s="331"/>
      <c r="Y937" s="331"/>
      <c r="Z937" s="331"/>
      <c r="AA937" s="331"/>
      <c r="AB937" s="331"/>
      <c r="AC937" s="331"/>
      <c r="AD937" s="331"/>
      <c r="AE937" s="331"/>
      <c r="AF937" s="331"/>
      <c r="AG937" s="331"/>
      <c r="AH937" s="331"/>
      <c r="AI937" s="331"/>
      <c r="AJ937" s="331"/>
      <c r="AK937" s="331"/>
      <c r="AL937" s="331"/>
    </row>
    <row r="938" ht="15.75" customHeight="1">
      <c r="A938" s="331"/>
      <c r="B938" s="331"/>
      <c r="C938" s="331"/>
      <c r="D938" s="331"/>
      <c r="E938" s="331"/>
      <c r="F938" s="331"/>
      <c r="G938" s="331"/>
      <c r="H938" s="331"/>
      <c r="I938" s="331"/>
      <c r="J938" s="331"/>
      <c r="K938" s="331"/>
      <c r="L938" s="331"/>
      <c r="M938" s="331"/>
      <c r="N938" s="331"/>
      <c r="O938" s="331"/>
      <c r="P938" s="331"/>
      <c r="Q938" s="331"/>
      <c r="R938" s="331"/>
      <c r="S938" s="331"/>
      <c r="T938" s="331"/>
      <c r="U938" s="331"/>
      <c r="V938" s="331"/>
      <c r="W938" s="331"/>
      <c r="X938" s="331"/>
      <c r="Y938" s="331"/>
      <c r="Z938" s="331"/>
      <c r="AA938" s="331"/>
      <c r="AB938" s="331"/>
      <c r="AC938" s="331"/>
      <c r="AD938" s="331"/>
      <c r="AE938" s="331"/>
      <c r="AF938" s="331"/>
      <c r="AG938" s="331"/>
      <c r="AH938" s="331"/>
      <c r="AI938" s="331"/>
      <c r="AJ938" s="331"/>
      <c r="AK938" s="331"/>
      <c r="AL938" s="331"/>
    </row>
    <row r="939" ht="15.75" customHeight="1">
      <c r="A939" s="331"/>
      <c r="B939" s="331"/>
      <c r="C939" s="331"/>
      <c r="D939" s="331"/>
      <c r="E939" s="331"/>
      <c r="F939" s="331"/>
      <c r="G939" s="331"/>
      <c r="H939" s="331"/>
      <c r="I939" s="331"/>
      <c r="J939" s="331"/>
      <c r="K939" s="331"/>
      <c r="L939" s="331"/>
      <c r="M939" s="331"/>
      <c r="N939" s="331"/>
      <c r="O939" s="331"/>
      <c r="P939" s="331"/>
      <c r="Q939" s="331"/>
      <c r="R939" s="331"/>
      <c r="S939" s="331"/>
      <c r="T939" s="331"/>
      <c r="U939" s="331"/>
      <c r="V939" s="331"/>
      <c r="W939" s="331"/>
      <c r="X939" s="331"/>
      <c r="Y939" s="331"/>
      <c r="Z939" s="331"/>
      <c r="AA939" s="331"/>
      <c r="AB939" s="331"/>
      <c r="AC939" s="331"/>
      <c r="AD939" s="331"/>
      <c r="AE939" s="331"/>
      <c r="AF939" s="331"/>
      <c r="AG939" s="331"/>
      <c r="AH939" s="331"/>
      <c r="AI939" s="331"/>
      <c r="AJ939" s="331"/>
      <c r="AK939" s="331"/>
      <c r="AL939" s="331"/>
    </row>
    <row r="940" ht="15.75" customHeight="1">
      <c r="A940" s="331"/>
      <c r="B940" s="331"/>
      <c r="C940" s="331"/>
      <c r="D940" s="331"/>
      <c r="E940" s="331"/>
      <c r="F940" s="331"/>
      <c r="G940" s="331"/>
      <c r="H940" s="331"/>
      <c r="I940" s="331"/>
      <c r="J940" s="331"/>
      <c r="K940" s="331"/>
      <c r="L940" s="331"/>
      <c r="M940" s="331"/>
      <c r="N940" s="331"/>
      <c r="O940" s="331"/>
      <c r="P940" s="331"/>
      <c r="Q940" s="331"/>
      <c r="R940" s="331"/>
      <c r="S940" s="331"/>
      <c r="T940" s="331"/>
      <c r="U940" s="331"/>
      <c r="V940" s="331"/>
      <c r="W940" s="331"/>
      <c r="X940" s="331"/>
      <c r="Y940" s="331"/>
      <c r="Z940" s="331"/>
      <c r="AA940" s="331"/>
      <c r="AB940" s="331"/>
      <c r="AC940" s="331"/>
      <c r="AD940" s="331"/>
      <c r="AE940" s="331"/>
      <c r="AF940" s="331"/>
      <c r="AG940" s="331"/>
      <c r="AH940" s="331"/>
      <c r="AI940" s="331"/>
      <c r="AJ940" s="331"/>
      <c r="AK940" s="331"/>
      <c r="AL940" s="331"/>
    </row>
    <row r="941" ht="15.75" customHeight="1">
      <c r="A941" s="331"/>
      <c r="B941" s="331"/>
      <c r="C941" s="331"/>
      <c r="D941" s="331"/>
      <c r="E941" s="331"/>
      <c r="F941" s="331"/>
      <c r="G941" s="331"/>
      <c r="H941" s="331"/>
      <c r="I941" s="331"/>
      <c r="J941" s="331"/>
      <c r="K941" s="331"/>
      <c r="L941" s="331"/>
      <c r="M941" s="331"/>
      <c r="N941" s="331"/>
      <c r="O941" s="331"/>
      <c r="P941" s="331"/>
      <c r="Q941" s="331"/>
      <c r="R941" s="331"/>
      <c r="S941" s="331"/>
      <c r="T941" s="331"/>
      <c r="U941" s="331"/>
      <c r="V941" s="331"/>
      <c r="W941" s="331"/>
      <c r="X941" s="331"/>
      <c r="Y941" s="331"/>
      <c r="Z941" s="331"/>
      <c r="AA941" s="331"/>
      <c r="AB941" s="331"/>
      <c r="AC941" s="331"/>
      <c r="AD941" s="331"/>
      <c r="AE941" s="331"/>
      <c r="AF941" s="331"/>
      <c r="AG941" s="331"/>
      <c r="AH941" s="331"/>
      <c r="AI941" s="331"/>
      <c r="AJ941" s="331"/>
      <c r="AK941" s="331"/>
      <c r="AL941" s="331"/>
    </row>
    <row r="942" ht="15.75" customHeight="1">
      <c r="A942" s="331"/>
      <c r="B942" s="331"/>
      <c r="C942" s="331"/>
      <c r="D942" s="331"/>
      <c r="E942" s="331"/>
      <c r="F942" s="331"/>
      <c r="G942" s="331"/>
      <c r="H942" s="331"/>
      <c r="I942" s="331"/>
      <c r="J942" s="331"/>
      <c r="K942" s="331"/>
      <c r="L942" s="331"/>
      <c r="M942" s="331"/>
      <c r="N942" s="331"/>
      <c r="O942" s="331"/>
      <c r="P942" s="331"/>
      <c r="Q942" s="331"/>
      <c r="R942" s="331"/>
      <c r="S942" s="331"/>
      <c r="T942" s="331"/>
      <c r="U942" s="331"/>
      <c r="V942" s="331"/>
      <c r="W942" s="331"/>
      <c r="X942" s="331"/>
      <c r="Y942" s="331"/>
      <c r="Z942" s="331"/>
      <c r="AA942" s="331"/>
      <c r="AB942" s="331"/>
      <c r="AC942" s="331"/>
      <c r="AD942" s="331"/>
      <c r="AE942" s="331"/>
      <c r="AF942" s="331"/>
      <c r="AG942" s="331"/>
      <c r="AH942" s="331"/>
      <c r="AI942" s="331"/>
      <c r="AJ942" s="331"/>
      <c r="AK942" s="331"/>
      <c r="AL942" s="331"/>
    </row>
    <row r="943" ht="15.75" customHeight="1">
      <c r="A943" s="331"/>
      <c r="B943" s="331"/>
      <c r="C943" s="331"/>
      <c r="D943" s="331"/>
      <c r="E943" s="331"/>
      <c r="F943" s="331"/>
      <c r="G943" s="331"/>
      <c r="H943" s="331"/>
      <c r="I943" s="331"/>
      <c r="J943" s="331"/>
      <c r="K943" s="331"/>
      <c r="L943" s="331"/>
      <c r="M943" s="331"/>
      <c r="N943" s="331"/>
      <c r="O943" s="331"/>
      <c r="P943" s="331"/>
      <c r="Q943" s="331"/>
      <c r="R943" s="331"/>
      <c r="S943" s="331"/>
      <c r="T943" s="331"/>
      <c r="U943" s="331"/>
      <c r="V943" s="331"/>
      <c r="W943" s="331"/>
      <c r="X943" s="331"/>
      <c r="Y943" s="331"/>
      <c r="Z943" s="331"/>
      <c r="AA943" s="331"/>
      <c r="AB943" s="331"/>
      <c r="AC943" s="331"/>
      <c r="AD943" s="331"/>
      <c r="AE943" s="331"/>
      <c r="AF943" s="331"/>
      <c r="AG943" s="331"/>
      <c r="AH943" s="331"/>
      <c r="AI943" s="331"/>
      <c r="AJ943" s="331"/>
      <c r="AK943" s="331"/>
      <c r="AL943" s="331"/>
    </row>
    <row r="944" ht="15.75" customHeight="1">
      <c r="A944" s="331"/>
      <c r="B944" s="331"/>
      <c r="C944" s="331"/>
      <c r="D944" s="331"/>
      <c r="E944" s="331"/>
      <c r="F944" s="331"/>
      <c r="G944" s="331"/>
      <c r="H944" s="331"/>
      <c r="I944" s="331"/>
      <c r="J944" s="331"/>
      <c r="K944" s="331"/>
      <c r="L944" s="331"/>
      <c r="M944" s="331"/>
      <c r="N944" s="331"/>
      <c r="O944" s="331"/>
      <c r="P944" s="331"/>
      <c r="Q944" s="331"/>
      <c r="R944" s="331"/>
      <c r="S944" s="331"/>
      <c r="T944" s="331"/>
      <c r="U944" s="331"/>
      <c r="V944" s="331"/>
      <c r="W944" s="331"/>
      <c r="X944" s="331"/>
      <c r="Y944" s="331"/>
      <c r="Z944" s="331"/>
      <c r="AA944" s="331"/>
      <c r="AB944" s="331"/>
      <c r="AC944" s="331"/>
      <c r="AD944" s="331"/>
      <c r="AE944" s="331"/>
      <c r="AF944" s="331"/>
      <c r="AG944" s="331"/>
      <c r="AH944" s="331"/>
      <c r="AI944" s="331"/>
      <c r="AJ944" s="331"/>
      <c r="AK944" s="331"/>
      <c r="AL944" s="331"/>
    </row>
    <row r="945" ht="15.75" customHeight="1">
      <c r="A945" s="331"/>
      <c r="B945" s="331"/>
      <c r="C945" s="331"/>
      <c r="D945" s="331"/>
      <c r="E945" s="331"/>
      <c r="F945" s="331"/>
      <c r="G945" s="331"/>
      <c r="H945" s="331"/>
      <c r="I945" s="331"/>
      <c r="J945" s="331"/>
      <c r="K945" s="331"/>
      <c r="L945" s="331"/>
      <c r="M945" s="331"/>
      <c r="N945" s="331"/>
      <c r="O945" s="331"/>
      <c r="P945" s="331"/>
      <c r="Q945" s="331"/>
      <c r="R945" s="331"/>
      <c r="S945" s="331"/>
      <c r="T945" s="331"/>
      <c r="U945" s="331"/>
      <c r="V945" s="331"/>
      <c r="W945" s="331"/>
      <c r="X945" s="331"/>
      <c r="Y945" s="331"/>
      <c r="Z945" s="331"/>
      <c r="AA945" s="331"/>
      <c r="AB945" s="331"/>
      <c r="AC945" s="331"/>
      <c r="AD945" s="331"/>
      <c r="AE945" s="331"/>
      <c r="AF945" s="331"/>
      <c r="AG945" s="331"/>
      <c r="AH945" s="331"/>
      <c r="AI945" s="331"/>
      <c r="AJ945" s="331"/>
      <c r="AK945" s="331"/>
      <c r="AL945" s="331"/>
    </row>
    <row r="946" ht="15.75" customHeight="1">
      <c r="A946" s="331"/>
      <c r="B946" s="331"/>
      <c r="C946" s="331"/>
      <c r="D946" s="331"/>
      <c r="E946" s="331"/>
      <c r="F946" s="331"/>
      <c r="G946" s="331"/>
      <c r="H946" s="331"/>
      <c r="I946" s="331"/>
      <c r="J946" s="331"/>
      <c r="K946" s="331"/>
      <c r="L946" s="331"/>
      <c r="M946" s="331"/>
      <c r="N946" s="331"/>
      <c r="O946" s="331"/>
      <c r="P946" s="331"/>
      <c r="Q946" s="331"/>
      <c r="R946" s="331"/>
      <c r="S946" s="331"/>
      <c r="T946" s="331"/>
      <c r="U946" s="331"/>
      <c r="V946" s="331"/>
      <c r="W946" s="331"/>
      <c r="X946" s="331"/>
      <c r="Y946" s="331"/>
      <c r="Z946" s="331"/>
      <c r="AA946" s="331"/>
      <c r="AB946" s="331"/>
      <c r="AC946" s="331"/>
      <c r="AD946" s="331"/>
      <c r="AE946" s="331"/>
      <c r="AF946" s="331"/>
      <c r="AG946" s="331"/>
      <c r="AH946" s="331"/>
      <c r="AI946" s="331"/>
      <c r="AJ946" s="331"/>
      <c r="AK946" s="331"/>
      <c r="AL946" s="331"/>
    </row>
    <row r="947" ht="15.75" customHeight="1">
      <c r="A947" s="331"/>
      <c r="B947" s="331"/>
      <c r="C947" s="331"/>
      <c r="D947" s="331"/>
      <c r="E947" s="331"/>
      <c r="F947" s="331"/>
      <c r="G947" s="331"/>
      <c r="H947" s="331"/>
      <c r="I947" s="331"/>
      <c r="J947" s="331"/>
      <c r="K947" s="331"/>
      <c r="L947" s="331"/>
      <c r="M947" s="331"/>
      <c r="N947" s="331"/>
      <c r="O947" s="331"/>
      <c r="P947" s="331"/>
      <c r="Q947" s="331"/>
      <c r="R947" s="331"/>
      <c r="S947" s="331"/>
      <c r="T947" s="331"/>
      <c r="U947" s="331"/>
      <c r="V947" s="331"/>
      <c r="W947" s="331"/>
      <c r="X947" s="331"/>
      <c r="Y947" s="331"/>
      <c r="Z947" s="331"/>
      <c r="AA947" s="331"/>
      <c r="AB947" s="331"/>
      <c r="AC947" s="331"/>
      <c r="AD947" s="331"/>
      <c r="AE947" s="331"/>
      <c r="AF947" s="331"/>
      <c r="AG947" s="331"/>
      <c r="AH947" s="331"/>
      <c r="AI947" s="331"/>
      <c r="AJ947" s="331"/>
      <c r="AK947" s="331"/>
      <c r="AL947" s="331"/>
    </row>
    <row r="948" ht="15.75" customHeight="1">
      <c r="A948" s="331"/>
      <c r="B948" s="331"/>
      <c r="C948" s="331"/>
      <c r="D948" s="331"/>
      <c r="E948" s="331"/>
      <c r="F948" s="331"/>
      <c r="G948" s="331"/>
      <c r="H948" s="331"/>
      <c r="I948" s="331"/>
      <c r="J948" s="331"/>
      <c r="K948" s="331"/>
      <c r="L948" s="331"/>
      <c r="M948" s="331"/>
      <c r="N948" s="331"/>
      <c r="O948" s="331"/>
      <c r="P948" s="331"/>
      <c r="Q948" s="331"/>
      <c r="R948" s="331"/>
      <c r="S948" s="331"/>
      <c r="T948" s="331"/>
      <c r="U948" s="331"/>
      <c r="V948" s="331"/>
      <c r="W948" s="331"/>
      <c r="X948" s="331"/>
      <c r="Y948" s="331"/>
      <c r="Z948" s="331"/>
      <c r="AA948" s="331"/>
      <c r="AB948" s="331"/>
      <c r="AC948" s="331"/>
      <c r="AD948" s="331"/>
      <c r="AE948" s="331"/>
      <c r="AF948" s="331"/>
      <c r="AG948" s="331"/>
      <c r="AH948" s="331"/>
      <c r="AI948" s="331"/>
      <c r="AJ948" s="331"/>
      <c r="AK948" s="331"/>
      <c r="AL948" s="331"/>
    </row>
    <row r="949" ht="15.75" customHeight="1">
      <c r="A949" s="331"/>
      <c r="B949" s="331"/>
      <c r="C949" s="331"/>
      <c r="D949" s="331"/>
      <c r="E949" s="331"/>
      <c r="F949" s="331"/>
      <c r="G949" s="331"/>
      <c r="H949" s="331"/>
      <c r="I949" s="331"/>
      <c r="J949" s="331"/>
      <c r="K949" s="331"/>
      <c r="L949" s="331"/>
      <c r="M949" s="331"/>
      <c r="N949" s="331"/>
      <c r="O949" s="331"/>
      <c r="P949" s="331"/>
      <c r="Q949" s="331"/>
      <c r="R949" s="331"/>
      <c r="S949" s="331"/>
      <c r="T949" s="331"/>
      <c r="U949" s="331"/>
      <c r="V949" s="331"/>
      <c r="W949" s="331"/>
      <c r="X949" s="331"/>
      <c r="Y949" s="331"/>
      <c r="Z949" s="331"/>
      <c r="AA949" s="331"/>
      <c r="AB949" s="331"/>
      <c r="AC949" s="331"/>
      <c r="AD949" s="331"/>
      <c r="AE949" s="331"/>
      <c r="AF949" s="331"/>
      <c r="AG949" s="331"/>
      <c r="AH949" s="331"/>
      <c r="AI949" s="331"/>
      <c r="AJ949" s="331"/>
      <c r="AK949" s="331"/>
      <c r="AL949" s="331"/>
    </row>
    <row r="950" ht="15.75" customHeight="1">
      <c r="A950" s="331"/>
      <c r="B950" s="331"/>
      <c r="C950" s="331"/>
      <c r="D950" s="331"/>
      <c r="E950" s="331"/>
      <c r="F950" s="331"/>
      <c r="G950" s="331"/>
      <c r="H950" s="331"/>
      <c r="I950" s="331"/>
      <c r="J950" s="331"/>
      <c r="K950" s="331"/>
      <c r="L950" s="331"/>
      <c r="M950" s="331"/>
      <c r="N950" s="331"/>
      <c r="O950" s="331"/>
      <c r="P950" s="331"/>
      <c r="Q950" s="331"/>
      <c r="R950" s="331"/>
      <c r="S950" s="331"/>
      <c r="T950" s="331"/>
      <c r="U950" s="331"/>
      <c r="V950" s="331"/>
      <c r="W950" s="331"/>
      <c r="X950" s="331"/>
      <c r="Y950" s="331"/>
      <c r="Z950" s="331"/>
      <c r="AA950" s="331"/>
      <c r="AB950" s="331"/>
      <c r="AC950" s="331"/>
      <c r="AD950" s="331"/>
      <c r="AE950" s="331"/>
      <c r="AF950" s="331"/>
      <c r="AG950" s="331"/>
      <c r="AH950" s="331"/>
      <c r="AI950" s="331"/>
      <c r="AJ950" s="331"/>
      <c r="AK950" s="331"/>
      <c r="AL950" s="331"/>
    </row>
    <row r="951" ht="15.75" customHeight="1">
      <c r="A951" s="331"/>
      <c r="B951" s="331"/>
      <c r="C951" s="331"/>
      <c r="D951" s="331"/>
      <c r="E951" s="331"/>
      <c r="F951" s="331"/>
      <c r="G951" s="331"/>
      <c r="H951" s="331"/>
      <c r="I951" s="331"/>
      <c r="J951" s="331"/>
      <c r="K951" s="331"/>
      <c r="L951" s="331"/>
      <c r="M951" s="331"/>
      <c r="N951" s="331"/>
      <c r="O951" s="331"/>
      <c r="P951" s="331"/>
      <c r="Q951" s="331"/>
      <c r="R951" s="331"/>
      <c r="S951" s="331"/>
      <c r="T951" s="331"/>
      <c r="U951" s="331"/>
      <c r="V951" s="331"/>
      <c r="W951" s="331"/>
      <c r="X951" s="331"/>
      <c r="Y951" s="331"/>
      <c r="Z951" s="331"/>
      <c r="AA951" s="331"/>
      <c r="AB951" s="331"/>
      <c r="AC951" s="331"/>
      <c r="AD951" s="331"/>
      <c r="AE951" s="331"/>
      <c r="AF951" s="331"/>
      <c r="AG951" s="331"/>
      <c r="AH951" s="331"/>
      <c r="AI951" s="331"/>
      <c r="AJ951" s="331"/>
      <c r="AK951" s="331"/>
      <c r="AL951" s="331"/>
    </row>
    <row r="952" ht="15.75" customHeight="1">
      <c r="A952" s="331"/>
      <c r="B952" s="331"/>
      <c r="C952" s="331"/>
      <c r="D952" s="331"/>
      <c r="E952" s="331"/>
      <c r="F952" s="331"/>
      <c r="G952" s="331"/>
      <c r="H952" s="331"/>
      <c r="I952" s="331"/>
      <c r="J952" s="331"/>
      <c r="K952" s="331"/>
      <c r="L952" s="331"/>
      <c r="M952" s="331"/>
      <c r="N952" s="331"/>
      <c r="O952" s="331"/>
      <c r="P952" s="331"/>
      <c r="Q952" s="331"/>
      <c r="R952" s="331"/>
      <c r="S952" s="331"/>
      <c r="T952" s="331"/>
      <c r="U952" s="331"/>
      <c r="V952" s="331"/>
      <c r="W952" s="331"/>
      <c r="X952" s="331"/>
      <c r="Y952" s="331"/>
      <c r="Z952" s="331"/>
      <c r="AA952" s="331"/>
      <c r="AB952" s="331"/>
      <c r="AC952" s="331"/>
      <c r="AD952" s="331"/>
      <c r="AE952" s="331"/>
      <c r="AF952" s="331"/>
      <c r="AG952" s="331"/>
      <c r="AH952" s="331"/>
      <c r="AI952" s="331"/>
      <c r="AJ952" s="331"/>
      <c r="AK952" s="331"/>
      <c r="AL952" s="331"/>
    </row>
    <row r="953" ht="15.75" customHeight="1">
      <c r="A953" s="331"/>
      <c r="B953" s="331"/>
      <c r="C953" s="331"/>
      <c r="D953" s="331"/>
      <c r="E953" s="331"/>
      <c r="F953" s="331"/>
      <c r="G953" s="331"/>
      <c r="H953" s="331"/>
      <c r="I953" s="331"/>
      <c r="J953" s="331"/>
      <c r="K953" s="331"/>
      <c r="L953" s="331"/>
      <c r="M953" s="331"/>
      <c r="N953" s="331"/>
      <c r="O953" s="331"/>
      <c r="P953" s="331"/>
      <c r="Q953" s="331"/>
      <c r="R953" s="331"/>
      <c r="S953" s="331"/>
      <c r="T953" s="331"/>
      <c r="U953" s="331"/>
      <c r="V953" s="331"/>
      <c r="W953" s="331"/>
      <c r="X953" s="331"/>
      <c r="Y953" s="331"/>
      <c r="Z953" s="331"/>
      <c r="AA953" s="331"/>
      <c r="AB953" s="331"/>
      <c r="AC953" s="331"/>
      <c r="AD953" s="331"/>
      <c r="AE953" s="331"/>
      <c r="AF953" s="331"/>
      <c r="AG953" s="331"/>
      <c r="AH953" s="331"/>
      <c r="AI953" s="331"/>
      <c r="AJ953" s="331"/>
      <c r="AK953" s="331"/>
      <c r="AL953" s="331"/>
    </row>
    <row r="954" ht="15.75" customHeight="1">
      <c r="A954" s="331"/>
      <c r="B954" s="331"/>
      <c r="C954" s="331"/>
      <c r="D954" s="331"/>
      <c r="E954" s="331"/>
      <c r="F954" s="331"/>
      <c r="G954" s="331"/>
      <c r="H954" s="331"/>
      <c r="I954" s="331"/>
      <c r="J954" s="331"/>
      <c r="K954" s="331"/>
      <c r="L954" s="331"/>
      <c r="M954" s="331"/>
      <c r="N954" s="331"/>
      <c r="O954" s="331"/>
      <c r="P954" s="331"/>
      <c r="Q954" s="331"/>
      <c r="R954" s="331"/>
      <c r="S954" s="331"/>
      <c r="T954" s="331"/>
      <c r="U954" s="331"/>
      <c r="V954" s="331"/>
      <c r="W954" s="331"/>
      <c r="X954" s="331"/>
      <c r="Y954" s="331"/>
      <c r="Z954" s="331"/>
      <c r="AA954" s="331"/>
      <c r="AB954" s="331"/>
      <c r="AC954" s="331"/>
      <c r="AD954" s="331"/>
      <c r="AE954" s="331"/>
      <c r="AF954" s="331"/>
      <c r="AG954" s="331"/>
      <c r="AH954" s="331"/>
      <c r="AI954" s="331"/>
      <c r="AJ954" s="331"/>
      <c r="AK954" s="331"/>
      <c r="AL954" s="331"/>
    </row>
    <row r="955" ht="15.75" customHeight="1">
      <c r="A955" s="331"/>
      <c r="B955" s="331"/>
      <c r="C955" s="331"/>
      <c r="D955" s="331"/>
      <c r="E955" s="331"/>
      <c r="F955" s="331"/>
      <c r="G955" s="331"/>
      <c r="H955" s="331"/>
      <c r="I955" s="331"/>
      <c r="J955" s="331"/>
      <c r="K955" s="331"/>
      <c r="L955" s="331"/>
      <c r="M955" s="331"/>
      <c r="N955" s="331"/>
      <c r="O955" s="331"/>
      <c r="P955" s="331"/>
      <c r="Q955" s="331"/>
      <c r="R955" s="331"/>
      <c r="S955" s="331"/>
      <c r="T955" s="331"/>
      <c r="U955" s="331"/>
      <c r="V955" s="331"/>
      <c r="W955" s="331"/>
      <c r="X955" s="331"/>
      <c r="Y955" s="331"/>
      <c r="Z955" s="331"/>
      <c r="AA955" s="331"/>
      <c r="AB955" s="331"/>
      <c r="AC955" s="331"/>
      <c r="AD955" s="331"/>
      <c r="AE955" s="331"/>
      <c r="AF955" s="331"/>
      <c r="AG955" s="331"/>
      <c r="AH955" s="331"/>
      <c r="AI955" s="331"/>
      <c r="AJ955" s="331"/>
      <c r="AK955" s="331"/>
      <c r="AL955" s="331"/>
    </row>
    <row r="956" ht="15.75" customHeight="1">
      <c r="A956" s="331"/>
      <c r="B956" s="331"/>
      <c r="C956" s="331"/>
      <c r="D956" s="331"/>
      <c r="E956" s="331"/>
      <c r="F956" s="331"/>
      <c r="G956" s="331"/>
      <c r="H956" s="331"/>
      <c r="I956" s="331"/>
      <c r="J956" s="331"/>
      <c r="K956" s="331"/>
      <c r="L956" s="331"/>
      <c r="M956" s="331"/>
      <c r="N956" s="331"/>
      <c r="O956" s="331"/>
      <c r="P956" s="331"/>
      <c r="Q956" s="331"/>
      <c r="R956" s="331"/>
      <c r="S956" s="331"/>
      <c r="T956" s="331"/>
      <c r="U956" s="331"/>
      <c r="V956" s="331"/>
      <c r="W956" s="331"/>
      <c r="X956" s="331"/>
      <c r="Y956" s="331"/>
      <c r="Z956" s="331"/>
      <c r="AA956" s="331"/>
      <c r="AB956" s="331"/>
      <c r="AC956" s="331"/>
      <c r="AD956" s="331"/>
      <c r="AE956" s="331"/>
      <c r="AF956" s="331"/>
      <c r="AG956" s="331"/>
      <c r="AH956" s="331"/>
      <c r="AI956" s="331"/>
      <c r="AJ956" s="331"/>
      <c r="AK956" s="331"/>
      <c r="AL956" s="331"/>
    </row>
    <row r="957" ht="15.75" customHeight="1">
      <c r="A957" s="331"/>
      <c r="B957" s="331"/>
      <c r="C957" s="331"/>
      <c r="D957" s="331"/>
      <c r="E957" s="331"/>
      <c r="F957" s="331"/>
      <c r="G957" s="331"/>
      <c r="H957" s="331"/>
      <c r="I957" s="331"/>
      <c r="J957" s="331"/>
      <c r="K957" s="331"/>
      <c r="L957" s="331"/>
      <c r="M957" s="331"/>
      <c r="N957" s="331"/>
      <c r="O957" s="331"/>
      <c r="P957" s="331"/>
      <c r="Q957" s="331"/>
      <c r="R957" s="331"/>
      <c r="S957" s="331"/>
      <c r="T957" s="331"/>
      <c r="U957" s="331"/>
      <c r="V957" s="331"/>
      <c r="W957" s="331"/>
      <c r="X957" s="331"/>
      <c r="Y957" s="331"/>
      <c r="Z957" s="331"/>
      <c r="AA957" s="331"/>
      <c r="AB957" s="331"/>
      <c r="AC957" s="331"/>
      <c r="AD957" s="331"/>
      <c r="AE957" s="331"/>
      <c r="AF957" s="331"/>
      <c r="AG957" s="331"/>
      <c r="AH957" s="331"/>
      <c r="AI957" s="331"/>
      <c r="AJ957" s="331"/>
      <c r="AK957" s="331"/>
      <c r="AL957" s="331"/>
    </row>
    <row r="958" ht="15.75" customHeight="1">
      <c r="A958" s="331"/>
      <c r="B958" s="331"/>
      <c r="C958" s="331"/>
      <c r="D958" s="331"/>
      <c r="E958" s="331"/>
      <c r="F958" s="331"/>
      <c r="G958" s="331"/>
      <c r="H958" s="331"/>
      <c r="I958" s="331"/>
      <c r="J958" s="331"/>
      <c r="K958" s="331"/>
      <c r="L958" s="331"/>
      <c r="M958" s="331"/>
      <c r="N958" s="331"/>
      <c r="O958" s="331"/>
      <c r="P958" s="331"/>
      <c r="Q958" s="331"/>
      <c r="R958" s="331"/>
      <c r="S958" s="331"/>
      <c r="T958" s="331"/>
      <c r="U958" s="331"/>
      <c r="V958" s="331"/>
      <c r="W958" s="331"/>
      <c r="X958" s="331"/>
      <c r="Y958" s="331"/>
      <c r="Z958" s="331"/>
      <c r="AA958" s="331"/>
      <c r="AB958" s="331"/>
      <c r="AC958" s="331"/>
      <c r="AD958" s="331"/>
      <c r="AE958" s="331"/>
      <c r="AF958" s="331"/>
      <c r="AG958" s="331"/>
      <c r="AH958" s="331"/>
      <c r="AI958" s="331"/>
      <c r="AJ958" s="331"/>
      <c r="AK958" s="331"/>
      <c r="AL958" s="331"/>
    </row>
    <row r="959" ht="15.75" customHeight="1">
      <c r="A959" s="331"/>
      <c r="B959" s="331"/>
      <c r="C959" s="331"/>
      <c r="D959" s="331"/>
      <c r="E959" s="331"/>
      <c r="F959" s="331"/>
      <c r="G959" s="331"/>
      <c r="H959" s="331"/>
      <c r="I959" s="331"/>
      <c r="J959" s="331"/>
      <c r="K959" s="331"/>
      <c r="L959" s="331"/>
      <c r="M959" s="331"/>
      <c r="N959" s="331"/>
      <c r="O959" s="331"/>
      <c r="P959" s="331"/>
      <c r="Q959" s="331"/>
      <c r="R959" s="331"/>
      <c r="S959" s="331"/>
      <c r="T959" s="331"/>
      <c r="U959" s="331"/>
      <c r="V959" s="331"/>
      <c r="W959" s="331"/>
      <c r="X959" s="331"/>
      <c r="Y959" s="331"/>
      <c r="Z959" s="331"/>
      <c r="AA959" s="331"/>
      <c r="AB959" s="331"/>
      <c r="AC959" s="331"/>
      <c r="AD959" s="331"/>
      <c r="AE959" s="331"/>
      <c r="AF959" s="331"/>
      <c r="AG959" s="331"/>
      <c r="AH959" s="331"/>
      <c r="AI959" s="331"/>
      <c r="AJ959" s="331"/>
      <c r="AK959" s="331"/>
      <c r="AL959" s="331"/>
    </row>
    <row r="960" ht="15.75" customHeight="1">
      <c r="A960" s="331"/>
      <c r="B960" s="331"/>
      <c r="C960" s="331"/>
      <c r="D960" s="331"/>
      <c r="E960" s="331"/>
      <c r="F960" s="331"/>
      <c r="G960" s="331"/>
      <c r="H960" s="331"/>
      <c r="I960" s="331"/>
      <c r="J960" s="331"/>
      <c r="K960" s="331"/>
      <c r="L960" s="331"/>
      <c r="M960" s="331"/>
      <c r="N960" s="331"/>
      <c r="O960" s="331"/>
      <c r="P960" s="331"/>
      <c r="Q960" s="331"/>
      <c r="R960" s="331"/>
      <c r="S960" s="331"/>
      <c r="T960" s="331"/>
      <c r="U960" s="331"/>
      <c r="V960" s="331"/>
      <c r="W960" s="331"/>
      <c r="X960" s="331"/>
      <c r="Y960" s="331"/>
      <c r="Z960" s="331"/>
      <c r="AA960" s="331"/>
      <c r="AB960" s="331"/>
      <c r="AC960" s="331"/>
      <c r="AD960" s="331"/>
      <c r="AE960" s="331"/>
      <c r="AF960" s="331"/>
      <c r="AG960" s="331"/>
      <c r="AH960" s="331"/>
      <c r="AI960" s="331"/>
      <c r="AJ960" s="331"/>
      <c r="AK960" s="331"/>
      <c r="AL960" s="331"/>
    </row>
    <row r="961" ht="15.75" customHeight="1">
      <c r="A961" s="331"/>
      <c r="B961" s="331"/>
      <c r="C961" s="331"/>
      <c r="D961" s="331"/>
      <c r="E961" s="331"/>
      <c r="F961" s="331"/>
      <c r="G961" s="331"/>
      <c r="H961" s="331"/>
      <c r="I961" s="331"/>
      <c r="J961" s="331"/>
      <c r="K961" s="331"/>
      <c r="L961" s="331"/>
      <c r="M961" s="331"/>
      <c r="N961" s="331"/>
      <c r="O961" s="331"/>
      <c r="P961" s="331"/>
      <c r="Q961" s="331"/>
      <c r="R961" s="331"/>
      <c r="S961" s="331"/>
      <c r="T961" s="331"/>
      <c r="U961" s="331"/>
      <c r="V961" s="331"/>
      <c r="W961" s="331"/>
      <c r="X961" s="331"/>
      <c r="Y961" s="331"/>
      <c r="Z961" s="331"/>
      <c r="AA961" s="331"/>
      <c r="AB961" s="331"/>
      <c r="AC961" s="331"/>
      <c r="AD961" s="331"/>
      <c r="AE961" s="331"/>
      <c r="AF961" s="331"/>
      <c r="AG961" s="331"/>
      <c r="AH961" s="331"/>
      <c r="AI961" s="331"/>
      <c r="AJ961" s="331"/>
      <c r="AK961" s="331"/>
      <c r="AL961" s="331"/>
    </row>
    <row r="962" ht="15.75" customHeight="1">
      <c r="A962" s="331"/>
      <c r="B962" s="331"/>
      <c r="C962" s="331"/>
      <c r="D962" s="331"/>
      <c r="E962" s="331"/>
      <c r="F962" s="331"/>
      <c r="G962" s="331"/>
      <c r="H962" s="331"/>
      <c r="I962" s="331"/>
      <c r="J962" s="331"/>
      <c r="K962" s="331"/>
      <c r="L962" s="331"/>
      <c r="M962" s="331"/>
      <c r="N962" s="331"/>
      <c r="O962" s="331"/>
      <c r="P962" s="331"/>
      <c r="Q962" s="331"/>
      <c r="R962" s="331"/>
      <c r="S962" s="331"/>
      <c r="T962" s="331"/>
      <c r="U962" s="331"/>
      <c r="V962" s="331"/>
      <c r="W962" s="331"/>
      <c r="X962" s="331"/>
      <c r="Y962" s="331"/>
      <c r="Z962" s="331"/>
      <c r="AA962" s="331"/>
      <c r="AB962" s="331"/>
      <c r="AC962" s="331"/>
      <c r="AD962" s="331"/>
      <c r="AE962" s="331"/>
      <c r="AF962" s="331"/>
      <c r="AG962" s="331"/>
      <c r="AH962" s="331"/>
      <c r="AI962" s="331"/>
      <c r="AJ962" s="331"/>
      <c r="AK962" s="331"/>
      <c r="AL962" s="331"/>
    </row>
    <row r="963" ht="15.75" customHeight="1">
      <c r="A963" s="331"/>
      <c r="B963" s="331"/>
      <c r="C963" s="331"/>
      <c r="D963" s="331"/>
      <c r="E963" s="331"/>
      <c r="F963" s="331"/>
      <c r="G963" s="331"/>
      <c r="H963" s="331"/>
      <c r="I963" s="331"/>
      <c r="J963" s="331"/>
      <c r="K963" s="331"/>
      <c r="L963" s="331"/>
      <c r="M963" s="331"/>
      <c r="N963" s="331"/>
      <c r="O963" s="331"/>
      <c r="P963" s="331"/>
      <c r="Q963" s="331"/>
      <c r="R963" s="331"/>
      <c r="S963" s="331"/>
      <c r="T963" s="331"/>
      <c r="U963" s="331"/>
      <c r="V963" s="331"/>
      <c r="W963" s="331"/>
      <c r="X963" s="331"/>
      <c r="Y963" s="331"/>
      <c r="Z963" s="331"/>
      <c r="AA963" s="331"/>
      <c r="AB963" s="331"/>
      <c r="AC963" s="331"/>
      <c r="AD963" s="331"/>
      <c r="AE963" s="331"/>
      <c r="AF963" s="331"/>
      <c r="AG963" s="331"/>
      <c r="AH963" s="331"/>
      <c r="AI963" s="331"/>
      <c r="AJ963" s="331"/>
      <c r="AK963" s="331"/>
      <c r="AL963" s="331"/>
    </row>
    <row r="964" ht="15.75" customHeight="1">
      <c r="A964" s="331"/>
      <c r="B964" s="331"/>
      <c r="C964" s="331"/>
      <c r="D964" s="331"/>
      <c r="E964" s="331"/>
      <c r="F964" s="331"/>
      <c r="G964" s="331"/>
      <c r="H964" s="331"/>
      <c r="I964" s="331"/>
      <c r="J964" s="331"/>
      <c r="K964" s="331"/>
      <c r="L964" s="331"/>
      <c r="M964" s="331"/>
      <c r="N964" s="331"/>
      <c r="O964" s="331"/>
      <c r="P964" s="331"/>
      <c r="Q964" s="331"/>
      <c r="R964" s="331"/>
      <c r="S964" s="331"/>
      <c r="T964" s="331"/>
      <c r="U964" s="331"/>
      <c r="V964" s="331"/>
      <c r="W964" s="331"/>
      <c r="X964" s="331"/>
      <c r="Y964" s="331"/>
      <c r="Z964" s="331"/>
      <c r="AA964" s="331"/>
      <c r="AB964" s="331"/>
      <c r="AC964" s="331"/>
      <c r="AD964" s="331"/>
      <c r="AE964" s="331"/>
      <c r="AF964" s="331"/>
      <c r="AG964" s="331"/>
      <c r="AH964" s="331"/>
      <c r="AI964" s="331"/>
      <c r="AJ964" s="331"/>
      <c r="AK964" s="331"/>
      <c r="AL964" s="331"/>
    </row>
    <row r="965" ht="15.75" customHeight="1">
      <c r="A965" s="331"/>
      <c r="B965" s="331"/>
      <c r="C965" s="331"/>
      <c r="D965" s="331"/>
      <c r="E965" s="331"/>
      <c r="F965" s="331"/>
      <c r="G965" s="331"/>
      <c r="H965" s="331"/>
      <c r="I965" s="331"/>
      <c r="J965" s="331"/>
      <c r="K965" s="331"/>
      <c r="L965" s="331"/>
      <c r="M965" s="331"/>
      <c r="N965" s="331"/>
      <c r="O965" s="331"/>
      <c r="P965" s="331"/>
      <c r="Q965" s="331"/>
      <c r="R965" s="331"/>
      <c r="S965" s="331"/>
      <c r="T965" s="331"/>
      <c r="U965" s="331"/>
      <c r="V965" s="331"/>
      <c r="W965" s="331"/>
      <c r="X965" s="331"/>
      <c r="Y965" s="331"/>
      <c r="Z965" s="331"/>
      <c r="AA965" s="331"/>
      <c r="AB965" s="331"/>
      <c r="AC965" s="331"/>
      <c r="AD965" s="331"/>
      <c r="AE965" s="331"/>
      <c r="AF965" s="331"/>
      <c r="AG965" s="331"/>
      <c r="AH965" s="331"/>
      <c r="AI965" s="331"/>
      <c r="AJ965" s="331"/>
      <c r="AK965" s="331"/>
      <c r="AL965" s="331"/>
    </row>
    <row r="966" ht="15.75" customHeight="1">
      <c r="A966" s="331"/>
      <c r="B966" s="331"/>
      <c r="C966" s="331"/>
      <c r="D966" s="331"/>
      <c r="E966" s="331"/>
      <c r="F966" s="331"/>
      <c r="G966" s="331"/>
      <c r="H966" s="331"/>
      <c r="I966" s="331"/>
      <c r="J966" s="331"/>
      <c r="K966" s="331"/>
      <c r="L966" s="331"/>
      <c r="M966" s="331"/>
      <c r="N966" s="331"/>
      <c r="O966" s="331"/>
      <c r="P966" s="331"/>
      <c r="Q966" s="331"/>
      <c r="R966" s="331"/>
      <c r="S966" s="331"/>
      <c r="T966" s="331"/>
      <c r="U966" s="331"/>
      <c r="V966" s="331"/>
      <c r="W966" s="331"/>
      <c r="X966" s="331"/>
      <c r="Y966" s="331"/>
      <c r="Z966" s="331"/>
      <c r="AA966" s="331"/>
      <c r="AB966" s="331"/>
      <c r="AC966" s="331"/>
      <c r="AD966" s="331"/>
      <c r="AE966" s="331"/>
      <c r="AF966" s="331"/>
      <c r="AG966" s="331"/>
      <c r="AH966" s="331"/>
      <c r="AI966" s="331"/>
      <c r="AJ966" s="331"/>
      <c r="AK966" s="331"/>
      <c r="AL966" s="331"/>
    </row>
    <row r="967" ht="15.75" customHeight="1">
      <c r="A967" s="331"/>
      <c r="B967" s="331"/>
      <c r="C967" s="331"/>
      <c r="D967" s="331"/>
      <c r="E967" s="331"/>
      <c r="F967" s="331"/>
      <c r="G967" s="331"/>
      <c r="H967" s="331"/>
      <c r="I967" s="331"/>
      <c r="J967" s="331"/>
      <c r="K967" s="331"/>
      <c r="L967" s="331"/>
      <c r="M967" s="331"/>
      <c r="N967" s="331"/>
      <c r="O967" s="331"/>
      <c r="P967" s="331"/>
      <c r="Q967" s="331"/>
      <c r="R967" s="331"/>
      <c r="S967" s="331"/>
      <c r="T967" s="331"/>
      <c r="U967" s="331"/>
      <c r="V967" s="331"/>
      <c r="W967" s="331"/>
      <c r="X967" s="331"/>
      <c r="Y967" s="331"/>
      <c r="Z967" s="331"/>
      <c r="AA967" s="331"/>
      <c r="AB967" s="331"/>
      <c r="AC967" s="331"/>
      <c r="AD967" s="331"/>
      <c r="AE967" s="331"/>
      <c r="AF967" s="331"/>
      <c r="AG967" s="331"/>
      <c r="AH967" s="331"/>
      <c r="AI967" s="331"/>
      <c r="AJ967" s="331"/>
      <c r="AK967" s="331"/>
      <c r="AL967" s="331"/>
    </row>
    <row r="968" ht="15.75" customHeight="1">
      <c r="A968" s="331"/>
      <c r="B968" s="331"/>
      <c r="C968" s="331"/>
      <c r="D968" s="331"/>
      <c r="E968" s="331"/>
      <c r="F968" s="331"/>
      <c r="G968" s="331"/>
      <c r="H968" s="331"/>
      <c r="I968" s="331"/>
      <c r="J968" s="331"/>
      <c r="K968" s="331"/>
      <c r="L968" s="331"/>
      <c r="M968" s="331"/>
      <c r="N968" s="331"/>
      <c r="O968" s="331"/>
      <c r="P968" s="331"/>
      <c r="Q968" s="331"/>
      <c r="R968" s="331"/>
      <c r="S968" s="331"/>
      <c r="T968" s="331"/>
      <c r="U968" s="331"/>
      <c r="V968" s="331"/>
      <c r="W968" s="331"/>
      <c r="X968" s="331"/>
      <c r="Y968" s="331"/>
      <c r="Z968" s="331"/>
      <c r="AA968" s="331"/>
      <c r="AB968" s="331"/>
      <c r="AC968" s="331"/>
      <c r="AD968" s="331"/>
      <c r="AE968" s="331"/>
      <c r="AF968" s="331"/>
      <c r="AG968" s="331"/>
      <c r="AH968" s="331"/>
      <c r="AI968" s="331"/>
      <c r="AJ968" s="331"/>
      <c r="AK968" s="331"/>
      <c r="AL968" s="331"/>
    </row>
    <row r="969" ht="15.75" customHeight="1">
      <c r="A969" s="331"/>
      <c r="B969" s="331"/>
      <c r="C969" s="331"/>
      <c r="D969" s="331"/>
      <c r="E969" s="331"/>
      <c r="F969" s="331"/>
      <c r="G969" s="331"/>
      <c r="H969" s="331"/>
      <c r="I969" s="331"/>
      <c r="J969" s="331"/>
      <c r="K969" s="331"/>
      <c r="L969" s="331"/>
      <c r="M969" s="331"/>
      <c r="N969" s="331"/>
      <c r="O969" s="331"/>
      <c r="P969" s="331"/>
      <c r="Q969" s="331"/>
      <c r="R969" s="331"/>
      <c r="S969" s="331"/>
      <c r="T969" s="331"/>
      <c r="U969" s="331"/>
      <c r="V969" s="331"/>
      <c r="W969" s="331"/>
      <c r="X969" s="331"/>
      <c r="Y969" s="331"/>
      <c r="Z969" s="331"/>
      <c r="AA969" s="331"/>
      <c r="AB969" s="331"/>
      <c r="AC969" s="331"/>
      <c r="AD969" s="331"/>
      <c r="AE969" s="331"/>
      <c r="AF969" s="331"/>
      <c r="AG969" s="331"/>
      <c r="AH969" s="331"/>
      <c r="AI969" s="331"/>
      <c r="AJ969" s="331"/>
      <c r="AK969" s="331"/>
      <c r="AL969" s="331"/>
    </row>
    <row r="970" ht="15.75" customHeight="1">
      <c r="A970" s="331"/>
      <c r="B970" s="331"/>
      <c r="C970" s="331"/>
      <c r="D970" s="331"/>
      <c r="E970" s="331"/>
      <c r="F970" s="331"/>
      <c r="G970" s="331"/>
      <c r="H970" s="331"/>
      <c r="I970" s="331"/>
      <c r="J970" s="331"/>
      <c r="K970" s="331"/>
      <c r="L970" s="331"/>
      <c r="M970" s="331"/>
      <c r="N970" s="331"/>
      <c r="O970" s="331"/>
      <c r="P970" s="331"/>
      <c r="Q970" s="331"/>
      <c r="R970" s="331"/>
      <c r="S970" s="331"/>
      <c r="T970" s="331"/>
      <c r="U970" s="331"/>
      <c r="V970" s="331"/>
      <c r="W970" s="331"/>
      <c r="X970" s="331"/>
      <c r="Y970" s="331"/>
      <c r="Z970" s="331"/>
      <c r="AA970" s="331"/>
      <c r="AB970" s="331"/>
      <c r="AC970" s="331"/>
      <c r="AD970" s="331"/>
      <c r="AE970" s="331"/>
      <c r="AF970" s="331"/>
      <c r="AG970" s="331"/>
      <c r="AH970" s="331"/>
      <c r="AI970" s="331"/>
      <c r="AJ970" s="331"/>
      <c r="AK970" s="331"/>
      <c r="AL970" s="331"/>
    </row>
    <row r="971" ht="15.75" customHeight="1">
      <c r="A971" s="331"/>
      <c r="B971" s="331"/>
      <c r="C971" s="331"/>
      <c r="D971" s="331"/>
      <c r="E971" s="331"/>
      <c r="F971" s="331"/>
      <c r="G971" s="331"/>
      <c r="H971" s="331"/>
      <c r="I971" s="331"/>
      <c r="J971" s="331"/>
      <c r="K971" s="331"/>
      <c r="L971" s="331"/>
      <c r="M971" s="331"/>
      <c r="N971" s="331"/>
      <c r="O971" s="331"/>
      <c r="P971" s="331"/>
      <c r="Q971" s="331"/>
      <c r="R971" s="331"/>
      <c r="S971" s="331"/>
      <c r="T971" s="331"/>
      <c r="U971" s="331"/>
      <c r="V971" s="331"/>
      <c r="W971" s="331"/>
      <c r="X971" s="331"/>
      <c r="Y971" s="331"/>
      <c r="Z971" s="331"/>
      <c r="AA971" s="331"/>
      <c r="AB971" s="331"/>
      <c r="AC971" s="331"/>
      <c r="AD971" s="331"/>
      <c r="AE971" s="331"/>
      <c r="AF971" s="331"/>
      <c r="AG971" s="331"/>
      <c r="AH971" s="331"/>
      <c r="AI971" s="331"/>
      <c r="AJ971" s="331"/>
      <c r="AK971" s="331"/>
      <c r="AL971" s="331"/>
    </row>
    <row r="972" ht="15.75" customHeight="1">
      <c r="A972" s="331"/>
      <c r="B972" s="331"/>
      <c r="C972" s="331"/>
      <c r="D972" s="331"/>
      <c r="E972" s="331"/>
      <c r="F972" s="331"/>
      <c r="G972" s="331"/>
      <c r="H972" s="331"/>
      <c r="I972" s="331"/>
      <c r="J972" s="331"/>
      <c r="K972" s="331"/>
      <c r="L972" s="331"/>
      <c r="M972" s="331"/>
      <c r="N972" s="331"/>
      <c r="O972" s="331"/>
      <c r="P972" s="331"/>
      <c r="Q972" s="331"/>
      <c r="R972" s="331"/>
      <c r="S972" s="331"/>
      <c r="T972" s="331"/>
      <c r="U972" s="331"/>
      <c r="V972" s="331"/>
      <c r="W972" s="331"/>
      <c r="X972" s="331"/>
      <c r="Y972" s="331"/>
      <c r="Z972" s="331"/>
      <c r="AA972" s="331"/>
      <c r="AB972" s="331"/>
      <c r="AC972" s="331"/>
      <c r="AD972" s="331"/>
      <c r="AE972" s="331"/>
      <c r="AF972" s="331"/>
      <c r="AG972" s="331"/>
      <c r="AH972" s="331"/>
      <c r="AI972" s="331"/>
      <c r="AJ972" s="331"/>
      <c r="AK972" s="331"/>
      <c r="AL972" s="331"/>
    </row>
    <row r="973" ht="15.75" customHeight="1">
      <c r="A973" s="331"/>
      <c r="B973" s="331"/>
      <c r="C973" s="331"/>
      <c r="D973" s="331"/>
      <c r="E973" s="331"/>
      <c r="F973" s="331"/>
      <c r="G973" s="331"/>
      <c r="H973" s="331"/>
      <c r="I973" s="331"/>
      <c r="J973" s="331"/>
      <c r="K973" s="331"/>
      <c r="L973" s="331"/>
      <c r="M973" s="331"/>
      <c r="N973" s="331"/>
      <c r="O973" s="331"/>
      <c r="P973" s="331"/>
      <c r="Q973" s="331"/>
      <c r="R973" s="331"/>
      <c r="S973" s="331"/>
      <c r="T973" s="331"/>
      <c r="U973" s="331"/>
      <c r="V973" s="331"/>
      <c r="W973" s="331"/>
      <c r="X973" s="331"/>
      <c r="Y973" s="331"/>
      <c r="Z973" s="331"/>
      <c r="AA973" s="331"/>
      <c r="AB973" s="331"/>
      <c r="AC973" s="331"/>
      <c r="AD973" s="331"/>
      <c r="AE973" s="331"/>
      <c r="AF973" s="331"/>
      <c r="AG973" s="331"/>
      <c r="AH973" s="331"/>
      <c r="AI973" s="331"/>
      <c r="AJ973" s="331"/>
      <c r="AK973" s="331"/>
      <c r="AL973" s="331"/>
    </row>
    <row r="974" ht="15.75" customHeight="1">
      <c r="A974" s="331"/>
      <c r="B974" s="331"/>
      <c r="C974" s="331"/>
      <c r="D974" s="331"/>
      <c r="E974" s="331"/>
      <c r="F974" s="331"/>
      <c r="G974" s="331"/>
      <c r="H974" s="331"/>
      <c r="I974" s="331"/>
      <c r="J974" s="331"/>
      <c r="K974" s="331"/>
      <c r="L974" s="331"/>
      <c r="M974" s="331"/>
      <c r="N974" s="331"/>
      <c r="O974" s="331"/>
      <c r="P974" s="331"/>
      <c r="Q974" s="331"/>
      <c r="R974" s="331"/>
      <c r="S974" s="331"/>
      <c r="T974" s="331"/>
      <c r="U974" s="331"/>
      <c r="V974" s="331"/>
      <c r="W974" s="331"/>
      <c r="X974" s="331"/>
      <c r="Y974" s="331"/>
      <c r="Z974" s="331"/>
      <c r="AA974" s="331"/>
      <c r="AB974" s="331"/>
      <c r="AC974" s="331"/>
      <c r="AD974" s="331"/>
      <c r="AE974" s="331"/>
      <c r="AF974" s="331"/>
      <c r="AG974" s="331"/>
      <c r="AH974" s="331"/>
      <c r="AI974" s="331"/>
      <c r="AJ974" s="331"/>
      <c r="AK974" s="331"/>
      <c r="AL974" s="331"/>
    </row>
    <row r="975" ht="15.75" customHeight="1">
      <c r="A975" s="331"/>
      <c r="B975" s="331"/>
      <c r="C975" s="331"/>
      <c r="D975" s="331"/>
      <c r="E975" s="331"/>
      <c r="F975" s="331"/>
      <c r="G975" s="331"/>
      <c r="H975" s="331"/>
      <c r="I975" s="331"/>
      <c r="J975" s="331"/>
      <c r="K975" s="331"/>
      <c r="L975" s="331"/>
      <c r="M975" s="331"/>
      <c r="N975" s="331"/>
      <c r="O975" s="331"/>
      <c r="P975" s="331"/>
      <c r="Q975" s="331"/>
      <c r="R975" s="331"/>
      <c r="S975" s="331"/>
      <c r="T975" s="331"/>
      <c r="U975" s="331"/>
      <c r="V975" s="331"/>
      <c r="W975" s="331"/>
      <c r="X975" s="331"/>
      <c r="Y975" s="331"/>
      <c r="Z975" s="331"/>
      <c r="AA975" s="331"/>
      <c r="AB975" s="331"/>
      <c r="AC975" s="331"/>
      <c r="AD975" s="331"/>
      <c r="AE975" s="331"/>
      <c r="AF975" s="331"/>
      <c r="AG975" s="331"/>
      <c r="AH975" s="331"/>
      <c r="AI975" s="331"/>
      <c r="AJ975" s="331"/>
      <c r="AK975" s="331"/>
      <c r="AL975" s="331"/>
    </row>
    <row r="976" ht="15.75" customHeight="1">
      <c r="A976" s="331"/>
      <c r="B976" s="331"/>
      <c r="C976" s="331"/>
      <c r="D976" s="331"/>
      <c r="E976" s="331"/>
      <c r="F976" s="331"/>
      <c r="G976" s="331"/>
      <c r="H976" s="331"/>
      <c r="I976" s="331"/>
      <c r="J976" s="331"/>
      <c r="K976" s="331"/>
      <c r="L976" s="331"/>
      <c r="M976" s="331"/>
      <c r="N976" s="331"/>
      <c r="O976" s="331"/>
      <c r="P976" s="331"/>
      <c r="Q976" s="331"/>
      <c r="R976" s="331"/>
      <c r="S976" s="331"/>
      <c r="T976" s="331"/>
      <c r="U976" s="331"/>
      <c r="V976" s="331"/>
      <c r="W976" s="331"/>
      <c r="X976" s="331"/>
      <c r="Y976" s="331"/>
      <c r="Z976" s="331"/>
      <c r="AA976" s="331"/>
      <c r="AB976" s="331"/>
      <c r="AC976" s="331"/>
      <c r="AD976" s="331"/>
      <c r="AE976" s="331"/>
      <c r="AF976" s="331"/>
      <c r="AG976" s="331"/>
      <c r="AH976" s="331"/>
      <c r="AI976" s="331"/>
      <c r="AJ976" s="331"/>
      <c r="AK976" s="331"/>
      <c r="AL976" s="331"/>
    </row>
    <row r="977" ht="15.75" customHeight="1">
      <c r="A977" s="331"/>
      <c r="B977" s="331"/>
      <c r="C977" s="331"/>
      <c r="D977" s="331"/>
      <c r="E977" s="331"/>
      <c r="F977" s="331"/>
      <c r="G977" s="331"/>
      <c r="H977" s="331"/>
      <c r="I977" s="331"/>
      <c r="J977" s="331"/>
      <c r="K977" s="331"/>
      <c r="L977" s="331"/>
      <c r="M977" s="331"/>
      <c r="N977" s="331"/>
      <c r="O977" s="331"/>
      <c r="P977" s="331"/>
      <c r="Q977" s="331"/>
      <c r="R977" s="331"/>
      <c r="S977" s="331"/>
      <c r="T977" s="331"/>
      <c r="U977" s="331"/>
      <c r="V977" s="331"/>
      <c r="W977" s="331"/>
      <c r="X977" s="331"/>
      <c r="Y977" s="331"/>
      <c r="Z977" s="331"/>
      <c r="AA977" s="331"/>
      <c r="AB977" s="331"/>
      <c r="AC977" s="331"/>
      <c r="AD977" s="331"/>
      <c r="AE977" s="331"/>
      <c r="AF977" s="331"/>
      <c r="AG977" s="331"/>
      <c r="AH977" s="331"/>
      <c r="AI977" s="331"/>
      <c r="AJ977" s="331"/>
      <c r="AK977" s="331"/>
      <c r="AL977" s="331"/>
    </row>
    <row r="978" ht="15.75" customHeight="1">
      <c r="A978" s="331"/>
      <c r="B978" s="331"/>
      <c r="C978" s="331"/>
      <c r="D978" s="331"/>
      <c r="E978" s="331"/>
      <c r="F978" s="331"/>
      <c r="G978" s="331"/>
      <c r="H978" s="331"/>
      <c r="I978" s="331"/>
      <c r="J978" s="331"/>
      <c r="K978" s="331"/>
      <c r="L978" s="331"/>
      <c r="M978" s="331"/>
      <c r="N978" s="331"/>
      <c r="O978" s="331"/>
      <c r="P978" s="331"/>
      <c r="Q978" s="331"/>
      <c r="R978" s="331"/>
      <c r="S978" s="331"/>
      <c r="T978" s="331"/>
      <c r="U978" s="331"/>
      <c r="V978" s="331"/>
      <c r="W978" s="331"/>
      <c r="X978" s="331"/>
      <c r="Y978" s="331"/>
      <c r="Z978" s="331"/>
      <c r="AA978" s="331"/>
      <c r="AB978" s="331"/>
      <c r="AC978" s="331"/>
      <c r="AD978" s="331"/>
      <c r="AE978" s="331"/>
      <c r="AF978" s="331"/>
      <c r="AG978" s="331"/>
      <c r="AH978" s="331"/>
      <c r="AI978" s="331"/>
      <c r="AJ978" s="331"/>
      <c r="AK978" s="331"/>
      <c r="AL978" s="331"/>
    </row>
    <row r="979" ht="15.75" customHeight="1">
      <c r="A979" s="331"/>
      <c r="B979" s="331"/>
      <c r="C979" s="331"/>
      <c r="D979" s="331"/>
      <c r="E979" s="331"/>
      <c r="F979" s="331"/>
      <c r="G979" s="331"/>
      <c r="H979" s="331"/>
      <c r="I979" s="331"/>
      <c r="J979" s="331"/>
      <c r="K979" s="331"/>
      <c r="L979" s="331"/>
      <c r="M979" s="331"/>
      <c r="N979" s="331"/>
      <c r="O979" s="331"/>
      <c r="P979" s="331"/>
      <c r="Q979" s="331"/>
      <c r="R979" s="331"/>
      <c r="S979" s="331"/>
      <c r="T979" s="331"/>
      <c r="U979" s="331"/>
      <c r="V979" s="331"/>
      <c r="W979" s="331"/>
      <c r="X979" s="331"/>
      <c r="Y979" s="331"/>
      <c r="Z979" s="331"/>
      <c r="AA979" s="331"/>
      <c r="AB979" s="331"/>
      <c r="AC979" s="331"/>
      <c r="AD979" s="331"/>
      <c r="AE979" s="331"/>
      <c r="AF979" s="331"/>
      <c r="AG979" s="331"/>
      <c r="AH979" s="331"/>
      <c r="AI979" s="331"/>
      <c r="AJ979" s="331"/>
      <c r="AK979" s="331"/>
      <c r="AL979" s="331"/>
    </row>
    <row r="980" ht="15.75" customHeight="1">
      <c r="A980" s="331"/>
      <c r="B980" s="331"/>
      <c r="C980" s="331"/>
      <c r="D980" s="331"/>
      <c r="E980" s="331"/>
      <c r="F980" s="331"/>
      <c r="G980" s="331"/>
      <c r="H980" s="331"/>
      <c r="I980" s="331"/>
      <c r="J980" s="331"/>
      <c r="K980" s="331"/>
      <c r="L980" s="331"/>
      <c r="M980" s="331"/>
      <c r="N980" s="331"/>
      <c r="O980" s="331"/>
      <c r="P980" s="331"/>
      <c r="Q980" s="331"/>
      <c r="R980" s="331"/>
      <c r="S980" s="331"/>
      <c r="T980" s="331"/>
      <c r="U980" s="331"/>
      <c r="V980" s="331"/>
      <c r="W980" s="331"/>
      <c r="X980" s="331"/>
      <c r="Y980" s="331"/>
      <c r="Z980" s="331"/>
      <c r="AA980" s="331"/>
      <c r="AB980" s="331"/>
      <c r="AC980" s="331"/>
      <c r="AD980" s="331"/>
      <c r="AE980" s="331"/>
      <c r="AF980" s="331"/>
      <c r="AG980" s="331"/>
      <c r="AH980" s="331"/>
      <c r="AI980" s="331"/>
      <c r="AJ980" s="331"/>
      <c r="AK980" s="331"/>
      <c r="AL980" s="331"/>
    </row>
    <row r="981" ht="15.75" customHeight="1">
      <c r="A981" s="331"/>
      <c r="B981" s="331"/>
      <c r="C981" s="331"/>
      <c r="D981" s="331"/>
      <c r="E981" s="331"/>
      <c r="F981" s="331"/>
      <c r="G981" s="331"/>
      <c r="H981" s="331"/>
      <c r="I981" s="331"/>
      <c r="J981" s="331"/>
      <c r="K981" s="331"/>
      <c r="L981" s="331"/>
      <c r="M981" s="331"/>
      <c r="N981" s="331"/>
      <c r="O981" s="331"/>
      <c r="P981" s="331"/>
      <c r="Q981" s="331"/>
      <c r="R981" s="331"/>
      <c r="S981" s="331"/>
      <c r="T981" s="331"/>
      <c r="U981" s="331"/>
      <c r="V981" s="331"/>
      <c r="W981" s="331"/>
      <c r="X981" s="331"/>
      <c r="Y981" s="331"/>
      <c r="Z981" s="331"/>
      <c r="AA981" s="331"/>
      <c r="AB981" s="331"/>
      <c r="AC981" s="331"/>
      <c r="AD981" s="331"/>
      <c r="AE981" s="331"/>
      <c r="AF981" s="331"/>
      <c r="AG981" s="331"/>
      <c r="AH981" s="331"/>
      <c r="AI981" s="331"/>
      <c r="AJ981" s="331"/>
      <c r="AK981" s="331"/>
      <c r="AL981" s="331"/>
    </row>
    <row r="982" ht="15.75" customHeight="1">
      <c r="A982" s="331"/>
      <c r="B982" s="331"/>
      <c r="C982" s="331"/>
      <c r="D982" s="331"/>
      <c r="E982" s="331"/>
      <c r="F982" s="331"/>
      <c r="G982" s="331"/>
      <c r="H982" s="331"/>
      <c r="I982" s="331"/>
      <c r="J982" s="331"/>
      <c r="K982" s="331"/>
      <c r="L982" s="331"/>
      <c r="M982" s="331"/>
      <c r="N982" s="331"/>
      <c r="O982" s="331"/>
      <c r="P982" s="331"/>
      <c r="Q982" s="331"/>
      <c r="R982" s="331"/>
      <c r="S982" s="331"/>
      <c r="T982" s="331"/>
      <c r="U982" s="331"/>
      <c r="V982" s="331"/>
      <c r="W982" s="331"/>
      <c r="X982" s="331"/>
      <c r="Y982" s="331"/>
      <c r="Z982" s="331"/>
      <c r="AA982" s="331"/>
      <c r="AB982" s="331"/>
      <c r="AC982" s="331"/>
      <c r="AD982" s="331"/>
      <c r="AE982" s="331"/>
      <c r="AF982" s="331"/>
      <c r="AG982" s="331"/>
      <c r="AH982" s="331"/>
      <c r="AI982" s="331"/>
      <c r="AJ982" s="331"/>
      <c r="AK982" s="331"/>
      <c r="AL982" s="331"/>
    </row>
    <row r="983" ht="15.75" customHeight="1">
      <c r="A983" s="331"/>
      <c r="B983" s="331"/>
      <c r="C983" s="331"/>
      <c r="D983" s="331"/>
      <c r="E983" s="331"/>
      <c r="F983" s="331"/>
      <c r="G983" s="331"/>
      <c r="H983" s="331"/>
      <c r="I983" s="331"/>
      <c r="J983" s="331"/>
      <c r="K983" s="331"/>
      <c r="L983" s="331"/>
      <c r="M983" s="331"/>
      <c r="N983" s="331"/>
      <c r="O983" s="331"/>
      <c r="P983" s="331"/>
      <c r="Q983" s="331"/>
      <c r="R983" s="331"/>
      <c r="S983" s="331"/>
      <c r="T983" s="331"/>
      <c r="U983" s="331"/>
      <c r="V983" s="331"/>
      <c r="W983" s="331"/>
      <c r="X983" s="331"/>
      <c r="Y983" s="331"/>
      <c r="Z983" s="331"/>
      <c r="AA983" s="331"/>
      <c r="AB983" s="331"/>
      <c r="AC983" s="331"/>
      <c r="AD983" s="331"/>
      <c r="AE983" s="331"/>
      <c r="AF983" s="331"/>
      <c r="AG983" s="331"/>
      <c r="AH983" s="331"/>
      <c r="AI983" s="331"/>
      <c r="AJ983" s="331"/>
      <c r="AK983" s="331"/>
      <c r="AL983" s="331"/>
    </row>
    <row r="984" ht="15.75" customHeight="1">
      <c r="A984" s="331"/>
      <c r="B984" s="331"/>
      <c r="C984" s="331"/>
      <c r="D984" s="331"/>
      <c r="E984" s="331"/>
      <c r="F984" s="331"/>
      <c r="G984" s="331"/>
      <c r="H984" s="331"/>
      <c r="I984" s="331"/>
      <c r="J984" s="331"/>
      <c r="K984" s="331"/>
      <c r="L984" s="331"/>
      <c r="M984" s="331"/>
      <c r="N984" s="331"/>
      <c r="O984" s="331"/>
      <c r="P984" s="331"/>
      <c r="Q984" s="331"/>
      <c r="R984" s="331"/>
      <c r="S984" s="331"/>
      <c r="T984" s="331"/>
      <c r="U984" s="331"/>
      <c r="V984" s="331"/>
      <c r="W984" s="331"/>
      <c r="X984" s="331"/>
      <c r="Y984" s="331"/>
      <c r="Z984" s="331"/>
      <c r="AA984" s="331"/>
      <c r="AB984" s="331"/>
      <c r="AC984" s="331"/>
      <c r="AD984" s="331"/>
      <c r="AE984" s="331"/>
      <c r="AF984" s="331"/>
      <c r="AG984" s="331"/>
      <c r="AH984" s="331"/>
      <c r="AI984" s="331"/>
      <c r="AJ984" s="331"/>
      <c r="AK984" s="331"/>
      <c r="AL984" s="331"/>
    </row>
    <row r="985" ht="15.75" customHeight="1">
      <c r="A985" s="331"/>
      <c r="B985" s="331"/>
      <c r="C985" s="331"/>
      <c r="D985" s="331"/>
      <c r="E985" s="331"/>
      <c r="F985" s="331"/>
      <c r="G985" s="331"/>
      <c r="H985" s="331"/>
      <c r="I985" s="331"/>
      <c r="J985" s="331"/>
      <c r="K985" s="331"/>
      <c r="L985" s="331"/>
      <c r="M985" s="331"/>
      <c r="N985" s="331"/>
      <c r="O985" s="331"/>
      <c r="P985" s="331"/>
      <c r="Q985" s="331"/>
      <c r="R985" s="331"/>
      <c r="S985" s="331"/>
      <c r="T985" s="331"/>
      <c r="U985" s="331"/>
      <c r="V985" s="331"/>
      <c r="W985" s="331"/>
      <c r="X985" s="331"/>
      <c r="Y985" s="331"/>
      <c r="Z985" s="331"/>
      <c r="AA985" s="331"/>
      <c r="AB985" s="331"/>
      <c r="AC985" s="331"/>
      <c r="AD985" s="331"/>
      <c r="AE985" s="331"/>
      <c r="AF985" s="331"/>
      <c r="AG985" s="331"/>
      <c r="AH985" s="331"/>
      <c r="AI985" s="331"/>
      <c r="AJ985" s="331"/>
      <c r="AK985" s="331"/>
      <c r="AL985" s="331"/>
    </row>
    <row r="986" ht="15.75" customHeight="1">
      <c r="A986" s="331"/>
      <c r="B986" s="331"/>
      <c r="C986" s="331"/>
      <c r="D986" s="331"/>
      <c r="E986" s="331"/>
      <c r="F986" s="331"/>
      <c r="G986" s="331"/>
      <c r="H986" s="331"/>
      <c r="I986" s="331"/>
      <c r="J986" s="331"/>
      <c r="K986" s="331"/>
      <c r="L986" s="331"/>
      <c r="M986" s="331"/>
      <c r="N986" s="331"/>
      <c r="O986" s="331"/>
      <c r="P986" s="331"/>
      <c r="Q986" s="331"/>
      <c r="R986" s="331"/>
      <c r="S986" s="331"/>
      <c r="T986" s="331"/>
      <c r="U986" s="331"/>
      <c r="V986" s="331"/>
      <c r="W986" s="331"/>
      <c r="X986" s="331"/>
      <c r="Y986" s="331"/>
      <c r="Z986" s="331"/>
      <c r="AA986" s="331"/>
      <c r="AB986" s="331"/>
      <c r="AC986" s="331"/>
      <c r="AD986" s="331"/>
      <c r="AE986" s="331"/>
      <c r="AF986" s="331"/>
      <c r="AG986" s="331"/>
      <c r="AH986" s="331"/>
      <c r="AI986" s="331"/>
      <c r="AJ986" s="331"/>
      <c r="AK986" s="331"/>
      <c r="AL986" s="331"/>
    </row>
    <row r="987" ht="15.75" customHeight="1">
      <c r="A987" s="331"/>
      <c r="B987" s="331"/>
      <c r="C987" s="331"/>
      <c r="D987" s="331"/>
      <c r="E987" s="331"/>
      <c r="F987" s="331"/>
      <c r="G987" s="331"/>
      <c r="H987" s="331"/>
      <c r="I987" s="331"/>
      <c r="J987" s="331"/>
      <c r="K987" s="331"/>
      <c r="L987" s="331"/>
      <c r="M987" s="331"/>
      <c r="N987" s="331"/>
      <c r="O987" s="331"/>
      <c r="P987" s="331"/>
      <c r="Q987" s="331"/>
      <c r="R987" s="331"/>
      <c r="S987" s="331"/>
      <c r="T987" s="331"/>
      <c r="U987" s="331"/>
      <c r="V987" s="331"/>
      <c r="W987" s="331"/>
      <c r="X987" s="331"/>
      <c r="Y987" s="331"/>
      <c r="Z987" s="331"/>
      <c r="AA987" s="331"/>
      <c r="AB987" s="331"/>
      <c r="AC987" s="331"/>
      <c r="AD987" s="331"/>
      <c r="AE987" s="331"/>
      <c r="AF987" s="331"/>
      <c r="AG987" s="331"/>
      <c r="AH987" s="331"/>
      <c r="AI987" s="331"/>
      <c r="AJ987" s="331"/>
      <c r="AK987" s="331"/>
      <c r="AL987" s="331"/>
    </row>
    <row r="988" ht="15.75" customHeight="1">
      <c r="A988" s="331"/>
      <c r="B988" s="331"/>
      <c r="C988" s="331"/>
      <c r="D988" s="331"/>
      <c r="E988" s="331"/>
      <c r="F988" s="331"/>
      <c r="G988" s="331"/>
      <c r="H988" s="331"/>
      <c r="I988" s="331"/>
      <c r="J988" s="331"/>
      <c r="K988" s="331"/>
      <c r="L988" s="331"/>
      <c r="M988" s="331"/>
      <c r="N988" s="331"/>
      <c r="O988" s="331"/>
      <c r="P988" s="331"/>
      <c r="Q988" s="331"/>
      <c r="R988" s="331"/>
      <c r="S988" s="331"/>
      <c r="T988" s="331"/>
      <c r="U988" s="331"/>
      <c r="V988" s="331"/>
      <c r="W988" s="331"/>
      <c r="X988" s="331"/>
      <c r="Y988" s="331"/>
      <c r="Z988" s="331"/>
      <c r="AA988" s="331"/>
      <c r="AB988" s="331"/>
      <c r="AC988" s="331"/>
      <c r="AD988" s="331"/>
      <c r="AE988" s="331"/>
      <c r="AF988" s="331"/>
      <c r="AG988" s="331"/>
      <c r="AH988" s="331"/>
      <c r="AI988" s="331"/>
      <c r="AJ988" s="331"/>
      <c r="AK988" s="331"/>
      <c r="AL988" s="331"/>
    </row>
    <row r="989" ht="15.75" customHeight="1">
      <c r="A989" s="331"/>
      <c r="B989" s="331"/>
      <c r="C989" s="331"/>
      <c r="D989" s="331"/>
      <c r="E989" s="331"/>
      <c r="F989" s="331"/>
      <c r="G989" s="331"/>
      <c r="H989" s="331"/>
      <c r="I989" s="331"/>
      <c r="J989" s="331"/>
      <c r="K989" s="331"/>
      <c r="L989" s="331"/>
      <c r="M989" s="331"/>
      <c r="N989" s="331"/>
      <c r="O989" s="331"/>
      <c r="P989" s="331"/>
      <c r="Q989" s="331"/>
      <c r="R989" s="331"/>
      <c r="S989" s="331"/>
      <c r="T989" s="331"/>
      <c r="U989" s="331"/>
      <c r="V989" s="331"/>
      <c r="W989" s="331"/>
      <c r="X989" s="331"/>
      <c r="Y989" s="331"/>
      <c r="Z989" s="331"/>
      <c r="AA989" s="331"/>
      <c r="AB989" s="331"/>
      <c r="AC989" s="331"/>
      <c r="AD989" s="331"/>
      <c r="AE989" s="331"/>
      <c r="AF989" s="331"/>
      <c r="AG989" s="331"/>
      <c r="AH989" s="331"/>
      <c r="AI989" s="331"/>
      <c r="AJ989" s="331"/>
      <c r="AK989" s="331"/>
      <c r="AL989" s="331"/>
    </row>
    <row r="990" ht="15.75" customHeight="1">
      <c r="A990" s="331"/>
      <c r="B990" s="331"/>
      <c r="C990" s="331"/>
      <c r="D990" s="331"/>
      <c r="E990" s="331"/>
      <c r="F990" s="331"/>
      <c r="G990" s="331"/>
      <c r="H990" s="331"/>
      <c r="I990" s="331"/>
      <c r="J990" s="331"/>
      <c r="K990" s="331"/>
      <c r="L990" s="331"/>
      <c r="M990" s="331"/>
      <c r="N990" s="331"/>
      <c r="O990" s="331"/>
      <c r="P990" s="331"/>
      <c r="Q990" s="331"/>
      <c r="R990" s="331"/>
      <c r="S990" s="331"/>
      <c r="T990" s="331"/>
      <c r="U990" s="331"/>
      <c r="V990" s="331"/>
      <c r="W990" s="331"/>
      <c r="X990" s="331"/>
      <c r="Y990" s="331"/>
      <c r="Z990" s="331"/>
      <c r="AA990" s="331"/>
      <c r="AB990" s="331"/>
      <c r="AC990" s="331"/>
      <c r="AD990" s="331"/>
      <c r="AE990" s="331"/>
      <c r="AF990" s="331"/>
      <c r="AG990" s="331"/>
      <c r="AH990" s="331"/>
      <c r="AI990" s="331"/>
      <c r="AJ990" s="331"/>
      <c r="AK990" s="331"/>
      <c r="AL990" s="331"/>
    </row>
    <row r="991" ht="15.75" customHeight="1">
      <c r="A991" s="331"/>
      <c r="B991" s="331"/>
      <c r="C991" s="331"/>
      <c r="D991" s="331"/>
      <c r="E991" s="331"/>
      <c r="F991" s="331"/>
      <c r="G991" s="331"/>
      <c r="H991" s="331"/>
      <c r="I991" s="331"/>
      <c r="J991" s="331"/>
      <c r="K991" s="331"/>
      <c r="L991" s="331"/>
      <c r="M991" s="331"/>
      <c r="N991" s="331"/>
      <c r="O991" s="331"/>
      <c r="P991" s="331"/>
      <c r="Q991" s="331"/>
      <c r="R991" s="331"/>
      <c r="S991" s="331"/>
      <c r="T991" s="331"/>
      <c r="U991" s="331"/>
      <c r="V991" s="331"/>
      <c r="W991" s="331"/>
      <c r="X991" s="331"/>
      <c r="Y991" s="331"/>
      <c r="Z991" s="331"/>
      <c r="AA991" s="331"/>
      <c r="AB991" s="331"/>
      <c r="AC991" s="331"/>
      <c r="AD991" s="331"/>
      <c r="AE991" s="331"/>
      <c r="AF991" s="331"/>
      <c r="AG991" s="331"/>
      <c r="AH991" s="331"/>
      <c r="AI991" s="331"/>
      <c r="AJ991" s="331"/>
      <c r="AK991" s="331"/>
      <c r="AL991" s="331"/>
    </row>
    <row r="992" ht="15.75" customHeight="1">
      <c r="A992" s="331"/>
      <c r="B992" s="331"/>
      <c r="C992" s="331"/>
      <c r="D992" s="331"/>
      <c r="E992" s="331"/>
      <c r="F992" s="331"/>
      <c r="G992" s="331"/>
      <c r="H992" s="331"/>
      <c r="I992" s="331"/>
      <c r="J992" s="331"/>
      <c r="K992" s="331"/>
      <c r="L992" s="331"/>
      <c r="M992" s="331"/>
      <c r="N992" s="331"/>
      <c r="O992" s="331"/>
      <c r="P992" s="331"/>
      <c r="Q992" s="331"/>
      <c r="R992" s="331"/>
      <c r="S992" s="331"/>
      <c r="T992" s="331"/>
      <c r="U992" s="331"/>
      <c r="V992" s="331"/>
      <c r="W992" s="331"/>
      <c r="X992" s="331"/>
      <c r="Y992" s="331"/>
      <c r="Z992" s="331"/>
      <c r="AA992" s="331"/>
      <c r="AB992" s="331"/>
      <c r="AC992" s="331"/>
      <c r="AD992" s="331"/>
      <c r="AE992" s="331"/>
      <c r="AF992" s="331"/>
      <c r="AG992" s="331"/>
      <c r="AH992" s="331"/>
      <c r="AI992" s="331"/>
      <c r="AJ992" s="331"/>
      <c r="AK992" s="331"/>
      <c r="AL992" s="331"/>
    </row>
    <row r="993" ht="15.75" customHeight="1">
      <c r="A993" s="331"/>
      <c r="B993" s="331"/>
      <c r="C993" s="331"/>
      <c r="D993" s="331"/>
      <c r="E993" s="331"/>
      <c r="F993" s="331"/>
      <c r="G993" s="331"/>
      <c r="H993" s="331"/>
      <c r="I993" s="331"/>
      <c r="J993" s="331"/>
      <c r="K993" s="331"/>
      <c r="L993" s="331"/>
      <c r="M993" s="331"/>
      <c r="N993" s="331"/>
      <c r="O993" s="331"/>
      <c r="P993" s="331"/>
      <c r="Q993" s="331"/>
      <c r="R993" s="331"/>
      <c r="S993" s="331"/>
      <c r="T993" s="331"/>
      <c r="U993" s="331"/>
      <c r="V993" s="331"/>
      <c r="W993" s="331"/>
      <c r="X993" s="331"/>
      <c r="Y993" s="331"/>
      <c r="Z993" s="331"/>
      <c r="AA993" s="331"/>
      <c r="AB993" s="331"/>
      <c r="AC993" s="331"/>
      <c r="AD993" s="331"/>
      <c r="AE993" s="331"/>
      <c r="AF993" s="331"/>
      <c r="AG993" s="331"/>
      <c r="AH993" s="331"/>
      <c r="AI993" s="331"/>
      <c r="AJ993" s="331"/>
      <c r="AK993" s="331"/>
      <c r="AL993" s="331"/>
    </row>
    <row r="994" ht="15.75" customHeight="1">
      <c r="A994" s="331"/>
      <c r="B994" s="331"/>
      <c r="C994" s="331"/>
      <c r="D994" s="331"/>
      <c r="E994" s="331"/>
      <c r="F994" s="331"/>
      <c r="G994" s="331"/>
      <c r="H994" s="331"/>
      <c r="I994" s="331"/>
      <c r="J994" s="331"/>
      <c r="K994" s="331"/>
      <c r="L994" s="331"/>
      <c r="M994" s="331"/>
      <c r="N994" s="331"/>
      <c r="O994" s="331"/>
      <c r="P994" s="331"/>
      <c r="Q994" s="331"/>
      <c r="R994" s="331"/>
      <c r="S994" s="331"/>
      <c r="T994" s="331"/>
      <c r="U994" s="331"/>
      <c r="V994" s="331"/>
      <c r="W994" s="331"/>
      <c r="X994" s="331"/>
      <c r="Y994" s="331"/>
      <c r="Z994" s="331"/>
      <c r="AA994" s="331"/>
      <c r="AB994" s="331"/>
      <c r="AC994" s="331"/>
      <c r="AD994" s="331"/>
      <c r="AE994" s="331"/>
      <c r="AF994" s="331"/>
      <c r="AG994" s="331"/>
      <c r="AH994" s="331"/>
      <c r="AI994" s="331"/>
      <c r="AJ994" s="331"/>
      <c r="AK994" s="331"/>
      <c r="AL994" s="331"/>
    </row>
    <row r="995" ht="15.75" customHeight="1">
      <c r="A995" s="331"/>
      <c r="B995" s="331"/>
      <c r="C995" s="331"/>
      <c r="D995" s="331"/>
      <c r="E995" s="331"/>
      <c r="F995" s="331"/>
      <c r="G995" s="331"/>
      <c r="H995" s="331"/>
      <c r="I995" s="331"/>
      <c r="J995" s="331"/>
      <c r="K995" s="331"/>
      <c r="L995" s="331"/>
      <c r="M995" s="331"/>
      <c r="N995" s="331"/>
      <c r="O995" s="331"/>
      <c r="P995" s="331"/>
      <c r="Q995" s="331"/>
      <c r="R995" s="331"/>
      <c r="S995" s="331"/>
      <c r="T995" s="331"/>
      <c r="U995" s="331"/>
      <c r="V995" s="331"/>
      <c r="W995" s="331"/>
      <c r="X995" s="331"/>
      <c r="Y995" s="331"/>
      <c r="Z995" s="331"/>
      <c r="AA995" s="331"/>
      <c r="AB995" s="331"/>
      <c r="AC995" s="331"/>
      <c r="AD995" s="331"/>
      <c r="AE995" s="331"/>
      <c r="AF995" s="331"/>
      <c r="AG995" s="331"/>
      <c r="AH995" s="331"/>
      <c r="AI995" s="331"/>
      <c r="AJ995" s="331"/>
      <c r="AK995" s="331"/>
      <c r="AL995" s="331"/>
    </row>
    <row r="996" ht="15.75" customHeight="1">
      <c r="A996" s="331"/>
      <c r="B996" s="331"/>
      <c r="C996" s="331"/>
      <c r="D996" s="331"/>
      <c r="E996" s="331"/>
      <c r="F996" s="331"/>
      <c r="G996" s="331"/>
      <c r="H996" s="331"/>
      <c r="I996" s="331"/>
      <c r="J996" s="331"/>
      <c r="K996" s="331"/>
      <c r="L996" s="331"/>
      <c r="M996" s="331"/>
      <c r="N996" s="331"/>
      <c r="O996" s="331"/>
      <c r="P996" s="331"/>
      <c r="Q996" s="331"/>
      <c r="R996" s="331"/>
      <c r="S996" s="331"/>
      <c r="T996" s="331"/>
      <c r="U996" s="331"/>
      <c r="V996" s="331"/>
      <c r="W996" s="331"/>
      <c r="X996" s="331"/>
      <c r="Y996" s="331"/>
      <c r="Z996" s="331"/>
      <c r="AA996" s="331"/>
      <c r="AB996" s="331"/>
      <c r="AC996" s="331"/>
      <c r="AD996" s="331"/>
      <c r="AE996" s="331"/>
      <c r="AF996" s="331"/>
      <c r="AG996" s="331"/>
      <c r="AH996" s="331"/>
      <c r="AI996" s="331"/>
      <c r="AJ996" s="331"/>
      <c r="AK996" s="331"/>
      <c r="AL996" s="331"/>
    </row>
    <row r="997" ht="15.75" customHeight="1">
      <c r="A997" s="331"/>
      <c r="B997" s="331"/>
      <c r="C997" s="331"/>
      <c r="D997" s="331"/>
      <c r="E997" s="331"/>
      <c r="F997" s="331"/>
      <c r="G997" s="331"/>
      <c r="H997" s="331"/>
      <c r="I997" s="331"/>
      <c r="J997" s="331"/>
      <c r="K997" s="331"/>
      <c r="L997" s="331"/>
      <c r="M997" s="331"/>
      <c r="N997" s="331"/>
      <c r="O997" s="331"/>
      <c r="P997" s="331"/>
      <c r="Q997" s="331"/>
      <c r="R997" s="331"/>
      <c r="S997" s="331"/>
      <c r="T997" s="331"/>
      <c r="U997" s="331"/>
      <c r="V997" s="331"/>
      <c r="W997" s="331"/>
      <c r="X997" s="331"/>
      <c r="Y997" s="331"/>
      <c r="Z997" s="331"/>
      <c r="AA997" s="331"/>
      <c r="AB997" s="331"/>
      <c r="AC997" s="331"/>
      <c r="AD997" s="331"/>
      <c r="AE997" s="331"/>
      <c r="AF997" s="331"/>
      <c r="AG997" s="331"/>
      <c r="AH997" s="331"/>
      <c r="AI997" s="331"/>
      <c r="AJ997" s="331"/>
      <c r="AK997" s="331"/>
      <c r="AL997" s="331"/>
    </row>
    <row r="998" ht="15.75" customHeight="1">
      <c r="A998" s="331"/>
      <c r="B998" s="331"/>
      <c r="C998" s="331"/>
      <c r="D998" s="331"/>
      <c r="E998" s="331"/>
      <c r="F998" s="331"/>
      <c r="G998" s="331"/>
      <c r="H998" s="331"/>
      <c r="I998" s="331"/>
      <c r="J998" s="331"/>
      <c r="K998" s="331"/>
      <c r="L998" s="331"/>
      <c r="M998" s="331"/>
      <c r="N998" s="331"/>
      <c r="O998" s="331"/>
      <c r="P998" s="331"/>
      <c r="Q998" s="331"/>
      <c r="R998" s="331"/>
      <c r="S998" s="331"/>
      <c r="T998" s="331"/>
      <c r="U998" s="331"/>
      <c r="V998" s="331"/>
      <c r="W998" s="331"/>
      <c r="X998" s="331"/>
      <c r="Y998" s="331"/>
      <c r="Z998" s="331"/>
      <c r="AA998" s="331"/>
      <c r="AB998" s="331"/>
      <c r="AC998" s="331"/>
      <c r="AD998" s="331"/>
      <c r="AE998" s="331"/>
      <c r="AF998" s="331"/>
      <c r="AG998" s="331"/>
      <c r="AH998" s="331"/>
      <c r="AI998" s="331"/>
      <c r="AJ998" s="331"/>
      <c r="AK998" s="331"/>
      <c r="AL998" s="331"/>
    </row>
    <row r="999" ht="15.75" customHeight="1">
      <c r="A999" s="331"/>
      <c r="B999" s="331"/>
      <c r="C999" s="331"/>
      <c r="D999" s="331"/>
      <c r="E999" s="331"/>
      <c r="F999" s="331"/>
      <c r="G999" s="331"/>
      <c r="H999" s="331"/>
      <c r="I999" s="331"/>
      <c r="J999" s="331"/>
      <c r="K999" s="331"/>
      <c r="L999" s="331"/>
      <c r="M999" s="331"/>
      <c r="N999" s="331"/>
      <c r="O999" s="331"/>
      <c r="P999" s="331"/>
      <c r="Q999" s="331"/>
      <c r="R999" s="331"/>
      <c r="S999" s="331"/>
      <c r="T999" s="331"/>
      <c r="U999" s="331"/>
      <c r="V999" s="331"/>
      <c r="W999" s="331"/>
      <c r="X999" s="331"/>
      <c r="Y999" s="331"/>
      <c r="Z999" s="331"/>
      <c r="AA999" s="331"/>
      <c r="AB999" s="331"/>
      <c r="AC999" s="331"/>
      <c r="AD999" s="331"/>
      <c r="AE999" s="331"/>
      <c r="AF999" s="331"/>
      <c r="AG999" s="331"/>
      <c r="AH999" s="331"/>
      <c r="AI999" s="331"/>
      <c r="AJ999" s="331"/>
      <c r="AK999" s="331"/>
      <c r="AL999" s="331"/>
    </row>
    <row r="1000" ht="15.75" customHeight="1">
      <c r="A1000" s="331"/>
      <c r="B1000" s="331"/>
      <c r="C1000" s="331"/>
      <c r="D1000" s="331"/>
      <c r="E1000" s="331"/>
      <c r="F1000" s="331"/>
      <c r="G1000" s="331"/>
      <c r="H1000" s="331"/>
      <c r="I1000" s="331"/>
      <c r="J1000" s="331"/>
      <c r="K1000" s="331"/>
      <c r="L1000" s="331"/>
      <c r="M1000" s="331"/>
      <c r="N1000" s="331"/>
      <c r="O1000" s="331"/>
      <c r="P1000" s="331"/>
      <c r="Q1000" s="331"/>
      <c r="R1000" s="331"/>
      <c r="S1000" s="331"/>
      <c r="T1000" s="331"/>
      <c r="U1000" s="331"/>
      <c r="V1000" s="331"/>
      <c r="W1000" s="331"/>
      <c r="X1000" s="331"/>
      <c r="Y1000" s="331"/>
      <c r="Z1000" s="331"/>
      <c r="AA1000" s="331"/>
      <c r="AB1000" s="331"/>
      <c r="AC1000" s="331"/>
      <c r="AD1000" s="331"/>
      <c r="AE1000" s="331"/>
      <c r="AF1000" s="331"/>
      <c r="AG1000" s="331"/>
      <c r="AH1000" s="331"/>
      <c r="AI1000" s="331"/>
      <c r="AJ1000" s="331"/>
      <c r="AK1000" s="331"/>
      <c r="AL1000" s="331"/>
    </row>
  </sheetData>
  <mergeCells count="8">
    <mergeCell ref="C4:M6"/>
    <mergeCell ref="N4:X6"/>
    <mergeCell ref="AA4:AB4"/>
    <mergeCell ref="AD4:AE4"/>
    <mergeCell ref="AH4:AI4"/>
    <mergeCell ref="AK4:AL4"/>
    <mergeCell ref="C7:M7"/>
    <mergeCell ref="N7:X7"/>
  </mergeCells>
  <conditionalFormatting sqref="G9:G40 R9:R40 H40:M40">
    <cfRule type="cellIs" dxfId="0" priority="1" operator="greaterThanOrEqual">
      <formula>0</formula>
    </cfRule>
  </conditionalFormatting>
  <conditionalFormatting sqref="G9:G40 R9:R40 H40:M40">
    <cfRule type="cellIs" dxfId="1" priority="2" operator="lessThan">
      <formula>0</formula>
    </cfRule>
  </conditionalFormatting>
  <conditionalFormatting sqref="G9:G40 R9:R40 H40:M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4.11"/>
    <col customWidth="1" min="3" max="3" width="39.11"/>
    <col customWidth="1" min="4" max="4" width="33.78"/>
    <col customWidth="1" min="5" max="5" width="42.11"/>
    <col customWidth="1" min="6" max="26" width="10.56"/>
  </cols>
  <sheetData>
    <row r="1" ht="15.75" customHeight="1"/>
    <row r="2" ht="15.75" customHeight="1"/>
    <row r="3" ht="15.75" customHeight="1"/>
    <row r="4" ht="15.75" customHeight="1">
      <c r="B4" s="317"/>
      <c r="C4" s="271"/>
      <c r="D4" s="317"/>
      <c r="E4" s="318" t="s">
        <v>236</v>
      </c>
    </row>
    <row r="5" ht="15.75" customHeight="1">
      <c r="B5" s="317"/>
      <c r="C5" s="271"/>
      <c r="D5" s="271"/>
      <c r="E5" s="319">
        <f>15%</f>
        <v>0.15</v>
      </c>
    </row>
    <row r="6" ht="15.75" customHeight="1">
      <c r="B6" s="320" t="s">
        <v>242</v>
      </c>
      <c r="C6" s="321" t="s">
        <v>222</v>
      </c>
      <c r="D6" s="335" t="s">
        <v>264</v>
      </c>
      <c r="E6" s="323"/>
    </row>
    <row r="7" ht="15.75" customHeight="1">
      <c r="B7" s="336" t="s">
        <v>244</v>
      </c>
      <c r="C7" s="325" t="s">
        <v>226</v>
      </c>
      <c r="D7" s="326">
        <f>51343.5-112-522.19</f>
        <v>50709.31</v>
      </c>
      <c r="E7" s="327">
        <f t="shared" ref="E7:E13" si="1">D7/350000</f>
        <v>0.1448837429</v>
      </c>
    </row>
    <row r="8" ht="15.75" customHeight="1">
      <c r="B8" s="338" t="s">
        <v>247</v>
      </c>
      <c r="C8" s="325" t="s">
        <v>227</v>
      </c>
      <c r="D8" s="326">
        <f>60121-210-522.19</f>
        <v>59388.81</v>
      </c>
      <c r="E8" s="327">
        <f t="shared" si="1"/>
        <v>0.1696823143</v>
      </c>
    </row>
    <row r="9" ht="15.75" customHeight="1">
      <c r="B9" s="324" t="s">
        <v>246</v>
      </c>
      <c r="C9" s="325" t="s">
        <v>228</v>
      </c>
      <c r="D9" s="326">
        <f>72913-462-518.21</f>
        <v>71932.79</v>
      </c>
      <c r="E9" s="327">
        <f t="shared" si="1"/>
        <v>0.2055222571</v>
      </c>
    </row>
    <row r="10" ht="15.75" customHeight="1">
      <c r="B10" s="325" t="s">
        <v>249</v>
      </c>
      <c r="C10" s="325" t="s">
        <v>229</v>
      </c>
      <c r="D10" s="326">
        <f>56051-522.19</f>
        <v>55528.81</v>
      </c>
      <c r="E10" s="327">
        <f t="shared" si="1"/>
        <v>0.1586537429</v>
      </c>
    </row>
    <row r="11" ht="15.75" customHeight="1">
      <c r="B11" s="336" t="s">
        <v>245</v>
      </c>
      <c r="C11" s="325" t="s">
        <v>230</v>
      </c>
      <c r="D11" s="326">
        <f>60561.5-196-140-522.19</f>
        <v>59703.31</v>
      </c>
      <c r="E11" s="327">
        <f t="shared" si="1"/>
        <v>0.1705808857</v>
      </c>
    </row>
    <row r="12" ht="15.75" customHeight="1">
      <c r="B12" s="336" t="s">
        <v>265</v>
      </c>
      <c r="C12" s="328" t="s">
        <v>231</v>
      </c>
      <c r="D12" s="329"/>
      <c r="E12" s="327">
        <f t="shared" si="1"/>
        <v>0</v>
      </c>
    </row>
    <row r="13" ht="15.75" customHeight="1">
      <c r="B13" s="325"/>
      <c r="C13" s="317"/>
      <c r="D13" s="219">
        <f>SUM(D7:D12)+10+1120</f>
        <v>298393.03</v>
      </c>
      <c r="E13" s="327">
        <f t="shared" si="1"/>
        <v>0.8525515143</v>
      </c>
    </row>
    <row r="14" ht="15.75" customHeight="1">
      <c r="B14" s="325"/>
      <c r="C14" s="317"/>
      <c r="D14" s="317"/>
      <c r="E14" s="317"/>
    </row>
    <row r="15" ht="15.75" customHeight="1">
      <c r="B15" s="330"/>
      <c r="C15" s="317" t="s">
        <v>257</v>
      </c>
      <c r="D15" s="317">
        <f>2600.97</f>
        <v>2600.97</v>
      </c>
      <c r="E15" s="317"/>
    </row>
    <row r="16" ht="15.75" customHeight="1">
      <c r="B16" s="317"/>
      <c r="C16" s="317" t="s">
        <v>258</v>
      </c>
      <c r="D16" s="271">
        <f>10</f>
        <v>10</v>
      </c>
      <c r="E16" s="317"/>
    </row>
    <row r="17" ht="15.75" customHeight="1">
      <c r="B17" s="317"/>
      <c r="C17" s="317" t="s">
        <v>259</v>
      </c>
      <c r="D17" s="317">
        <f>SUM(D15:D16)</f>
        <v>2610.97</v>
      </c>
      <c r="E17" s="317"/>
    </row>
    <row r="18" ht="15.75" customHeight="1">
      <c r="B18" s="317"/>
      <c r="C18" s="317" t="s">
        <v>260</v>
      </c>
      <c r="D18" s="317">
        <f>D17/5</f>
        <v>522.194</v>
      </c>
      <c r="E18" s="317"/>
    </row>
    <row r="19" ht="15.75" customHeight="1"/>
    <row r="20" ht="15.75" customHeight="1">
      <c r="D20" s="219">
        <f>301004-2600.97-10</f>
        <v>298393.03</v>
      </c>
    </row>
    <row r="21" ht="15.75" customHeight="1">
      <c r="C21" s="317" t="s">
        <v>261</v>
      </c>
      <c r="D21" s="271">
        <f>D20+2600.97+10</f>
        <v>301004</v>
      </c>
      <c r="E21" s="317" t="s">
        <v>262</v>
      </c>
    </row>
    <row r="22" ht="15.75" customHeight="1">
      <c r="D22" s="6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D40" s="339">
        <v>50.0</v>
      </c>
      <c r="E40" s="58">
        <f t="shared" ref="E40:E42" si="2">D40*0.25</f>
        <v>12.5</v>
      </c>
    </row>
    <row r="41" ht="15.75" customHeight="1">
      <c r="D41" s="339">
        <v>60.0</v>
      </c>
      <c r="E41" s="58">
        <f t="shared" si="2"/>
        <v>15</v>
      </c>
    </row>
    <row r="42" ht="15.75" customHeight="1">
      <c r="D42" s="339">
        <v>70.0</v>
      </c>
      <c r="E42" s="58">
        <f t="shared" si="2"/>
        <v>17.5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8.33"/>
    <col customWidth="1" min="5" max="6" width="23.0"/>
    <col customWidth="1" min="7" max="7" width="12.67"/>
    <col customWidth="1" min="8" max="8" width="19.89"/>
    <col customWidth="1" min="9" max="9" width="10.56"/>
    <col customWidth="1" min="10" max="10" width="14.11"/>
    <col customWidth="1" min="11" max="11" width="12.78"/>
    <col customWidth="1" min="12" max="12" width="15.44"/>
    <col customWidth="1" min="13" max="13" width="17.0"/>
    <col customWidth="1" min="14" max="14" width="10.56"/>
    <col customWidth="1" min="15" max="15" width="18.33"/>
    <col customWidth="1" min="16" max="17" width="17.44"/>
    <col customWidth="1" min="18" max="18" width="10.56"/>
    <col customWidth="1" min="19" max="19" width="13.67"/>
    <col customWidth="1" min="20" max="20" width="12.67"/>
    <col customWidth="1" min="21" max="21" width="14.11"/>
    <col customWidth="1" min="22" max="22" width="12.78"/>
    <col customWidth="1" min="23" max="23" width="12.44"/>
    <col customWidth="1" min="24" max="24" width="17.0"/>
    <col customWidth="1" min="25" max="26" width="10.56"/>
    <col customWidth="1" min="27" max="27" width="26.89"/>
    <col customWidth="1" min="28" max="28" width="16.89"/>
    <col customWidth="1" min="29" max="29" width="14.0"/>
    <col customWidth="1" min="30" max="30" width="13.0"/>
    <col customWidth="1" min="31" max="31" width="26.89"/>
    <col customWidth="1" min="32" max="32" width="16.89"/>
    <col customWidth="1" min="33" max="33" width="10.56"/>
    <col customWidth="1" min="34" max="34" width="13.0"/>
    <col customWidth="1" min="35" max="35" width="26.33"/>
    <col customWidth="1" min="36" max="36" width="16.89"/>
    <col customWidth="1" min="37" max="37" width="17.11"/>
    <col customWidth="1" min="38" max="38" width="14.78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</row>
    <row r="5" ht="15.75" customHeight="1">
      <c r="A5" s="288"/>
      <c r="B5" s="288"/>
      <c r="C5" s="31"/>
      <c r="M5" s="32"/>
      <c r="N5" s="31"/>
      <c r="X5" s="32"/>
      <c r="AA5" s="261">
        <v>45689.0</v>
      </c>
      <c r="AB5" s="261">
        <v>45717.0</v>
      </c>
      <c r="AD5" s="261">
        <v>45689.0</v>
      </c>
      <c r="AE5" s="261">
        <v>45717.0</v>
      </c>
      <c r="AH5" s="261">
        <v>46054.0</v>
      </c>
      <c r="AI5" s="261">
        <v>46082.0</v>
      </c>
      <c r="AK5" s="261">
        <v>46054.0</v>
      </c>
      <c r="AL5" s="261">
        <v>46082.0</v>
      </c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" t="s">
        <v>45</v>
      </c>
      <c r="AA6" s="55">
        <v>3652.4075000000003</v>
      </c>
      <c r="AB6" s="55">
        <v>4545.63</v>
      </c>
      <c r="AC6" s="66">
        <f t="shared" ref="AC6:AC12" si="1">AB6/AA6-1</f>
        <v>0.2445571859</v>
      </c>
      <c r="AD6" s="229">
        <v>3812.5525000000002</v>
      </c>
      <c r="AE6" s="229">
        <v>5771.93</v>
      </c>
      <c r="AF6" s="66">
        <f t="shared" ref="AF6:AF12" si="2">AE6/AD6-1</f>
        <v>0.5139280049</v>
      </c>
      <c r="AG6" s="2" t="s">
        <v>45</v>
      </c>
      <c r="AH6" s="229">
        <v>4714.78</v>
      </c>
      <c r="AI6" s="274">
        <f t="shared" ref="AI6:AI12" si="3">AH6*AC6+AH6</f>
        <v>5867.813329</v>
      </c>
      <c r="AJ6" s="75"/>
      <c r="AK6" s="229">
        <v>3549.79</v>
      </c>
      <c r="AL6" s="274">
        <f t="shared" ref="AL6:AL12" si="4">AK6*AF6+AK6</f>
        <v>5374.126493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Z7" s="8" t="s">
        <v>46</v>
      </c>
      <c r="AA7" s="55">
        <v>3437.8125</v>
      </c>
      <c r="AB7" s="55">
        <v>5976.19</v>
      </c>
      <c r="AC7" s="66">
        <f t="shared" si="1"/>
        <v>0.7383699664</v>
      </c>
      <c r="AD7" s="229">
        <v>4137.565</v>
      </c>
      <c r="AE7" s="229">
        <v>7407.2</v>
      </c>
      <c r="AF7" s="66">
        <f t="shared" si="2"/>
        <v>0.7902316942</v>
      </c>
      <c r="AG7" s="8" t="s">
        <v>46</v>
      </c>
      <c r="AH7" s="229">
        <v>4782.03</v>
      </c>
      <c r="AI7" s="274">
        <f t="shared" si="3"/>
        <v>8312.93733</v>
      </c>
      <c r="AJ7" s="75"/>
      <c r="AK7" s="229">
        <v>4412.95</v>
      </c>
      <c r="AL7" s="274">
        <f t="shared" si="4"/>
        <v>7900.202955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165</v>
      </c>
      <c r="X8" s="44" t="s">
        <v>166</v>
      </c>
      <c r="Z8" s="2" t="s">
        <v>40</v>
      </c>
      <c r="AA8" s="55">
        <v>6062.825000000001</v>
      </c>
      <c r="AB8" s="55">
        <v>5450.1</v>
      </c>
      <c r="AC8" s="66">
        <f t="shared" si="1"/>
        <v>-0.1010626234</v>
      </c>
      <c r="AD8" s="229">
        <v>4168.594999999999</v>
      </c>
      <c r="AE8" s="229">
        <v>6082.42</v>
      </c>
      <c r="AF8" s="66">
        <f t="shared" si="2"/>
        <v>0.459105526</v>
      </c>
      <c r="AG8" s="2" t="s">
        <v>40</v>
      </c>
      <c r="AH8" s="229">
        <v>5010.82</v>
      </c>
      <c r="AI8" s="274">
        <f t="shared" si="3"/>
        <v>4504.413385</v>
      </c>
      <c r="AJ8" s="75"/>
      <c r="AK8" s="229">
        <v>5423.01</v>
      </c>
      <c r="AL8" s="274">
        <f t="shared" si="4"/>
        <v>7912.743858</v>
      </c>
    </row>
    <row r="9" ht="15.75" customHeight="1">
      <c r="A9" s="8"/>
      <c r="B9" s="8"/>
      <c r="C9" s="207">
        <v>46113.0</v>
      </c>
      <c r="D9" s="208" t="str">
        <f t="shared" ref="D9:D38" si="5">TEXT(C9,"ddd")</f>
        <v>qua.</v>
      </c>
      <c r="E9" s="341">
        <v>7000.0</v>
      </c>
      <c r="F9" s="209">
        <f>818.19+5886.3</f>
        <v>6704.49</v>
      </c>
      <c r="G9" s="51">
        <f t="shared" ref="G9:G38" si="6">F9-E9</f>
        <v>-295.51</v>
      </c>
      <c r="H9" s="210">
        <v>24.0</v>
      </c>
      <c r="I9" s="265">
        <f t="shared" ref="I9:I38" si="7">F9/H9</f>
        <v>279.35375</v>
      </c>
      <c r="J9" s="214">
        <v>10.0</v>
      </c>
      <c r="K9" s="57">
        <f>0.5+11.5</f>
        <v>12</v>
      </c>
      <c r="L9" s="214">
        <v>16.0</v>
      </c>
      <c r="M9" s="57">
        <f t="shared" ref="M9:M39" si="8">J9+K9+L9</f>
        <v>38</v>
      </c>
      <c r="N9" s="350">
        <v>46113.0</v>
      </c>
      <c r="O9" s="204" t="str">
        <f t="shared" ref="O9:O38" si="9">TEXT(N9,"ddd")</f>
        <v>qua.</v>
      </c>
      <c r="P9" s="351">
        <v>6100.0</v>
      </c>
      <c r="Q9" s="213">
        <f>3497.46+3273.37-500.23</f>
        <v>6270.6</v>
      </c>
      <c r="R9" s="51">
        <f t="shared" ref="R9:R38" si="10">Q9-P9</f>
        <v>170.6</v>
      </c>
      <c r="S9" s="217">
        <v>42.0</v>
      </c>
      <c r="T9" s="291">
        <f t="shared" ref="T9:T38" si="11">Q9/S9</f>
        <v>149.3</v>
      </c>
      <c r="U9" s="214">
        <v>9.0</v>
      </c>
      <c r="V9" s="57">
        <f>3.5+18.5</f>
        <v>22</v>
      </c>
      <c r="W9" s="214">
        <v>13.0</v>
      </c>
      <c r="X9" s="57">
        <f t="shared" ref="X9:X39" si="12">U9+V9+W9</f>
        <v>44</v>
      </c>
      <c r="Z9" s="2" t="s">
        <v>47</v>
      </c>
      <c r="AA9" s="55">
        <v>6195.1050000000005</v>
      </c>
      <c r="AB9" s="55">
        <v>5434.13</v>
      </c>
      <c r="AC9" s="66">
        <f t="shared" si="1"/>
        <v>-0.1228348833</v>
      </c>
      <c r="AD9" s="229">
        <v>5183.4375</v>
      </c>
      <c r="AE9" s="229">
        <v>5086.32</v>
      </c>
      <c r="AF9" s="66">
        <f t="shared" si="2"/>
        <v>-0.01873611865</v>
      </c>
      <c r="AG9" s="2" t="s">
        <v>47</v>
      </c>
      <c r="AH9" s="229">
        <v>4491.8</v>
      </c>
      <c r="AI9" s="274">
        <f t="shared" si="3"/>
        <v>3940.050271</v>
      </c>
      <c r="AJ9" s="75"/>
      <c r="AK9" s="229">
        <v>4676.16</v>
      </c>
      <c r="AL9" s="274">
        <f t="shared" si="4"/>
        <v>4588.546911</v>
      </c>
    </row>
    <row r="10" ht="15.75" customHeight="1">
      <c r="A10" s="8"/>
      <c r="B10" s="8"/>
      <c r="C10" s="207">
        <v>46114.0</v>
      </c>
      <c r="D10" s="208" t="str">
        <f t="shared" si="5"/>
        <v>qui.</v>
      </c>
      <c r="E10" s="341">
        <v>7000.0</v>
      </c>
      <c r="F10" s="341">
        <v>15393.4</v>
      </c>
      <c r="G10" s="51">
        <f t="shared" si="6"/>
        <v>8393.4</v>
      </c>
      <c r="H10" s="210">
        <v>54.0</v>
      </c>
      <c r="I10" s="265">
        <f t="shared" si="7"/>
        <v>285.062963</v>
      </c>
      <c r="J10" s="214">
        <v>14.0</v>
      </c>
      <c r="K10" s="57">
        <f>4+33</f>
        <v>37</v>
      </c>
      <c r="L10" s="214">
        <v>32.0</v>
      </c>
      <c r="M10" s="57">
        <f t="shared" si="8"/>
        <v>83</v>
      </c>
      <c r="N10" s="350">
        <v>46114.0</v>
      </c>
      <c r="O10" s="204" t="str">
        <f t="shared" si="9"/>
        <v>qui.</v>
      </c>
      <c r="P10" s="351">
        <v>8000.0</v>
      </c>
      <c r="Q10" s="213">
        <f>3695.36+5245.81-653.25</f>
        <v>8287.92</v>
      </c>
      <c r="R10" s="51">
        <f t="shared" si="10"/>
        <v>287.92</v>
      </c>
      <c r="S10" s="217">
        <v>53.0</v>
      </c>
      <c r="T10" s="291">
        <f t="shared" si="11"/>
        <v>156.3758491</v>
      </c>
      <c r="U10" s="214">
        <v>12.0</v>
      </c>
      <c r="V10" s="57">
        <f>1+32</f>
        <v>33</v>
      </c>
      <c r="W10" s="214">
        <v>19.0</v>
      </c>
      <c r="X10" s="57">
        <f t="shared" si="12"/>
        <v>64</v>
      </c>
      <c r="Z10" s="2" t="s">
        <v>48</v>
      </c>
      <c r="AA10" s="55">
        <v>10387.4</v>
      </c>
      <c r="AB10" s="55">
        <v>10944.55</v>
      </c>
      <c r="AC10" s="66">
        <f t="shared" si="1"/>
        <v>0.05363709879</v>
      </c>
      <c r="AD10" s="229">
        <v>10702.8325</v>
      </c>
      <c r="AE10" s="229">
        <v>11651.22</v>
      </c>
      <c r="AF10" s="66">
        <f t="shared" si="2"/>
        <v>0.08861088875</v>
      </c>
      <c r="AG10" s="2" t="s">
        <v>48</v>
      </c>
      <c r="AH10" s="229">
        <v>12402.16</v>
      </c>
      <c r="AI10" s="274">
        <f t="shared" si="3"/>
        <v>13067.37588</v>
      </c>
      <c r="AJ10" s="75"/>
      <c r="AK10" s="229">
        <v>8692.46</v>
      </c>
      <c r="AL10" s="274">
        <f t="shared" si="4"/>
        <v>9462.706606</v>
      </c>
    </row>
    <row r="11" ht="15.75" customHeight="1">
      <c r="A11" s="8"/>
      <c r="B11" s="8"/>
      <c r="C11" s="207">
        <v>46115.0</v>
      </c>
      <c r="D11" s="208" t="str">
        <f t="shared" si="5"/>
        <v>sex.</v>
      </c>
      <c r="E11" s="341">
        <v>14000.0</v>
      </c>
      <c r="F11" s="341">
        <v>14425.6</v>
      </c>
      <c r="G11" s="51">
        <f t="shared" si="6"/>
        <v>425.6</v>
      </c>
      <c r="H11" s="210">
        <v>68.0</v>
      </c>
      <c r="I11" s="265">
        <f t="shared" si="7"/>
        <v>212.1411765</v>
      </c>
      <c r="J11" s="214">
        <v>10.0</v>
      </c>
      <c r="K11" s="57">
        <f>4+51</f>
        <v>55</v>
      </c>
      <c r="L11" s="214">
        <v>19.0</v>
      </c>
      <c r="M11" s="57">
        <f t="shared" si="8"/>
        <v>84</v>
      </c>
      <c r="N11" s="350">
        <v>46115.0</v>
      </c>
      <c r="O11" s="204" t="str">
        <f t="shared" si="9"/>
        <v>sex.</v>
      </c>
      <c r="P11" s="351">
        <v>12000.0</v>
      </c>
      <c r="Q11" s="213">
        <f>6791.09+6586.87-1064.71</f>
        <v>12313.25</v>
      </c>
      <c r="R11" s="51">
        <f t="shared" si="10"/>
        <v>313.25</v>
      </c>
      <c r="S11" s="217">
        <v>79.0</v>
      </c>
      <c r="T11" s="291">
        <f t="shared" si="11"/>
        <v>155.8639241</v>
      </c>
      <c r="U11" s="214">
        <v>24.0</v>
      </c>
      <c r="V11" s="57">
        <f>4+55</f>
        <v>59</v>
      </c>
      <c r="W11" s="214">
        <v>17.0</v>
      </c>
      <c r="X11" s="57">
        <f t="shared" si="12"/>
        <v>100</v>
      </c>
      <c r="Z11" s="2" t="s">
        <v>171</v>
      </c>
      <c r="AA11" s="55">
        <v>16307.732500000002</v>
      </c>
      <c r="AB11" s="55">
        <v>18139.43</v>
      </c>
      <c r="AC11" s="66">
        <f t="shared" si="1"/>
        <v>0.1123207963</v>
      </c>
      <c r="AD11" s="229">
        <v>13893.575</v>
      </c>
      <c r="AE11" s="229">
        <v>13900.58</v>
      </c>
      <c r="AF11" s="66">
        <f t="shared" si="2"/>
        <v>0.0005041898863</v>
      </c>
      <c r="AG11" s="2" t="s">
        <v>171</v>
      </c>
      <c r="AH11" s="229">
        <v>21497.4</v>
      </c>
      <c r="AI11" s="274">
        <f t="shared" si="3"/>
        <v>23912.00509</v>
      </c>
      <c r="AJ11" s="75"/>
      <c r="AK11" s="229">
        <v>12983.64</v>
      </c>
      <c r="AL11" s="274">
        <f t="shared" si="4"/>
        <v>12990.18622</v>
      </c>
    </row>
    <row r="12" ht="15.75" customHeight="1">
      <c r="A12" s="8"/>
      <c r="B12" s="8"/>
      <c r="C12" s="207">
        <v>46116.0</v>
      </c>
      <c r="D12" s="208" t="str">
        <f t="shared" si="5"/>
        <v>sáb.</v>
      </c>
      <c r="E12" s="341">
        <v>20000.0</v>
      </c>
      <c r="F12" s="341">
        <f>16189.7-280</f>
        <v>15909.7</v>
      </c>
      <c r="G12" s="51">
        <f t="shared" si="6"/>
        <v>-4090.3</v>
      </c>
      <c r="H12" s="210">
        <v>69.0</v>
      </c>
      <c r="I12" s="265">
        <f t="shared" si="7"/>
        <v>230.5753623</v>
      </c>
      <c r="J12" s="214">
        <v>12.0</v>
      </c>
      <c r="K12" s="57">
        <f>5.5+30.5</f>
        <v>36</v>
      </c>
      <c r="L12" s="214">
        <v>39.0</v>
      </c>
      <c r="M12" s="57">
        <f t="shared" si="8"/>
        <v>87</v>
      </c>
      <c r="N12" s="350">
        <v>46116.0</v>
      </c>
      <c r="O12" s="204" t="str">
        <f t="shared" si="9"/>
        <v>sáb.</v>
      </c>
      <c r="P12" s="351">
        <v>13000.0</v>
      </c>
      <c r="Q12" s="213">
        <f>9357.9+4411.3-1081.32</f>
        <v>12687.88</v>
      </c>
      <c r="R12" s="51">
        <f t="shared" si="10"/>
        <v>-312.12</v>
      </c>
      <c r="S12" s="217">
        <v>84.0</v>
      </c>
      <c r="T12" s="291">
        <f t="shared" si="11"/>
        <v>151.0461905</v>
      </c>
      <c r="U12" s="214">
        <v>16.0</v>
      </c>
      <c r="V12" s="57">
        <f>5.5+43.5</f>
        <v>49</v>
      </c>
      <c r="W12" s="214">
        <v>29.0</v>
      </c>
      <c r="X12" s="57">
        <f t="shared" si="12"/>
        <v>94</v>
      </c>
      <c r="Z12" s="2" t="s">
        <v>44</v>
      </c>
      <c r="AA12" s="55">
        <v>14307.8</v>
      </c>
      <c r="AB12" s="55">
        <v>18056.14</v>
      </c>
      <c r="AC12" s="66">
        <f t="shared" si="1"/>
        <v>0.2619787808</v>
      </c>
      <c r="AD12" s="229">
        <v>20893.4225</v>
      </c>
      <c r="AE12" s="229">
        <v>19750.29</v>
      </c>
      <c r="AF12" s="66">
        <f t="shared" si="2"/>
        <v>-0.05471255368</v>
      </c>
      <c r="AG12" s="2" t="s">
        <v>44</v>
      </c>
      <c r="AH12" s="229">
        <v>19314.34</v>
      </c>
      <c r="AI12" s="274">
        <f t="shared" si="3"/>
        <v>24374.28725</v>
      </c>
      <c r="AJ12" s="75"/>
      <c r="AK12" s="229">
        <v>16807.18</v>
      </c>
      <c r="AL12" s="274">
        <f t="shared" si="4"/>
        <v>15887.61626</v>
      </c>
    </row>
    <row r="13" ht="15.75" customHeight="1">
      <c r="A13" s="8"/>
      <c r="B13" s="8"/>
      <c r="C13" s="207">
        <v>46117.0</v>
      </c>
      <c r="D13" s="208" t="str">
        <f t="shared" si="5"/>
        <v>dom.</v>
      </c>
      <c r="E13" s="341">
        <v>20000.0</v>
      </c>
      <c r="F13" s="341">
        <v>19523.65</v>
      </c>
      <c r="G13" s="51">
        <f t="shared" si="6"/>
        <v>-476.35</v>
      </c>
      <c r="H13" s="210">
        <v>84.0</v>
      </c>
      <c r="I13" s="265">
        <f t="shared" si="7"/>
        <v>232.4244048</v>
      </c>
      <c r="J13" s="214">
        <v>16.0</v>
      </c>
      <c r="K13" s="57">
        <f>6.5+45.5</f>
        <v>52</v>
      </c>
      <c r="L13" s="214">
        <v>44.0</v>
      </c>
      <c r="M13" s="57">
        <f t="shared" si="8"/>
        <v>112</v>
      </c>
      <c r="N13" s="350">
        <v>46117.0</v>
      </c>
      <c r="O13" s="204" t="str">
        <f t="shared" si="9"/>
        <v>dom.</v>
      </c>
      <c r="P13" s="351">
        <v>21000.0</v>
      </c>
      <c r="Q13" s="213">
        <f>10932.18+569.48+6342.72-1240.24</f>
        <v>16604.14</v>
      </c>
      <c r="R13" s="51">
        <f t="shared" si="10"/>
        <v>-4395.86</v>
      </c>
      <c r="S13" s="217">
        <v>95.0</v>
      </c>
      <c r="T13" s="291">
        <f t="shared" si="11"/>
        <v>174.7804211</v>
      </c>
      <c r="U13" s="214">
        <v>25.0</v>
      </c>
      <c r="V13" s="57">
        <f>13.5+58.5</f>
        <v>72</v>
      </c>
      <c r="W13" s="214">
        <v>30.0</v>
      </c>
      <c r="X13" s="57">
        <f t="shared" si="12"/>
        <v>127</v>
      </c>
      <c r="AA13" s="167">
        <f t="shared" ref="AA13:AB13" si="13">SUM(AA6:AA12)</f>
        <v>60351.0825</v>
      </c>
      <c r="AB13" s="167">
        <f t="shared" si="13"/>
        <v>68546.17</v>
      </c>
      <c r="AC13" s="61"/>
      <c r="AD13" s="167">
        <f t="shared" ref="AD13:AE13" si="14">SUM(AD6:AD12)</f>
        <v>62791.98</v>
      </c>
      <c r="AE13" s="167">
        <f t="shared" si="14"/>
        <v>69649.96</v>
      </c>
      <c r="AF13" s="61"/>
      <c r="AH13" s="167">
        <f t="shared" ref="AH13:AI13" si="15">SUM(AH6:AH12)</f>
        <v>72213.33</v>
      </c>
      <c r="AI13" s="167">
        <f t="shared" si="15"/>
        <v>83978.88253</v>
      </c>
      <c r="AJ13" s="61"/>
      <c r="AK13" s="167">
        <f t="shared" ref="AK13:AL13" si="16">SUM(AK6:AK12)</f>
        <v>56545.19</v>
      </c>
      <c r="AL13" s="167">
        <f t="shared" si="16"/>
        <v>64116.12931</v>
      </c>
    </row>
    <row r="14" ht="15.75" customHeight="1">
      <c r="A14" s="8"/>
      <c r="B14" s="8"/>
      <c r="C14" s="207">
        <v>46118.0</v>
      </c>
      <c r="D14" s="208" t="str">
        <f t="shared" si="5"/>
        <v>seg.</v>
      </c>
      <c r="E14" s="341">
        <v>4000.0</v>
      </c>
      <c r="F14" s="341">
        <v>3105.5</v>
      </c>
      <c r="G14" s="51">
        <f t="shared" si="6"/>
        <v>-894.5</v>
      </c>
      <c r="H14" s="210">
        <v>13.0</v>
      </c>
      <c r="I14" s="265">
        <f t="shared" si="7"/>
        <v>238.8846154</v>
      </c>
      <c r="J14" s="214">
        <v>6.0</v>
      </c>
      <c r="K14" s="57">
        <f>9</f>
        <v>9</v>
      </c>
      <c r="L14" s="214">
        <v>5.0</v>
      </c>
      <c r="M14" s="57">
        <f t="shared" si="8"/>
        <v>20</v>
      </c>
      <c r="N14" s="350">
        <v>46118.0</v>
      </c>
      <c r="O14" s="204" t="str">
        <f t="shared" si="9"/>
        <v>seg.</v>
      </c>
      <c r="P14" s="351">
        <v>3100.0</v>
      </c>
      <c r="Q14" s="213">
        <f>2027.76+876.89-284.57</f>
        <v>2620.08</v>
      </c>
      <c r="R14" s="51">
        <f t="shared" si="10"/>
        <v>-479.92</v>
      </c>
      <c r="S14" s="217">
        <v>21.0</v>
      </c>
      <c r="T14" s="291">
        <f t="shared" si="11"/>
        <v>124.7657143</v>
      </c>
      <c r="U14" s="214">
        <v>9.0</v>
      </c>
      <c r="V14" s="57">
        <f t="shared" ref="V14:V15" si="17">3+10</f>
        <v>13</v>
      </c>
      <c r="W14" s="214">
        <v>1.0</v>
      </c>
      <c r="X14" s="57">
        <f t="shared" si="12"/>
        <v>23</v>
      </c>
      <c r="AB14" s="66">
        <f>AB13/AA13-1</f>
        <v>0.1357902321</v>
      </c>
      <c r="AE14" s="66">
        <f>AE13/AD13-1</f>
        <v>0.109217451</v>
      </c>
      <c r="AI14" s="66">
        <f>AI13/AH13-1</f>
        <v>0.1629277105</v>
      </c>
      <c r="AL14" s="66">
        <f>AL13/AK13-1</f>
        <v>0.133891836</v>
      </c>
    </row>
    <row r="15" ht="15.75" customHeight="1">
      <c r="A15" s="8"/>
      <c r="B15" s="8"/>
      <c r="C15" s="207">
        <v>46119.0</v>
      </c>
      <c r="D15" s="208" t="str">
        <f t="shared" si="5"/>
        <v>ter.</v>
      </c>
      <c r="E15" s="341">
        <v>4000.0</v>
      </c>
      <c r="F15" s="341">
        <v>2960.4</v>
      </c>
      <c r="G15" s="51">
        <f t="shared" si="6"/>
        <v>-1039.6</v>
      </c>
      <c r="H15" s="210">
        <v>15.0</v>
      </c>
      <c r="I15" s="265">
        <f t="shared" si="7"/>
        <v>197.36</v>
      </c>
      <c r="J15" s="214">
        <v>1.0</v>
      </c>
      <c r="K15" s="57">
        <f>1+7</f>
        <v>8</v>
      </c>
      <c r="L15" s="214">
        <v>7.0</v>
      </c>
      <c r="M15" s="57">
        <f t="shared" si="8"/>
        <v>16</v>
      </c>
      <c r="N15" s="350">
        <v>46119.0</v>
      </c>
      <c r="O15" s="204" t="str">
        <f t="shared" si="9"/>
        <v>ter.</v>
      </c>
      <c r="P15" s="351">
        <v>3500.0</v>
      </c>
      <c r="Q15" s="213">
        <f>3011.5+834.5-335.52</f>
        <v>3510.48</v>
      </c>
      <c r="R15" s="51">
        <f t="shared" si="10"/>
        <v>10.48</v>
      </c>
      <c r="S15" s="217">
        <v>23.0</v>
      </c>
      <c r="T15" s="291">
        <f t="shared" si="11"/>
        <v>152.6295652</v>
      </c>
      <c r="U15" s="214">
        <v>10.0</v>
      </c>
      <c r="V15" s="57">
        <f t="shared" si="17"/>
        <v>13</v>
      </c>
      <c r="W15" s="214">
        <v>5.0</v>
      </c>
      <c r="X15" s="57">
        <f t="shared" si="12"/>
        <v>28</v>
      </c>
    </row>
    <row r="16" ht="15.75" customHeight="1">
      <c r="A16" s="8"/>
      <c r="B16" s="8"/>
      <c r="C16" s="207">
        <v>46120.0</v>
      </c>
      <c r="D16" s="208" t="str">
        <f t="shared" si="5"/>
        <v>qua.</v>
      </c>
      <c r="E16" s="341">
        <v>7000.0</v>
      </c>
      <c r="F16" s="341">
        <v>8683.02</v>
      </c>
      <c r="G16" s="51">
        <f t="shared" si="6"/>
        <v>1683.02</v>
      </c>
      <c r="H16" s="210">
        <v>38.0</v>
      </c>
      <c r="I16" s="265">
        <f t="shared" si="7"/>
        <v>228.5005263</v>
      </c>
      <c r="J16" s="214">
        <v>16.0</v>
      </c>
      <c r="K16" s="57">
        <f>3.5+17.5</f>
        <v>21</v>
      </c>
      <c r="L16" s="214">
        <v>16.0</v>
      </c>
      <c r="M16" s="57">
        <f t="shared" si="8"/>
        <v>53</v>
      </c>
      <c r="N16" s="350">
        <v>46120.0</v>
      </c>
      <c r="O16" s="204" t="str">
        <f t="shared" si="9"/>
        <v>qua.</v>
      </c>
      <c r="P16" s="351">
        <v>3500.0</v>
      </c>
      <c r="Q16" s="213">
        <f>1858.66+2014.47-283.63</f>
        <v>3589.5</v>
      </c>
      <c r="R16" s="51">
        <f t="shared" si="10"/>
        <v>89.5</v>
      </c>
      <c r="S16" s="217">
        <v>24.0</v>
      </c>
      <c r="T16" s="291">
        <f t="shared" si="11"/>
        <v>149.5625</v>
      </c>
      <c r="U16" s="214">
        <v>5.0</v>
      </c>
      <c r="V16" s="57">
        <f>6.5+13.5</f>
        <v>20</v>
      </c>
      <c r="W16" s="214">
        <v>4.0</v>
      </c>
      <c r="X16" s="57">
        <f t="shared" si="12"/>
        <v>29</v>
      </c>
    </row>
    <row r="17" ht="15.75" customHeight="1">
      <c r="A17" s="8"/>
      <c r="B17" s="8"/>
      <c r="C17" s="207">
        <v>46121.0</v>
      </c>
      <c r="D17" s="208" t="str">
        <f t="shared" si="5"/>
        <v>qui.</v>
      </c>
      <c r="E17" s="341">
        <v>7000.0</v>
      </c>
      <c r="F17" s="341">
        <f>4547.5</f>
        <v>4547.5</v>
      </c>
      <c r="G17" s="51">
        <f t="shared" si="6"/>
        <v>-2452.5</v>
      </c>
      <c r="H17" s="210">
        <v>24.0</v>
      </c>
      <c r="I17" s="265">
        <f t="shared" si="7"/>
        <v>189.4791667</v>
      </c>
      <c r="J17" s="214">
        <v>6.0</v>
      </c>
      <c r="K17" s="57">
        <f>4+10</f>
        <v>14</v>
      </c>
      <c r="L17" s="214">
        <v>6.0</v>
      </c>
      <c r="M17" s="57">
        <f t="shared" si="8"/>
        <v>26</v>
      </c>
      <c r="N17" s="350">
        <v>46121.0</v>
      </c>
      <c r="O17" s="204" t="str">
        <f t="shared" si="9"/>
        <v>qui.</v>
      </c>
      <c r="P17" s="351">
        <v>4000.0</v>
      </c>
      <c r="Q17" s="213">
        <f>2008.39+1418.8-351.44</f>
        <v>3075.75</v>
      </c>
      <c r="R17" s="51">
        <f t="shared" si="10"/>
        <v>-924.25</v>
      </c>
      <c r="S17" s="217">
        <v>26.0</v>
      </c>
      <c r="T17" s="291">
        <f t="shared" si="11"/>
        <v>118.2980769</v>
      </c>
      <c r="U17" s="214">
        <v>3.0</v>
      </c>
      <c r="V17" s="57">
        <f>2.5+14.5</f>
        <v>17</v>
      </c>
      <c r="W17" s="214">
        <v>6.0</v>
      </c>
      <c r="X17" s="57">
        <f t="shared" si="12"/>
        <v>26</v>
      </c>
    </row>
    <row r="18" ht="15.75" customHeight="1">
      <c r="A18" s="8"/>
      <c r="B18" s="8"/>
      <c r="C18" s="207">
        <v>46122.0</v>
      </c>
      <c r="D18" s="208" t="str">
        <f t="shared" si="5"/>
        <v>sex.</v>
      </c>
      <c r="E18" s="341">
        <v>14000.0</v>
      </c>
      <c r="F18" s="341">
        <f>14060-217</f>
        <v>13843</v>
      </c>
      <c r="G18" s="51">
        <f t="shared" si="6"/>
        <v>-157</v>
      </c>
      <c r="H18" s="210">
        <v>48.0</v>
      </c>
      <c r="I18" s="265">
        <f t="shared" si="7"/>
        <v>288.3958333</v>
      </c>
      <c r="J18" s="214">
        <v>15.0</v>
      </c>
      <c r="K18" s="57">
        <f>4+31</f>
        <v>35</v>
      </c>
      <c r="L18" s="214">
        <v>27.0</v>
      </c>
      <c r="M18" s="57">
        <f t="shared" si="8"/>
        <v>77</v>
      </c>
      <c r="N18" s="350">
        <v>46122.0</v>
      </c>
      <c r="O18" s="204" t="str">
        <f t="shared" si="9"/>
        <v>sex.</v>
      </c>
      <c r="P18" s="351">
        <v>10500.0</v>
      </c>
      <c r="Q18" s="213">
        <f>6689.74+4551.99-796.75</f>
        <v>10444.98</v>
      </c>
      <c r="R18" s="51">
        <f t="shared" si="10"/>
        <v>-55.02</v>
      </c>
      <c r="S18" s="217">
        <v>68.0</v>
      </c>
      <c r="T18" s="291">
        <f t="shared" si="11"/>
        <v>153.6026471</v>
      </c>
      <c r="U18" s="214">
        <v>18.0</v>
      </c>
      <c r="V18" s="57">
        <f>7.5+38.5</f>
        <v>46</v>
      </c>
      <c r="W18" s="214">
        <v>19.0</v>
      </c>
      <c r="X18" s="57">
        <f t="shared" si="12"/>
        <v>83</v>
      </c>
    </row>
    <row r="19" ht="15.75" customHeight="1">
      <c r="A19" s="8"/>
      <c r="B19" s="8"/>
      <c r="C19" s="207">
        <v>46123.0</v>
      </c>
      <c r="D19" s="208" t="str">
        <f t="shared" si="5"/>
        <v>sáb.</v>
      </c>
      <c r="E19" s="341">
        <v>20000.0</v>
      </c>
      <c r="F19" s="209">
        <f>917.5+19282.73</f>
        <v>20200.23</v>
      </c>
      <c r="G19" s="51">
        <f t="shared" si="6"/>
        <v>200.23</v>
      </c>
      <c r="H19" s="210">
        <v>72.0</v>
      </c>
      <c r="I19" s="265">
        <f t="shared" si="7"/>
        <v>280.55875</v>
      </c>
      <c r="J19" s="214">
        <v>15.0</v>
      </c>
      <c r="K19" s="57">
        <f>8.5+43.5</f>
        <v>52</v>
      </c>
      <c r="L19" s="214">
        <v>44.0</v>
      </c>
      <c r="M19" s="57">
        <f t="shared" si="8"/>
        <v>111</v>
      </c>
      <c r="N19" s="350">
        <v>46123.0</v>
      </c>
      <c r="O19" s="204" t="str">
        <f t="shared" si="9"/>
        <v>sáb.</v>
      </c>
      <c r="P19" s="351">
        <v>13000.0</v>
      </c>
      <c r="Q19" s="213">
        <f>8351.55+3717.87-880.58</f>
        <v>11188.84</v>
      </c>
      <c r="R19" s="51">
        <f t="shared" si="10"/>
        <v>-1811.16</v>
      </c>
      <c r="S19" s="217">
        <v>71.0</v>
      </c>
      <c r="T19" s="291">
        <f t="shared" si="11"/>
        <v>157.5892958</v>
      </c>
      <c r="U19" s="214">
        <v>21.0</v>
      </c>
      <c r="V19" s="57">
        <f>10+35</f>
        <v>45</v>
      </c>
      <c r="W19" s="214">
        <v>21.0</v>
      </c>
      <c r="X19" s="57">
        <f t="shared" si="12"/>
        <v>87</v>
      </c>
      <c r="AB19" s="70"/>
      <c r="AC19" s="71" t="s">
        <v>52</v>
      </c>
      <c r="AD19" s="72"/>
      <c r="AE19" s="73" t="s">
        <v>53</v>
      </c>
      <c r="AI19" s="317"/>
      <c r="AJ19" s="271"/>
      <c r="AK19" s="317"/>
      <c r="AL19" s="317"/>
    </row>
    <row r="20" ht="15.75" customHeight="1">
      <c r="A20" s="8"/>
      <c r="B20" s="8"/>
      <c r="C20" s="207">
        <v>46124.0</v>
      </c>
      <c r="D20" s="208" t="str">
        <f t="shared" si="5"/>
        <v>dom.</v>
      </c>
      <c r="E20" s="341">
        <v>20000.0</v>
      </c>
      <c r="F20" s="209">
        <f>20184.2</f>
        <v>20184.2</v>
      </c>
      <c r="G20" s="51">
        <f t="shared" si="6"/>
        <v>184.2</v>
      </c>
      <c r="H20" s="210">
        <v>90.0</v>
      </c>
      <c r="I20" s="265">
        <f t="shared" si="7"/>
        <v>224.2688889</v>
      </c>
      <c r="J20" s="214">
        <v>22.0</v>
      </c>
      <c r="K20" s="57">
        <f>9+58</f>
        <v>67</v>
      </c>
      <c r="L20" s="214">
        <v>36.0</v>
      </c>
      <c r="M20" s="57">
        <f t="shared" si="8"/>
        <v>125</v>
      </c>
      <c r="N20" s="350">
        <v>46124.0</v>
      </c>
      <c r="O20" s="204" t="str">
        <f t="shared" si="9"/>
        <v>dom.</v>
      </c>
      <c r="P20" s="351">
        <v>21000.0</v>
      </c>
      <c r="Q20" s="213">
        <f>14859.8+8966.65-1871.1</f>
        <v>21955.35</v>
      </c>
      <c r="R20" s="51">
        <f t="shared" si="10"/>
        <v>955.35</v>
      </c>
      <c r="S20" s="217">
        <v>137.0</v>
      </c>
      <c r="T20" s="291">
        <f t="shared" si="11"/>
        <v>160.2580292</v>
      </c>
      <c r="U20" s="214">
        <v>32.0</v>
      </c>
      <c r="V20" s="57">
        <f>15.5+68.5</f>
        <v>84</v>
      </c>
      <c r="W20" s="214">
        <v>49.0</v>
      </c>
      <c r="X20" s="57">
        <f t="shared" si="12"/>
        <v>165</v>
      </c>
      <c r="AB20" s="74" t="s">
        <v>29</v>
      </c>
      <c r="AC20" s="75">
        <v>350000.0</v>
      </c>
      <c r="AD20" s="2" t="s">
        <v>29</v>
      </c>
      <c r="AE20" s="365">
        <v>250000.0</v>
      </c>
      <c r="AI20" s="317"/>
      <c r="AJ20" s="271"/>
      <c r="AK20" s="271"/>
      <c r="AL20" s="366"/>
    </row>
    <row r="21" ht="15.75" customHeight="1">
      <c r="A21" s="8"/>
      <c r="B21" s="8"/>
      <c r="C21" s="207">
        <v>46125.0</v>
      </c>
      <c r="D21" s="208" t="str">
        <f t="shared" si="5"/>
        <v>seg.</v>
      </c>
      <c r="E21" s="341">
        <v>4000.0</v>
      </c>
      <c r="F21" s="209">
        <f>5026</f>
        <v>5026</v>
      </c>
      <c r="G21" s="51">
        <f t="shared" si="6"/>
        <v>1026</v>
      </c>
      <c r="H21" s="210">
        <v>15.0</v>
      </c>
      <c r="I21" s="265">
        <f t="shared" si="7"/>
        <v>335.0666667</v>
      </c>
      <c r="J21" s="214">
        <v>7.0</v>
      </c>
      <c r="K21" s="57">
        <f>2.5+14.5</f>
        <v>17</v>
      </c>
      <c r="L21" s="214">
        <v>8.0</v>
      </c>
      <c r="M21" s="57">
        <f t="shared" si="8"/>
        <v>32</v>
      </c>
      <c r="N21" s="350">
        <v>46125.0</v>
      </c>
      <c r="O21" s="204" t="str">
        <f t="shared" si="9"/>
        <v>seg.</v>
      </c>
      <c r="P21" s="351">
        <v>3100.0</v>
      </c>
      <c r="Q21" s="213">
        <f>1616.55+2141.32-272.58</f>
        <v>3485.29</v>
      </c>
      <c r="R21" s="51">
        <f t="shared" si="10"/>
        <v>385.29</v>
      </c>
      <c r="S21" s="217">
        <v>19.0</v>
      </c>
      <c r="T21" s="291">
        <f t="shared" si="11"/>
        <v>183.4363158</v>
      </c>
      <c r="U21" s="214">
        <v>3.0</v>
      </c>
      <c r="V21" s="57">
        <f>3+15</f>
        <v>18</v>
      </c>
      <c r="W21" s="214">
        <v>5.0</v>
      </c>
      <c r="X21" s="57">
        <f t="shared" si="12"/>
        <v>26</v>
      </c>
      <c r="AB21" s="74"/>
      <c r="AC21" s="2"/>
      <c r="AD21" s="2"/>
      <c r="AE21" s="77"/>
      <c r="AI21" s="367"/>
      <c r="AJ21" s="367"/>
      <c r="AK21" s="368"/>
      <c r="AL21" s="368"/>
    </row>
    <row r="22" ht="15.75" customHeight="1">
      <c r="A22" s="8"/>
      <c r="B22" s="8"/>
      <c r="C22" s="207">
        <v>46126.0</v>
      </c>
      <c r="D22" s="208" t="str">
        <f t="shared" si="5"/>
        <v>ter.</v>
      </c>
      <c r="E22" s="341">
        <v>4000.0</v>
      </c>
      <c r="F22" s="209">
        <f>5550.5</f>
        <v>5550.5</v>
      </c>
      <c r="G22" s="51">
        <f t="shared" si="6"/>
        <v>1550.5</v>
      </c>
      <c r="H22" s="210">
        <v>19.0</v>
      </c>
      <c r="I22" s="265">
        <f t="shared" si="7"/>
        <v>292.1315789</v>
      </c>
      <c r="J22" s="214">
        <v>6.0</v>
      </c>
      <c r="K22" s="57">
        <f>0.5+10.5</f>
        <v>11</v>
      </c>
      <c r="L22" s="214">
        <v>15.0</v>
      </c>
      <c r="M22" s="57">
        <f t="shared" si="8"/>
        <v>32</v>
      </c>
      <c r="N22" s="350">
        <v>46126.0</v>
      </c>
      <c r="O22" s="204" t="str">
        <f t="shared" si="9"/>
        <v>ter.</v>
      </c>
      <c r="P22" s="351">
        <v>3500.0</v>
      </c>
      <c r="Q22" s="213">
        <f>3267.54+1114-333.48</f>
        <v>4048.06</v>
      </c>
      <c r="R22" s="51">
        <f t="shared" si="10"/>
        <v>548.06</v>
      </c>
      <c r="S22" s="217">
        <v>26.0</v>
      </c>
      <c r="T22" s="291">
        <f t="shared" si="11"/>
        <v>155.6946154</v>
      </c>
      <c r="U22" s="214">
        <v>7.0</v>
      </c>
      <c r="V22" s="57">
        <f>4.5+16.5</f>
        <v>21</v>
      </c>
      <c r="W22" s="214">
        <v>4.0</v>
      </c>
      <c r="X22" s="57">
        <f t="shared" si="12"/>
        <v>32</v>
      </c>
      <c r="AB22" s="74" t="s">
        <v>58</v>
      </c>
      <c r="AC22" s="75">
        <f>SUM(F9:F15)</f>
        <v>78022.74</v>
      </c>
      <c r="AD22" s="58" t="s">
        <v>58</v>
      </c>
      <c r="AE22" s="76">
        <f>SUM(Q9:Q15)</f>
        <v>62294.35</v>
      </c>
      <c r="AI22" s="369"/>
      <c r="AJ22" s="317"/>
      <c r="AK22" s="271"/>
      <c r="AL22" s="370"/>
    </row>
    <row r="23" ht="15.75" customHeight="1">
      <c r="A23" s="8"/>
      <c r="B23" s="8"/>
      <c r="C23" s="207">
        <v>46127.0</v>
      </c>
      <c r="D23" s="208" t="str">
        <f t="shared" si="5"/>
        <v>qua.</v>
      </c>
      <c r="E23" s="341">
        <v>7000.0</v>
      </c>
      <c r="F23" s="341">
        <v>3185.5</v>
      </c>
      <c r="G23" s="51">
        <f t="shared" si="6"/>
        <v>-3814.5</v>
      </c>
      <c r="H23" s="210">
        <v>18.0</v>
      </c>
      <c r="I23" s="265">
        <f t="shared" si="7"/>
        <v>176.9722222</v>
      </c>
      <c r="J23" s="214">
        <v>1.0</v>
      </c>
      <c r="K23" s="57">
        <f>0.5+7.5</f>
        <v>8</v>
      </c>
      <c r="L23" s="214">
        <v>9.0</v>
      </c>
      <c r="M23" s="57">
        <f t="shared" si="8"/>
        <v>18</v>
      </c>
      <c r="N23" s="350">
        <v>46127.0</v>
      </c>
      <c r="O23" s="204" t="str">
        <f t="shared" si="9"/>
        <v>qua.</v>
      </c>
      <c r="P23" s="351">
        <v>3500.0</v>
      </c>
      <c r="Q23" s="213">
        <f>1531.52+1910.75-281.62</f>
        <v>3160.65</v>
      </c>
      <c r="R23" s="51">
        <f t="shared" si="10"/>
        <v>-339.35</v>
      </c>
      <c r="S23" s="217">
        <v>25.0</v>
      </c>
      <c r="T23" s="291">
        <f t="shared" si="11"/>
        <v>126.426</v>
      </c>
      <c r="U23" s="214">
        <v>5.0</v>
      </c>
      <c r="V23" s="57">
        <f>4.5+10.5</f>
        <v>15</v>
      </c>
      <c r="W23" s="214">
        <v>5.0</v>
      </c>
      <c r="X23" s="57">
        <f t="shared" si="12"/>
        <v>25</v>
      </c>
      <c r="AB23" s="74"/>
      <c r="AC23" s="79">
        <f>AC22/AC20</f>
        <v>0.2229221143</v>
      </c>
      <c r="AE23" s="80">
        <f>AE22/AE20</f>
        <v>0.2491774</v>
      </c>
      <c r="AF23" s="66"/>
      <c r="AI23" s="317"/>
      <c r="AJ23" s="317"/>
      <c r="AK23" s="271"/>
      <c r="AL23" s="370"/>
    </row>
    <row r="24" ht="15.75" customHeight="1">
      <c r="A24" s="8"/>
      <c r="B24" s="8"/>
      <c r="C24" s="207">
        <v>46128.0</v>
      </c>
      <c r="D24" s="208" t="str">
        <f t="shared" si="5"/>
        <v>qui.</v>
      </c>
      <c r="E24" s="341">
        <v>7000.0</v>
      </c>
      <c r="F24" s="341">
        <v>6445.75</v>
      </c>
      <c r="G24" s="51">
        <f t="shared" si="6"/>
        <v>-554.25</v>
      </c>
      <c r="H24" s="210">
        <v>19.0</v>
      </c>
      <c r="I24" s="265">
        <f t="shared" si="7"/>
        <v>339.25</v>
      </c>
      <c r="J24" s="214">
        <v>7.0</v>
      </c>
      <c r="K24" s="57">
        <f>2+16</f>
        <v>18</v>
      </c>
      <c r="L24" s="214">
        <v>13.0</v>
      </c>
      <c r="M24" s="57">
        <f t="shared" si="8"/>
        <v>38</v>
      </c>
      <c r="N24" s="350">
        <v>46128.0</v>
      </c>
      <c r="O24" s="204" t="str">
        <f t="shared" si="9"/>
        <v>qui.</v>
      </c>
      <c r="P24" s="351">
        <v>4000.0</v>
      </c>
      <c r="Q24" s="213">
        <f>2765.64+2341.9-427.44</f>
        <v>4680.1</v>
      </c>
      <c r="R24" s="51">
        <f t="shared" si="10"/>
        <v>680.1</v>
      </c>
      <c r="S24" s="217">
        <v>30.0</v>
      </c>
      <c r="T24" s="291">
        <f t="shared" si="11"/>
        <v>156.0033333</v>
      </c>
      <c r="U24" s="214">
        <v>10.0</v>
      </c>
      <c r="V24" s="57">
        <f>3+14</f>
        <v>17</v>
      </c>
      <c r="W24" s="214">
        <v>9.0</v>
      </c>
      <c r="X24" s="57">
        <f t="shared" si="12"/>
        <v>36</v>
      </c>
      <c r="AB24" s="74"/>
      <c r="AC24" s="81"/>
      <c r="AE24" s="77"/>
      <c r="AI24" s="369"/>
      <c r="AJ24" s="317"/>
      <c r="AK24" s="271"/>
      <c r="AL24" s="370"/>
    </row>
    <row r="25" ht="15.75" customHeight="1">
      <c r="A25" s="8"/>
      <c r="B25" s="8"/>
      <c r="C25" s="207">
        <v>46129.0</v>
      </c>
      <c r="D25" s="208" t="str">
        <f t="shared" si="5"/>
        <v>sex.</v>
      </c>
      <c r="E25" s="341">
        <v>14000.0</v>
      </c>
      <c r="F25" s="209">
        <f>87+12401.8-175</f>
        <v>12313.8</v>
      </c>
      <c r="G25" s="51">
        <f t="shared" si="6"/>
        <v>-1686.2</v>
      </c>
      <c r="H25" s="210">
        <v>46.0</v>
      </c>
      <c r="I25" s="265">
        <f t="shared" si="7"/>
        <v>267.6913043</v>
      </c>
      <c r="J25" s="214">
        <v>15.0</v>
      </c>
      <c r="K25" s="57">
        <f>3.5+26.5</f>
        <v>30</v>
      </c>
      <c r="L25" s="214">
        <v>25.0</v>
      </c>
      <c r="M25" s="57">
        <f t="shared" si="8"/>
        <v>70</v>
      </c>
      <c r="N25" s="350">
        <v>46129.0</v>
      </c>
      <c r="O25" s="204" t="str">
        <f t="shared" si="9"/>
        <v>sex.</v>
      </c>
      <c r="P25" s="351">
        <v>10500.0</v>
      </c>
      <c r="Q25" s="213">
        <f>6448.83+5404.73-938.75</f>
        <v>10914.81</v>
      </c>
      <c r="R25" s="51">
        <f t="shared" si="10"/>
        <v>414.81</v>
      </c>
      <c r="S25" s="217">
        <v>74.0</v>
      </c>
      <c r="T25" s="291">
        <f t="shared" si="11"/>
        <v>147.4974324</v>
      </c>
      <c r="U25" s="214">
        <v>13.0</v>
      </c>
      <c r="V25" s="57">
        <f>10.5+35.5</f>
        <v>46</v>
      </c>
      <c r="W25" s="214">
        <v>23.0</v>
      </c>
      <c r="X25" s="57">
        <f t="shared" si="12"/>
        <v>82</v>
      </c>
      <c r="AB25" s="74" t="s">
        <v>62</v>
      </c>
      <c r="AC25" s="75">
        <f>SUM(F16:F22)</f>
        <v>78034.45</v>
      </c>
      <c r="AD25" s="58" t="s">
        <v>62</v>
      </c>
      <c r="AE25" s="76">
        <f>SUM(Q16:Q22)</f>
        <v>57787.77</v>
      </c>
      <c r="AI25" s="317"/>
      <c r="AJ25" s="317"/>
      <c r="AK25" s="271"/>
      <c r="AL25" s="370"/>
    </row>
    <row r="26" ht="15.75" customHeight="1">
      <c r="A26" s="8"/>
      <c r="B26" s="8"/>
      <c r="C26" s="207">
        <v>46130.0</v>
      </c>
      <c r="D26" s="208" t="str">
        <f t="shared" si="5"/>
        <v>sáb.</v>
      </c>
      <c r="E26" s="341">
        <v>20000.0</v>
      </c>
      <c r="F26" s="209">
        <f>13644.5</f>
        <v>13644.5</v>
      </c>
      <c r="G26" s="51">
        <f t="shared" si="6"/>
        <v>-6355.5</v>
      </c>
      <c r="H26" s="210">
        <v>60.0</v>
      </c>
      <c r="I26" s="265">
        <f t="shared" si="7"/>
        <v>227.4083333</v>
      </c>
      <c r="J26" s="214">
        <v>16.0</v>
      </c>
      <c r="K26" s="57">
        <f>24</f>
        <v>24</v>
      </c>
      <c r="L26" s="214">
        <v>36.0</v>
      </c>
      <c r="M26" s="57">
        <f t="shared" si="8"/>
        <v>76</v>
      </c>
      <c r="N26" s="350">
        <v>46130.0</v>
      </c>
      <c r="O26" s="204" t="str">
        <f t="shared" si="9"/>
        <v>sáb.</v>
      </c>
      <c r="P26" s="351">
        <v>13000.0</v>
      </c>
      <c r="Q26" s="213">
        <f>7593.73+5907.55-1116.58</f>
        <v>12384.7</v>
      </c>
      <c r="R26" s="51">
        <f t="shared" si="10"/>
        <v>-615.3</v>
      </c>
      <c r="S26" s="217">
        <v>81.0</v>
      </c>
      <c r="T26" s="291">
        <f t="shared" si="11"/>
        <v>152.8975309</v>
      </c>
      <c r="U26" s="214">
        <v>17.0</v>
      </c>
      <c r="V26" s="57">
        <f>17.5+49.5</f>
        <v>67</v>
      </c>
      <c r="W26" s="214">
        <v>14.0</v>
      </c>
      <c r="X26" s="57">
        <f t="shared" si="12"/>
        <v>98</v>
      </c>
      <c r="AB26" s="74"/>
      <c r="AC26" s="79">
        <f>AC25/AC20</f>
        <v>0.2229555714</v>
      </c>
      <c r="AE26" s="80">
        <f>AE25/AE20</f>
        <v>0.23115108</v>
      </c>
      <c r="AI26" s="369"/>
      <c r="AJ26" s="317"/>
      <c r="AK26" s="271"/>
      <c r="AL26" s="370"/>
    </row>
    <row r="27" ht="15.75" customHeight="1">
      <c r="A27" s="8"/>
      <c r="B27" s="8"/>
      <c r="C27" s="207">
        <v>46131.0</v>
      </c>
      <c r="D27" s="208" t="str">
        <f t="shared" si="5"/>
        <v>dom.</v>
      </c>
      <c r="E27" s="341">
        <v>20000.0</v>
      </c>
      <c r="F27" s="341">
        <v>16111.0</v>
      </c>
      <c r="G27" s="51">
        <f t="shared" si="6"/>
        <v>-3889</v>
      </c>
      <c r="H27" s="210">
        <v>77.0</v>
      </c>
      <c r="I27" s="265">
        <f t="shared" si="7"/>
        <v>209.2337662</v>
      </c>
      <c r="J27" s="214">
        <v>19.0</v>
      </c>
      <c r="K27" s="57">
        <f>6+36</f>
        <v>42</v>
      </c>
      <c r="L27" s="214">
        <v>33.0</v>
      </c>
      <c r="M27" s="57">
        <f t="shared" si="8"/>
        <v>94</v>
      </c>
      <c r="N27" s="350">
        <v>46131.0</v>
      </c>
      <c r="O27" s="204" t="str">
        <f t="shared" si="9"/>
        <v>dom.</v>
      </c>
      <c r="P27" s="351">
        <v>21000.0</v>
      </c>
      <c r="Q27" s="213">
        <f>12284.29+7279.52-1383.74</f>
        <v>18180.07</v>
      </c>
      <c r="R27" s="51">
        <f t="shared" si="10"/>
        <v>-2819.93</v>
      </c>
      <c r="S27" s="217">
        <v>110.0</v>
      </c>
      <c r="T27" s="291">
        <f t="shared" si="11"/>
        <v>165.2733636</v>
      </c>
      <c r="U27" s="214">
        <v>30.0</v>
      </c>
      <c r="V27" s="57">
        <f>13+63</f>
        <v>76</v>
      </c>
      <c r="W27" s="214">
        <v>38.0</v>
      </c>
      <c r="X27" s="57">
        <f t="shared" si="12"/>
        <v>144</v>
      </c>
      <c r="AB27" s="74"/>
      <c r="AC27" s="81"/>
      <c r="AE27" s="77"/>
      <c r="AI27" s="317"/>
      <c r="AJ27" s="317"/>
      <c r="AK27" s="271"/>
      <c r="AL27" s="370"/>
    </row>
    <row r="28" ht="15.75" customHeight="1">
      <c r="A28" s="8"/>
      <c r="B28" s="8"/>
      <c r="C28" s="207">
        <v>46132.0</v>
      </c>
      <c r="D28" s="208" t="str">
        <f t="shared" si="5"/>
        <v>seg.</v>
      </c>
      <c r="E28" s="341">
        <v>4000.0</v>
      </c>
      <c r="F28" s="341">
        <v>10734.4</v>
      </c>
      <c r="G28" s="51">
        <f t="shared" si="6"/>
        <v>6734.4</v>
      </c>
      <c r="H28" s="210">
        <v>42.0</v>
      </c>
      <c r="I28" s="265">
        <f t="shared" si="7"/>
        <v>255.5809524</v>
      </c>
      <c r="J28" s="214">
        <v>12.0</v>
      </c>
      <c r="K28" s="57">
        <f>3.5+14.5</f>
        <v>18</v>
      </c>
      <c r="L28" s="214">
        <v>28.0</v>
      </c>
      <c r="M28" s="57">
        <f t="shared" si="8"/>
        <v>58</v>
      </c>
      <c r="N28" s="350">
        <v>46132.0</v>
      </c>
      <c r="O28" s="204" t="str">
        <f t="shared" si="9"/>
        <v>seg.</v>
      </c>
      <c r="P28" s="351">
        <v>3100.0</v>
      </c>
      <c r="Q28" s="213">
        <f>5106.6+3917.71-606.1</f>
        <v>8418.21</v>
      </c>
      <c r="R28" s="51">
        <f t="shared" si="10"/>
        <v>5318.21</v>
      </c>
      <c r="S28" s="217">
        <v>45.0</v>
      </c>
      <c r="T28" s="291">
        <f t="shared" si="11"/>
        <v>187.0713333</v>
      </c>
      <c r="U28" s="214">
        <v>14.0</v>
      </c>
      <c r="V28" s="57">
        <f>9.5+35.5</f>
        <v>45</v>
      </c>
      <c r="W28" s="214">
        <v>8.0</v>
      </c>
      <c r="X28" s="57">
        <f t="shared" si="12"/>
        <v>67</v>
      </c>
      <c r="AB28" s="74" t="s">
        <v>63</v>
      </c>
      <c r="AC28" s="75">
        <f>SUM(F23:F29)</f>
        <v>77014.95</v>
      </c>
      <c r="AD28" s="58" t="s">
        <v>63</v>
      </c>
      <c r="AE28" s="76">
        <f>SUM(Q23:Q29)</f>
        <v>68883.83</v>
      </c>
      <c r="AI28" s="317"/>
      <c r="AJ28" s="317"/>
      <c r="AK28" s="271"/>
      <c r="AL28" s="317"/>
    </row>
    <row r="29" ht="15.75" customHeight="1">
      <c r="A29" s="8"/>
      <c r="B29" s="8"/>
      <c r="C29" s="207">
        <v>46133.0</v>
      </c>
      <c r="D29" s="208" t="str">
        <f t="shared" si="5"/>
        <v>ter.</v>
      </c>
      <c r="E29" s="341">
        <v>5000.0</v>
      </c>
      <c r="F29" s="209">
        <f>627+13953</f>
        <v>14580</v>
      </c>
      <c r="G29" s="51">
        <f t="shared" si="6"/>
        <v>9580</v>
      </c>
      <c r="H29" s="210">
        <v>60.0</v>
      </c>
      <c r="I29" s="265">
        <f t="shared" si="7"/>
        <v>243</v>
      </c>
      <c r="J29" s="214">
        <v>15.0</v>
      </c>
      <c r="K29" s="57">
        <f>3+23</f>
        <v>26</v>
      </c>
      <c r="L29" s="214">
        <v>30.0</v>
      </c>
      <c r="M29" s="57">
        <f t="shared" si="8"/>
        <v>71</v>
      </c>
      <c r="N29" s="350">
        <v>46133.0</v>
      </c>
      <c r="O29" s="204" t="str">
        <f t="shared" si="9"/>
        <v>ter.</v>
      </c>
      <c r="P29" s="351">
        <v>3500.0</v>
      </c>
      <c r="Q29" s="213">
        <f>7789.59+4467.07-1111.37</f>
        <v>11145.29</v>
      </c>
      <c r="R29" s="51">
        <f t="shared" si="10"/>
        <v>7645.29</v>
      </c>
      <c r="S29" s="217">
        <v>77.0</v>
      </c>
      <c r="T29" s="291">
        <f t="shared" si="11"/>
        <v>144.744026</v>
      </c>
      <c r="U29" s="214">
        <v>18.0</v>
      </c>
      <c r="V29" s="57">
        <f>12.5+36.5</f>
        <v>49</v>
      </c>
      <c r="W29" s="214">
        <v>21.0</v>
      </c>
      <c r="X29" s="57">
        <f t="shared" si="12"/>
        <v>88</v>
      </c>
      <c r="AB29" s="74"/>
      <c r="AC29" s="79">
        <f>AC28/AC20</f>
        <v>0.2200427143</v>
      </c>
      <c r="AE29" s="80">
        <f>AE28/AE20</f>
        <v>0.27553532</v>
      </c>
      <c r="AI29" s="317"/>
      <c r="AJ29" s="317"/>
      <c r="AK29" s="317"/>
      <c r="AL29" s="317"/>
    </row>
    <row r="30" ht="15.75" customHeight="1">
      <c r="A30" s="8"/>
      <c r="B30" s="8"/>
      <c r="C30" s="207">
        <v>46134.0</v>
      </c>
      <c r="D30" s="208" t="str">
        <f t="shared" si="5"/>
        <v>qua.</v>
      </c>
      <c r="E30" s="341">
        <f>7000*35%+7000-100</f>
        <v>9350</v>
      </c>
      <c r="F30" s="341">
        <v>8117.8</v>
      </c>
      <c r="G30" s="51">
        <f t="shared" si="6"/>
        <v>-1232.2</v>
      </c>
      <c r="H30" s="210">
        <v>35.0</v>
      </c>
      <c r="I30" s="265">
        <f t="shared" si="7"/>
        <v>231.9371429</v>
      </c>
      <c r="J30" s="214">
        <v>13.0</v>
      </c>
      <c r="K30" s="57">
        <f>4+19</f>
        <v>23</v>
      </c>
      <c r="L30" s="214">
        <v>12.0</v>
      </c>
      <c r="M30" s="57">
        <f t="shared" si="8"/>
        <v>48</v>
      </c>
      <c r="N30" s="350">
        <v>46134.0</v>
      </c>
      <c r="O30" s="204" t="str">
        <f t="shared" si="9"/>
        <v>qua.</v>
      </c>
      <c r="P30" s="351">
        <v>3500.0</v>
      </c>
      <c r="Q30" s="213">
        <f>3400.67+1842.29-401.41</f>
        <v>4841.55</v>
      </c>
      <c r="R30" s="51">
        <f t="shared" si="10"/>
        <v>1341.55</v>
      </c>
      <c r="S30" s="217">
        <v>32.0</v>
      </c>
      <c r="T30" s="291">
        <f t="shared" si="11"/>
        <v>151.2984375</v>
      </c>
      <c r="U30" s="214">
        <v>6.0</v>
      </c>
      <c r="V30" s="57">
        <f>5.5+19.5</f>
        <v>25</v>
      </c>
      <c r="W30" s="214">
        <v>8.0</v>
      </c>
      <c r="X30" s="57">
        <f t="shared" si="12"/>
        <v>39</v>
      </c>
      <c r="AB30" s="74"/>
      <c r="AE30" s="82"/>
      <c r="AI30" s="369"/>
      <c r="AJ30" s="317"/>
      <c r="AK30" s="317"/>
      <c r="AL30" s="317"/>
    </row>
    <row r="31" ht="15.75" customHeight="1">
      <c r="A31" s="8"/>
      <c r="B31" s="8"/>
      <c r="C31" s="207">
        <v>46135.0</v>
      </c>
      <c r="D31" s="208" t="str">
        <f t="shared" si="5"/>
        <v>qui.</v>
      </c>
      <c r="E31" s="341">
        <f>7000*35%+7000</f>
        <v>9450</v>
      </c>
      <c r="F31" s="341">
        <f>11571.2-540</f>
        <v>11031.2</v>
      </c>
      <c r="G31" s="51">
        <f t="shared" si="6"/>
        <v>1581.2</v>
      </c>
      <c r="H31" s="210">
        <v>54.0</v>
      </c>
      <c r="I31" s="265">
        <f t="shared" si="7"/>
        <v>204.2814815</v>
      </c>
      <c r="J31" s="214">
        <v>17.0</v>
      </c>
      <c r="K31" s="57">
        <f>3.5+37.5</f>
        <v>41</v>
      </c>
      <c r="L31" s="214">
        <v>12.0</v>
      </c>
      <c r="M31" s="57">
        <f t="shared" si="8"/>
        <v>70</v>
      </c>
      <c r="N31" s="350">
        <v>46135.0</v>
      </c>
      <c r="O31" s="204" t="str">
        <f t="shared" si="9"/>
        <v>qui.</v>
      </c>
      <c r="P31" s="351">
        <v>4000.0</v>
      </c>
      <c r="Q31" s="213">
        <f>3772.59+952.41-441.27</f>
        <v>4283.73</v>
      </c>
      <c r="R31" s="51">
        <f t="shared" si="10"/>
        <v>283.73</v>
      </c>
      <c r="S31" s="217">
        <v>30.0</v>
      </c>
      <c r="T31" s="291">
        <f t="shared" si="11"/>
        <v>142.791</v>
      </c>
      <c r="U31" s="214">
        <v>9.0</v>
      </c>
      <c r="V31" s="57">
        <f>5+21</f>
        <v>26</v>
      </c>
      <c r="W31" s="214">
        <v>2.0</v>
      </c>
      <c r="X31" s="57">
        <f t="shared" si="12"/>
        <v>37</v>
      </c>
      <c r="AB31" s="74" t="s">
        <v>64</v>
      </c>
      <c r="AC31" s="61">
        <f>SUM(F30:F36)</f>
        <v>97631.85</v>
      </c>
      <c r="AD31" s="58" t="s">
        <v>64</v>
      </c>
      <c r="AE31" s="83">
        <f>SUM(Q30:Q36)</f>
        <v>60444.46</v>
      </c>
      <c r="AI31" s="317"/>
      <c r="AJ31" s="317"/>
      <c r="AK31" s="271"/>
      <c r="AL31" s="317"/>
    </row>
    <row r="32" ht="15.75" customHeight="1">
      <c r="A32" s="8"/>
      <c r="B32" s="8"/>
      <c r="C32" s="207">
        <v>46136.0</v>
      </c>
      <c r="D32" s="208" t="str">
        <f t="shared" si="5"/>
        <v>sex.</v>
      </c>
      <c r="E32" s="341">
        <f>14000*35%+14000</f>
        <v>18900</v>
      </c>
      <c r="F32" s="209">
        <f>18997.9-1710-322</f>
        <v>16965.9</v>
      </c>
      <c r="G32" s="51">
        <f t="shared" si="6"/>
        <v>-1934.1</v>
      </c>
      <c r="H32" s="210">
        <v>85.0</v>
      </c>
      <c r="I32" s="265">
        <f t="shared" si="7"/>
        <v>199.5988235</v>
      </c>
      <c r="J32" s="214">
        <v>18.0</v>
      </c>
      <c r="K32" s="57">
        <f>7+43</f>
        <v>50</v>
      </c>
      <c r="L32" s="57">
        <f>27</f>
        <v>27</v>
      </c>
      <c r="M32" s="57">
        <f t="shared" si="8"/>
        <v>95</v>
      </c>
      <c r="N32" s="350">
        <v>46136.0</v>
      </c>
      <c r="O32" s="204" t="str">
        <f t="shared" si="9"/>
        <v>sex.</v>
      </c>
      <c r="P32" s="351">
        <v>10500.0</v>
      </c>
      <c r="Q32" s="213">
        <f>7283.61+4744.94-911.57</f>
        <v>11116.98</v>
      </c>
      <c r="R32" s="51">
        <f t="shared" si="10"/>
        <v>616.98</v>
      </c>
      <c r="S32" s="217">
        <v>74.0</v>
      </c>
      <c r="T32" s="291">
        <f t="shared" si="11"/>
        <v>150.2294595</v>
      </c>
      <c r="U32" s="214">
        <v>17.0</v>
      </c>
      <c r="V32" s="57">
        <f>7.5+39.5</f>
        <v>47</v>
      </c>
      <c r="W32" s="214">
        <v>21.0</v>
      </c>
      <c r="X32" s="57">
        <f t="shared" si="12"/>
        <v>85</v>
      </c>
      <c r="AB32" s="74"/>
      <c r="AC32" s="79">
        <f>AC31/AC20</f>
        <v>0.2789481429</v>
      </c>
      <c r="AE32" s="80">
        <f>AE31/AE20</f>
        <v>0.24177784</v>
      </c>
      <c r="AI32" s="317"/>
      <c r="AJ32" s="317"/>
      <c r="AK32" s="317"/>
      <c r="AL32" s="317"/>
    </row>
    <row r="33" ht="15.75" customHeight="1">
      <c r="A33" s="8"/>
      <c r="B33" s="8"/>
      <c r="C33" s="207">
        <v>46137.0</v>
      </c>
      <c r="D33" s="208" t="str">
        <f t="shared" si="5"/>
        <v>sáb.</v>
      </c>
      <c r="E33" s="341">
        <f t="shared" ref="E33:E34" si="18">20000*35%+20000</f>
        <v>27000</v>
      </c>
      <c r="F33" s="209">
        <f>28800.25-2550</f>
        <v>26250.25</v>
      </c>
      <c r="G33" s="51">
        <f t="shared" si="6"/>
        <v>-749.75</v>
      </c>
      <c r="H33" s="210">
        <v>98.0</v>
      </c>
      <c r="I33" s="265">
        <f t="shared" si="7"/>
        <v>267.8596939</v>
      </c>
      <c r="J33" s="214">
        <v>27.0</v>
      </c>
      <c r="K33" s="57">
        <f>8.5+60.5</f>
        <v>69</v>
      </c>
      <c r="L33" s="214">
        <v>56.0</v>
      </c>
      <c r="M33" s="57">
        <f t="shared" si="8"/>
        <v>152</v>
      </c>
      <c r="N33" s="350">
        <v>46137.0</v>
      </c>
      <c r="O33" s="204" t="str">
        <f t="shared" si="9"/>
        <v>sáb.</v>
      </c>
      <c r="P33" s="351">
        <v>13000.0</v>
      </c>
      <c r="Q33" s="213">
        <f>8387.16+5473.26-1137.54</f>
        <v>12722.88</v>
      </c>
      <c r="R33" s="51">
        <f t="shared" si="10"/>
        <v>-277.12</v>
      </c>
      <c r="S33" s="217">
        <v>80.0</v>
      </c>
      <c r="T33" s="291">
        <f t="shared" si="11"/>
        <v>159.036</v>
      </c>
      <c r="U33" s="214">
        <v>28.0</v>
      </c>
      <c r="V33" s="57">
        <f>3.5+44.5</f>
        <v>48</v>
      </c>
      <c r="W33" s="214">
        <v>20.0</v>
      </c>
      <c r="X33" s="57">
        <f t="shared" si="12"/>
        <v>96</v>
      </c>
      <c r="AB33" s="74" t="s">
        <v>65</v>
      </c>
      <c r="AC33" s="61">
        <f>SUM(F37:F39)</f>
        <v>23112</v>
      </c>
      <c r="AD33" s="58" t="s">
        <v>65</v>
      </c>
      <c r="AE33" s="83">
        <f>SUM(Q37:Q39)</f>
        <v>14101.03</v>
      </c>
      <c r="AI33" s="317"/>
      <c r="AJ33" s="317"/>
      <c r="AK33" s="317"/>
      <c r="AL33" s="317"/>
    </row>
    <row r="34" ht="15.75" customHeight="1">
      <c r="A34" s="8"/>
      <c r="B34" s="8"/>
      <c r="C34" s="207">
        <v>46138.0</v>
      </c>
      <c r="D34" s="208" t="str">
        <f t="shared" si="5"/>
        <v>dom.</v>
      </c>
      <c r="E34" s="341">
        <f t="shared" si="18"/>
        <v>27000</v>
      </c>
      <c r="F34" s="209">
        <f>23160.2-30</f>
        <v>23130.2</v>
      </c>
      <c r="G34" s="51">
        <f t="shared" si="6"/>
        <v>-3869.8</v>
      </c>
      <c r="H34" s="210">
        <v>97.0</v>
      </c>
      <c r="I34" s="265">
        <f t="shared" si="7"/>
        <v>238.4556701</v>
      </c>
      <c r="J34" s="214">
        <v>21.0</v>
      </c>
      <c r="K34" s="57">
        <f>8.5+48.5</f>
        <v>57</v>
      </c>
      <c r="L34" s="214">
        <v>55.0</v>
      </c>
      <c r="M34" s="57">
        <f t="shared" si="8"/>
        <v>133</v>
      </c>
      <c r="N34" s="350">
        <v>46138.0</v>
      </c>
      <c r="O34" s="204" t="str">
        <f t="shared" si="9"/>
        <v>dom.</v>
      </c>
      <c r="P34" s="351">
        <v>21000.0</v>
      </c>
      <c r="Q34" s="213">
        <f>11366.07+9459.25-1499.88</f>
        <v>19325.44</v>
      </c>
      <c r="R34" s="51">
        <f t="shared" si="10"/>
        <v>-1674.56</v>
      </c>
      <c r="S34" s="217">
        <v>121.0</v>
      </c>
      <c r="T34" s="291">
        <f t="shared" si="11"/>
        <v>159.7143802</v>
      </c>
      <c r="U34" s="214">
        <v>45.0</v>
      </c>
      <c r="V34" s="57">
        <f>6.5+61.5</f>
        <v>68</v>
      </c>
      <c r="W34" s="214">
        <v>36.0</v>
      </c>
      <c r="X34" s="57">
        <f t="shared" si="12"/>
        <v>149</v>
      </c>
      <c r="AB34" s="84"/>
      <c r="AC34" s="85">
        <f>AC33/AC20</f>
        <v>0.06603428571</v>
      </c>
      <c r="AD34" s="84"/>
      <c r="AE34" s="87">
        <f>AE33/AE20</f>
        <v>0.05640412</v>
      </c>
    </row>
    <row r="35" ht="15.75" customHeight="1">
      <c r="A35" s="8"/>
      <c r="B35" s="8"/>
      <c r="C35" s="207">
        <v>46139.0</v>
      </c>
      <c r="D35" s="208" t="str">
        <f t="shared" si="5"/>
        <v>seg.</v>
      </c>
      <c r="E35" s="341">
        <f t="shared" ref="E35:E36" si="19">4000*30%+4000</f>
        <v>5200</v>
      </c>
      <c r="F35" s="209">
        <f>388+5336.5</f>
        <v>5724.5</v>
      </c>
      <c r="G35" s="51">
        <f t="shared" si="6"/>
        <v>524.5</v>
      </c>
      <c r="H35" s="210">
        <v>18.0</v>
      </c>
      <c r="I35" s="265">
        <f t="shared" si="7"/>
        <v>318.0277778</v>
      </c>
      <c r="J35" s="214">
        <v>3.0</v>
      </c>
      <c r="K35" s="57">
        <f>1.5+12.5</f>
        <v>14</v>
      </c>
      <c r="L35" s="214">
        <v>14.0</v>
      </c>
      <c r="M35" s="57">
        <f t="shared" si="8"/>
        <v>31</v>
      </c>
      <c r="N35" s="350">
        <v>46139.0</v>
      </c>
      <c r="O35" s="204" t="str">
        <f t="shared" si="9"/>
        <v>seg.</v>
      </c>
      <c r="P35" s="351">
        <v>3100.0</v>
      </c>
      <c r="Q35" s="213">
        <f>2085.6+3144.81-334.43</f>
        <v>4895.98</v>
      </c>
      <c r="R35" s="51">
        <f t="shared" si="10"/>
        <v>1795.98</v>
      </c>
      <c r="S35" s="217">
        <v>35.0</v>
      </c>
      <c r="T35" s="291">
        <f t="shared" si="11"/>
        <v>139.8851429</v>
      </c>
      <c r="U35" s="214">
        <v>11.0</v>
      </c>
      <c r="V35" s="57">
        <f>1+14</f>
        <v>15</v>
      </c>
      <c r="W35" s="214">
        <v>10.0</v>
      </c>
      <c r="X35" s="57">
        <f t="shared" si="12"/>
        <v>36</v>
      </c>
      <c r="AK35" s="271"/>
    </row>
    <row r="36" ht="15.75" customHeight="1">
      <c r="A36" s="8"/>
      <c r="B36" s="8"/>
      <c r="C36" s="207">
        <v>46140.0</v>
      </c>
      <c r="D36" s="208" t="str">
        <f t="shared" si="5"/>
        <v>ter.</v>
      </c>
      <c r="E36" s="341">
        <f t="shared" si="19"/>
        <v>5200</v>
      </c>
      <c r="F36" s="209">
        <f>6412</f>
        <v>6412</v>
      </c>
      <c r="G36" s="51">
        <f t="shared" si="6"/>
        <v>1212</v>
      </c>
      <c r="H36" s="210">
        <v>30.0</v>
      </c>
      <c r="I36" s="265">
        <f t="shared" si="7"/>
        <v>213.7333333</v>
      </c>
      <c r="J36" s="214">
        <v>5.0</v>
      </c>
      <c r="K36" s="57">
        <f>0.5+20.5</f>
        <v>21</v>
      </c>
      <c r="L36" s="214">
        <v>12.0</v>
      </c>
      <c r="M36" s="57">
        <f t="shared" si="8"/>
        <v>38</v>
      </c>
      <c r="N36" s="350">
        <v>46140.0</v>
      </c>
      <c r="O36" s="204" t="str">
        <f t="shared" si="9"/>
        <v>ter.</v>
      </c>
      <c r="P36" s="351">
        <v>3500.0</v>
      </c>
      <c r="Q36" s="213">
        <f>2438.88+1045.72-226.7</f>
        <v>3257.9</v>
      </c>
      <c r="R36" s="51">
        <f t="shared" si="10"/>
        <v>-242.1</v>
      </c>
      <c r="S36" s="217">
        <v>19.0</v>
      </c>
      <c r="T36" s="291">
        <f t="shared" si="11"/>
        <v>171.4684211</v>
      </c>
      <c r="U36" s="214">
        <v>0.0</v>
      </c>
      <c r="V36" s="57">
        <f>1+18</f>
        <v>19</v>
      </c>
      <c r="W36" s="214">
        <v>5.0</v>
      </c>
      <c r="X36" s="57">
        <f t="shared" si="12"/>
        <v>24</v>
      </c>
      <c r="AA36" s="92" t="s">
        <v>72</v>
      </c>
      <c r="AB36" s="93" t="s">
        <v>73</v>
      </c>
      <c r="AC36" s="94">
        <f>F40</f>
        <v>353815.99</v>
      </c>
      <c r="AD36" s="164" t="s">
        <v>74</v>
      </c>
      <c r="AE36" s="96">
        <f>Q40</f>
        <v>264071.1</v>
      </c>
      <c r="AF36" s="92" t="s">
        <v>72</v>
      </c>
      <c r="AJ36" s="317"/>
      <c r="AK36" s="271"/>
      <c r="AL36" s="317"/>
    </row>
    <row r="37" ht="15.75" customHeight="1">
      <c r="A37" s="8"/>
      <c r="B37" s="8"/>
      <c r="C37" s="207">
        <v>46141.0</v>
      </c>
      <c r="D37" s="208" t="str">
        <f t="shared" si="5"/>
        <v>qua.</v>
      </c>
      <c r="E37" s="341">
        <f t="shared" ref="E37:E38" si="20">7000*35%+7000</f>
        <v>9450</v>
      </c>
      <c r="F37" s="209">
        <f>8752</f>
        <v>8752</v>
      </c>
      <c r="G37" s="51">
        <f t="shared" si="6"/>
        <v>-698</v>
      </c>
      <c r="H37" s="210">
        <v>28.0</v>
      </c>
      <c r="I37" s="265">
        <f t="shared" si="7"/>
        <v>312.5714286</v>
      </c>
      <c r="J37" s="214">
        <v>9.0</v>
      </c>
      <c r="K37" s="57">
        <f>2+19</f>
        <v>21</v>
      </c>
      <c r="L37" s="214">
        <v>19.0</v>
      </c>
      <c r="M37" s="57">
        <f t="shared" si="8"/>
        <v>49</v>
      </c>
      <c r="N37" s="350">
        <v>46141.0</v>
      </c>
      <c r="O37" s="204" t="str">
        <f t="shared" si="9"/>
        <v>qua.</v>
      </c>
      <c r="P37" s="351">
        <v>3500.0</v>
      </c>
      <c r="Q37" s="213">
        <f>3205.71+3261.34-552.3</f>
        <v>5914.75</v>
      </c>
      <c r="R37" s="51">
        <f t="shared" si="10"/>
        <v>2414.75</v>
      </c>
      <c r="S37" s="217">
        <v>40.0</v>
      </c>
      <c r="T37" s="291">
        <f t="shared" si="11"/>
        <v>147.86875</v>
      </c>
      <c r="U37" s="214">
        <v>15.0</v>
      </c>
      <c r="V37" s="57">
        <f>5+23</f>
        <v>28</v>
      </c>
      <c r="W37" s="214">
        <v>6.0</v>
      </c>
      <c r="X37" s="57">
        <f t="shared" si="12"/>
        <v>49</v>
      </c>
      <c r="AA37" s="97">
        <f>AC37-AD37</f>
        <v>0.01090282857</v>
      </c>
      <c r="AB37" s="98"/>
      <c r="AC37" s="99">
        <f>AC36/AC20</f>
        <v>1.010902829</v>
      </c>
      <c r="AD37" s="165">
        <f>30/30</f>
        <v>1</v>
      </c>
      <c r="AE37" s="100">
        <f>AE36/AE20</f>
        <v>1.0562844</v>
      </c>
      <c r="AF37" s="97">
        <f>AE37-AD37</f>
        <v>0.0562844</v>
      </c>
      <c r="AK37" s="61"/>
    </row>
    <row r="38" ht="15.75" customHeight="1">
      <c r="A38" s="8"/>
      <c r="B38" s="8"/>
      <c r="C38" s="207">
        <v>46142.0</v>
      </c>
      <c r="D38" s="208" t="str">
        <f t="shared" si="5"/>
        <v>qui.</v>
      </c>
      <c r="E38" s="341">
        <f t="shared" si="20"/>
        <v>9450</v>
      </c>
      <c r="F38" s="341">
        <f>14360</f>
        <v>14360</v>
      </c>
      <c r="G38" s="51">
        <f t="shared" si="6"/>
        <v>4910</v>
      </c>
      <c r="H38" s="210">
        <v>54.0</v>
      </c>
      <c r="I38" s="265">
        <f t="shared" si="7"/>
        <v>265.9259259</v>
      </c>
      <c r="J38" s="214">
        <v>18.0</v>
      </c>
      <c r="K38" s="57">
        <f>5+30</f>
        <v>35</v>
      </c>
      <c r="L38" s="214">
        <v>25.0</v>
      </c>
      <c r="M38" s="57">
        <f t="shared" si="8"/>
        <v>78</v>
      </c>
      <c r="N38" s="350">
        <v>46142.0</v>
      </c>
      <c r="O38" s="204" t="str">
        <f t="shared" si="9"/>
        <v>qui.</v>
      </c>
      <c r="P38" s="351">
        <v>4000.0</v>
      </c>
      <c r="Q38" s="351">
        <f>3627.66+5114.99-556.37</f>
        <v>8186.28</v>
      </c>
      <c r="R38" s="51">
        <f t="shared" si="10"/>
        <v>4186.28</v>
      </c>
      <c r="S38" s="217">
        <v>45.0</v>
      </c>
      <c r="T38" s="291">
        <f t="shared" si="11"/>
        <v>181.9173333</v>
      </c>
      <c r="U38" s="214">
        <v>11.0</v>
      </c>
      <c r="V38" s="57">
        <f>3+26</f>
        <v>29</v>
      </c>
      <c r="W38" s="214">
        <v>20.0</v>
      </c>
      <c r="X38" s="57">
        <f t="shared" si="12"/>
        <v>60</v>
      </c>
      <c r="AB38" s="98" t="s">
        <v>76</v>
      </c>
      <c r="AC38" s="104">
        <f>AC20-AC36</f>
        <v>-3815.99</v>
      </c>
      <c r="AD38" s="99"/>
      <c r="AE38" s="106">
        <f>AE20-AE36</f>
        <v>-14071.1</v>
      </c>
    </row>
    <row r="39" ht="15.75" customHeight="1">
      <c r="A39" s="8"/>
      <c r="B39" s="8"/>
      <c r="C39" s="207"/>
      <c r="D39" s="147"/>
      <c r="E39" s="209"/>
      <c r="F39" s="209"/>
      <c r="G39" s="51"/>
      <c r="H39" s="290"/>
      <c r="I39" s="265"/>
      <c r="J39" s="57"/>
      <c r="K39" s="57"/>
      <c r="L39" s="57"/>
      <c r="M39" s="57">
        <f t="shared" si="8"/>
        <v>0</v>
      </c>
      <c r="N39" s="350"/>
      <c r="O39" s="204"/>
      <c r="P39" s="213"/>
      <c r="Q39" s="213"/>
      <c r="R39" s="51"/>
      <c r="S39" s="291"/>
      <c r="T39" s="291"/>
      <c r="U39" s="57"/>
      <c r="V39" s="57"/>
      <c r="W39" s="57"/>
      <c r="X39" s="57">
        <f t="shared" si="12"/>
        <v>0</v>
      </c>
      <c r="AE39" s="61"/>
    </row>
    <row r="40" ht="15.75" customHeight="1">
      <c r="A40" s="8"/>
      <c r="B40" s="8"/>
      <c r="C40" s="218"/>
      <c r="D40" s="218"/>
      <c r="E40" s="219">
        <f t="shared" ref="E40:H40" si="21">SUM(E9:E39)</f>
        <v>350000</v>
      </c>
      <c r="F40" s="219">
        <f t="shared" si="21"/>
        <v>353815.99</v>
      </c>
      <c r="G40" s="105">
        <f t="shared" si="21"/>
        <v>3815.99</v>
      </c>
      <c r="H40" s="105">
        <f t="shared" si="21"/>
        <v>1454</v>
      </c>
      <c r="I40" s="105"/>
      <c r="J40" s="105">
        <f t="shared" ref="J40:M40" si="22">SUM(J9:J39)</f>
        <v>372</v>
      </c>
      <c r="K40" s="105">
        <f t="shared" si="22"/>
        <v>923</v>
      </c>
      <c r="L40" s="105">
        <f t="shared" si="22"/>
        <v>720</v>
      </c>
      <c r="M40" s="105">
        <f t="shared" si="22"/>
        <v>2015</v>
      </c>
      <c r="N40" s="286"/>
      <c r="O40" s="287"/>
      <c r="P40" s="222">
        <f>SUM(P9:P39)</f>
        <v>250000</v>
      </c>
      <c r="Q40" s="222">
        <f>SUM(Q9:Q39)+343.74-8.97-7.97+102.82-8.97+153.98-14.97</f>
        <v>264071.1</v>
      </c>
      <c r="R40" s="105">
        <f t="shared" ref="R40:S40" si="23">SUM(R9:R39)</f>
        <v>13511.44</v>
      </c>
      <c r="S40" s="223">
        <f t="shared" si="23"/>
        <v>1686</v>
      </c>
      <c r="T40" s="223"/>
      <c r="U40" s="223">
        <f t="shared" ref="U40:X40" si="24">SUM(U9:U39)</f>
        <v>443</v>
      </c>
      <c r="V40" s="223">
        <f t="shared" si="24"/>
        <v>1132</v>
      </c>
      <c r="W40" s="223">
        <f t="shared" si="24"/>
        <v>468</v>
      </c>
      <c r="X40" s="223">
        <f t="shared" si="24"/>
        <v>2043</v>
      </c>
    </row>
    <row r="41" ht="15.75" customHeight="1">
      <c r="D41" s="61"/>
      <c r="E41" s="61"/>
      <c r="F41" s="225"/>
      <c r="G41" s="114"/>
      <c r="H41" s="392" t="s">
        <v>286</v>
      </c>
      <c r="I41" s="226"/>
      <c r="N41" s="61"/>
      <c r="P41" s="61"/>
      <c r="Q41" s="275"/>
      <c r="R41" s="114"/>
      <c r="S41" s="199"/>
      <c r="T41" s="199"/>
      <c r="AA41" s="384" t="s">
        <v>287</v>
      </c>
      <c r="AB41" s="229" t="s">
        <v>221</v>
      </c>
      <c r="AC41" s="385" t="s">
        <v>219</v>
      </c>
      <c r="AE41" s="384" t="s">
        <v>288</v>
      </c>
      <c r="AF41" s="229" t="s">
        <v>221</v>
      </c>
      <c r="AG41" s="385" t="s">
        <v>219</v>
      </c>
      <c r="AI41" s="384" t="s">
        <v>289</v>
      </c>
      <c r="AJ41" s="384" t="s">
        <v>290</v>
      </c>
      <c r="AK41" s="393" t="s">
        <v>291</v>
      </c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199"/>
      <c r="AA42" s="387">
        <v>350000.0</v>
      </c>
      <c r="AB42" s="387">
        <v>353815.99</v>
      </c>
      <c r="AC42" s="346">
        <f>AB42*0.008</f>
        <v>2830.52792</v>
      </c>
      <c r="AE42" s="387">
        <v>250000.0</v>
      </c>
      <c r="AF42" s="387">
        <v>264071.1</v>
      </c>
      <c r="AG42" s="346">
        <f>AF42*0.005</f>
        <v>1320.3555</v>
      </c>
      <c r="AI42" s="387">
        <v>1000.0</v>
      </c>
      <c r="AJ42" s="387">
        <v>500.0</v>
      </c>
      <c r="AK42" s="346">
        <f>AI42+AJ42</f>
        <v>1500</v>
      </c>
    </row>
    <row r="43" ht="15.75" customHeight="1">
      <c r="A43" s="2"/>
      <c r="B43" s="2"/>
      <c r="C43" s="2"/>
      <c r="D43" s="2"/>
      <c r="E43" s="174" t="s">
        <v>77</v>
      </c>
      <c r="F43" s="118">
        <f>E40+G40</f>
        <v>353815.99</v>
      </c>
      <c r="P43" s="115" t="s">
        <v>77</v>
      </c>
      <c r="Q43" s="118">
        <f>P40+R40</f>
        <v>263511.44</v>
      </c>
      <c r="S43" s="199"/>
      <c r="T43" s="199"/>
      <c r="AA43" s="388" t="s">
        <v>284</v>
      </c>
      <c r="AB43" s="389">
        <f>AC42*60%-320</f>
        <v>1378.316752</v>
      </c>
      <c r="AC43" s="390">
        <v>320.0</v>
      </c>
      <c r="AE43" s="388" t="s">
        <v>295</v>
      </c>
      <c r="AF43" s="389">
        <f>AG42*40%</f>
        <v>528.1422</v>
      </c>
      <c r="AG43" s="390"/>
      <c r="AI43" s="388" t="s">
        <v>296</v>
      </c>
      <c r="AJ43" s="389"/>
      <c r="AK43" s="390"/>
    </row>
    <row r="44" ht="15.75" customHeight="1">
      <c r="A44" s="2"/>
      <c r="B44" s="2"/>
      <c r="C44" s="122" t="s">
        <v>29</v>
      </c>
      <c r="D44" s="124">
        <v>350000.0</v>
      </c>
      <c r="E44" s="75"/>
      <c r="F44" s="2"/>
      <c r="N44" s="126" t="s">
        <v>29</v>
      </c>
      <c r="O44" s="394">
        <v>250000.0</v>
      </c>
      <c r="P44" s="2"/>
      <c r="Q44" s="2"/>
      <c r="S44" s="199"/>
      <c r="T44" s="199"/>
      <c r="AA44" s="395" t="s">
        <v>297</v>
      </c>
      <c r="AB44" s="229"/>
      <c r="AC44" s="396"/>
      <c r="AE44" s="397"/>
      <c r="AF44" s="229"/>
      <c r="AG44" s="396"/>
      <c r="AI44" s="395" t="s">
        <v>298</v>
      </c>
      <c r="AJ44" s="229"/>
      <c r="AK44" s="396"/>
    </row>
    <row r="45" ht="15.75" customHeight="1">
      <c r="A45" s="61"/>
      <c r="B45" s="61"/>
      <c r="C45" s="61"/>
      <c r="D45" s="175"/>
      <c r="N45" s="175"/>
      <c r="O45" s="61"/>
      <c r="S45" s="199"/>
      <c r="T45" s="199"/>
      <c r="AA45" s="395" t="s">
        <v>300</v>
      </c>
      <c r="AB45" s="346"/>
      <c r="AC45" s="391"/>
      <c r="AE45" s="397"/>
      <c r="AF45" s="346"/>
      <c r="AG45" s="391"/>
      <c r="AI45" s="397"/>
      <c r="AJ45" s="346"/>
      <c r="AK45" s="391"/>
    </row>
    <row r="46" ht="15.75" customHeight="1">
      <c r="A46" s="61"/>
      <c r="B46" s="61"/>
      <c r="C46" s="61"/>
      <c r="D46" s="175"/>
      <c r="N46" s="175"/>
      <c r="O46" s="61"/>
      <c r="S46" s="199"/>
      <c r="T46" s="199"/>
      <c r="AA46" s="385" t="s">
        <v>227</v>
      </c>
      <c r="AB46" s="346">
        <f>AB43*AC46-2</f>
        <v>340.2360495</v>
      </c>
      <c r="AC46" s="391">
        <v>0.2483</v>
      </c>
      <c r="AE46" s="397" t="s">
        <v>301</v>
      </c>
      <c r="AF46" s="346">
        <f>AF43*45%</f>
        <v>237.66399</v>
      </c>
      <c r="AG46" s="391"/>
      <c r="AI46" s="397" t="s">
        <v>302</v>
      </c>
      <c r="AJ46" s="346">
        <f>AK42*14%</f>
        <v>210</v>
      </c>
      <c r="AK46" s="391"/>
    </row>
    <row r="47" ht="15.75" customHeight="1">
      <c r="A47" s="61"/>
      <c r="B47" s="61"/>
      <c r="C47" s="61"/>
      <c r="E47" s="398"/>
      <c r="O47" s="61"/>
      <c r="S47" s="199"/>
      <c r="T47" s="199"/>
      <c r="AA47" s="385" t="s">
        <v>228</v>
      </c>
      <c r="AB47" s="346">
        <f>AB43*AC47</f>
        <v>372.8346814</v>
      </c>
      <c r="AC47" s="391">
        <v>0.2705</v>
      </c>
      <c r="AE47" s="397" t="s">
        <v>303</v>
      </c>
      <c r="AF47" s="346">
        <f>AF43*35%</f>
        <v>184.84977</v>
      </c>
      <c r="AG47" s="391"/>
      <c r="AI47" s="397" t="s">
        <v>305</v>
      </c>
      <c r="AJ47" s="346">
        <f>AK42*14%</f>
        <v>210</v>
      </c>
      <c r="AK47" s="391"/>
    </row>
    <row r="48" ht="15.75" customHeight="1">
      <c r="A48" s="61"/>
      <c r="B48" s="61"/>
      <c r="C48" s="61"/>
      <c r="E48" s="399"/>
      <c r="N48" s="61"/>
      <c r="S48" s="199"/>
      <c r="T48" s="199"/>
      <c r="AA48" s="385" t="s">
        <v>230</v>
      </c>
      <c r="AB48" s="346">
        <f>AB43*AC48</f>
        <v>335.8957925</v>
      </c>
      <c r="AC48" s="391">
        <v>0.2437</v>
      </c>
      <c r="AE48" s="397" t="s">
        <v>306</v>
      </c>
      <c r="AF48" s="346">
        <f>AF43*35%*2/30+3</f>
        <v>15.323318</v>
      </c>
      <c r="AG48" s="391"/>
      <c r="AI48" s="397" t="s">
        <v>307</v>
      </c>
      <c r="AJ48" s="346">
        <f>AK42*14%</f>
        <v>210</v>
      </c>
      <c r="AK48" s="391"/>
    </row>
    <row r="49" ht="15.75" customHeight="1">
      <c r="A49" s="61"/>
      <c r="B49" s="61"/>
      <c r="C49" s="61"/>
      <c r="N49" s="121"/>
      <c r="S49" s="199"/>
      <c r="T49" s="199"/>
      <c r="AA49" s="385" t="s">
        <v>231</v>
      </c>
      <c r="AB49" s="346">
        <f>AB43*AC49-1</f>
        <v>328.8311988</v>
      </c>
      <c r="AC49" s="391">
        <v>0.2393</v>
      </c>
      <c r="AE49" s="397" t="s">
        <v>308</v>
      </c>
      <c r="AF49" s="346">
        <f>AF43*17%</f>
        <v>89.784174</v>
      </c>
      <c r="AG49" s="391"/>
      <c r="AI49" s="397" t="s">
        <v>309</v>
      </c>
      <c r="AJ49" s="346">
        <f>AK42*14%</f>
        <v>210</v>
      </c>
      <c r="AK49" s="391"/>
    </row>
    <row r="50" ht="15.75" customHeight="1">
      <c r="A50" s="61"/>
      <c r="B50" s="61"/>
      <c r="C50" s="61"/>
      <c r="S50" s="199"/>
      <c r="T50" s="199"/>
      <c r="AA50" s="393" t="s">
        <v>311</v>
      </c>
      <c r="AB50" s="387">
        <f>AC43/4</f>
        <v>80</v>
      </c>
      <c r="AC50" s="391"/>
      <c r="AE50" s="397"/>
      <c r="AF50" s="346"/>
      <c r="AG50" s="391"/>
      <c r="AI50" s="397" t="s">
        <v>312</v>
      </c>
      <c r="AJ50" s="346">
        <f>AK42*14%</f>
        <v>210</v>
      </c>
      <c r="AK50" s="391"/>
    </row>
    <row r="51" ht="15.75" customHeight="1">
      <c r="AA51" s="393" t="s">
        <v>293</v>
      </c>
      <c r="AB51" s="387">
        <f>AC43/4</f>
        <v>80</v>
      </c>
      <c r="AC51" s="385"/>
      <c r="AE51" s="397"/>
      <c r="AF51" s="346"/>
      <c r="AG51" s="385"/>
      <c r="AI51" s="397" t="s">
        <v>313</v>
      </c>
      <c r="AJ51" s="346">
        <f>AK42*14%</f>
        <v>210</v>
      </c>
      <c r="AK51" s="385"/>
    </row>
    <row r="52" ht="15.75" customHeight="1">
      <c r="AA52" s="393" t="s">
        <v>294</v>
      </c>
      <c r="AB52" s="387">
        <f>AC43/4</f>
        <v>80</v>
      </c>
      <c r="AC52" s="385"/>
      <c r="AE52" s="385"/>
      <c r="AF52" s="229"/>
      <c r="AG52" s="385"/>
      <c r="AI52" s="385"/>
      <c r="AJ52" s="229"/>
      <c r="AK52" s="385"/>
    </row>
    <row r="53" ht="15.75" customHeight="1">
      <c r="AA53" s="393" t="s">
        <v>299</v>
      </c>
      <c r="AB53" s="387">
        <f>AC43/4</f>
        <v>80</v>
      </c>
      <c r="AC53" s="385"/>
      <c r="AE53" s="385"/>
      <c r="AF53" s="229"/>
      <c r="AG53" s="385"/>
      <c r="AI53" s="385"/>
      <c r="AJ53" s="229"/>
      <c r="AK53" s="385"/>
    </row>
    <row r="54" ht="15.75" customHeight="1">
      <c r="AA54" s="388" t="s">
        <v>304</v>
      </c>
      <c r="AB54" s="389">
        <f>AC42*40%-360+1</f>
        <v>773.211168</v>
      </c>
      <c r="AC54" s="390">
        <v>360.0</v>
      </c>
      <c r="AE54" s="388" t="s">
        <v>304</v>
      </c>
      <c r="AF54" s="389">
        <f>AG42*60%-180</f>
        <v>612.2133</v>
      </c>
      <c r="AG54" s="390">
        <v>180.0</v>
      </c>
      <c r="AI54" s="388" t="s">
        <v>315</v>
      </c>
      <c r="AJ54" s="400"/>
      <c r="AK54" s="401"/>
    </row>
    <row r="55" ht="15.75" customHeight="1">
      <c r="AA55" s="393" t="s">
        <v>316</v>
      </c>
      <c r="AB55" s="346">
        <f>AB54/2*28/30</f>
        <v>360.8318784</v>
      </c>
      <c r="AC55" s="385"/>
      <c r="AE55" s="393" t="s">
        <v>316</v>
      </c>
      <c r="AF55" s="346">
        <f>AF54/2*28/30</f>
        <v>285.69954</v>
      </c>
      <c r="AG55" s="385"/>
      <c r="AI55" s="393" t="s">
        <v>317</v>
      </c>
      <c r="AJ55" s="346">
        <f>AK42*8%</f>
        <v>120</v>
      </c>
      <c r="AK55" s="385"/>
    </row>
    <row r="56" ht="15.75" customHeight="1">
      <c r="AA56" s="393" t="s">
        <v>314</v>
      </c>
      <c r="AB56" s="346">
        <f>AB54/2+27</f>
        <v>413.605584</v>
      </c>
      <c r="AC56" s="385"/>
      <c r="AE56" s="393" t="s">
        <v>318</v>
      </c>
      <c r="AF56" s="346">
        <f>AF54/2+20</f>
        <v>326.10665</v>
      </c>
      <c r="AG56" s="385"/>
      <c r="AI56" s="393" t="s">
        <v>319</v>
      </c>
      <c r="AJ56" s="346">
        <f>AK42*8%</f>
        <v>120</v>
      </c>
      <c r="AK56" s="385"/>
    </row>
    <row r="57" ht="15.75" customHeight="1">
      <c r="AA57" s="393" t="s">
        <v>252</v>
      </c>
      <c r="AB57" s="387">
        <v>150.0</v>
      </c>
      <c r="AC57" s="385"/>
      <c r="AE57" s="393" t="s">
        <v>252</v>
      </c>
      <c r="AF57" s="387">
        <v>70.0</v>
      </c>
      <c r="AG57" s="385"/>
      <c r="AI57" s="393"/>
      <c r="AJ57" s="387"/>
      <c r="AK57" s="385"/>
    </row>
    <row r="58" ht="15.75" customHeight="1">
      <c r="AA58" s="393" t="s">
        <v>320</v>
      </c>
      <c r="AB58" s="387">
        <v>150.0</v>
      </c>
      <c r="AC58" s="385"/>
      <c r="AE58" s="393" t="s">
        <v>320</v>
      </c>
      <c r="AF58" s="387">
        <v>70.0</v>
      </c>
      <c r="AG58" s="385"/>
      <c r="AI58" s="393"/>
      <c r="AJ58" s="387"/>
      <c r="AK58" s="385"/>
    </row>
    <row r="59" ht="15.75" customHeight="1">
      <c r="AA59" s="384" t="s">
        <v>321</v>
      </c>
      <c r="AB59" s="387">
        <v>60.0</v>
      </c>
      <c r="AC59" s="385"/>
      <c r="AE59" s="384" t="s">
        <v>321</v>
      </c>
      <c r="AF59" s="387">
        <v>40.0</v>
      </c>
      <c r="AG59" s="385"/>
      <c r="AI59" s="384"/>
      <c r="AJ59" s="387"/>
      <c r="AK59" s="385"/>
    </row>
    <row r="60" ht="15.75" customHeight="1">
      <c r="AA60" s="61"/>
      <c r="AB60" s="61"/>
    </row>
    <row r="61" ht="15.75" customHeight="1">
      <c r="AA61" s="61"/>
      <c r="AB61" s="61"/>
    </row>
    <row r="62" ht="15.75" customHeight="1">
      <c r="AA62" s="61"/>
      <c r="AB62" s="61"/>
      <c r="AC62" s="61"/>
    </row>
    <row r="63" ht="15.75" customHeight="1">
      <c r="AA63" s="402"/>
      <c r="AB63" s="403"/>
    </row>
    <row r="64" ht="15.75" customHeight="1">
      <c r="AB64" s="61"/>
      <c r="AC64" s="66"/>
    </row>
    <row r="65" ht="15.75" customHeight="1">
      <c r="AB65" s="61"/>
      <c r="AC65" s="66"/>
    </row>
    <row r="66" ht="15.75" customHeight="1">
      <c r="AB66" s="61"/>
      <c r="AC66" s="66"/>
    </row>
    <row r="67" ht="15.75" customHeight="1">
      <c r="AB67" s="61"/>
      <c r="AC67" s="66"/>
    </row>
    <row r="68" ht="15.75" customHeight="1">
      <c r="AB68" s="61"/>
      <c r="AC68" s="66"/>
    </row>
    <row r="69" ht="15.75" customHeight="1">
      <c r="AB69" s="61"/>
      <c r="AC69" s="66"/>
    </row>
    <row r="70" ht="15.75" customHeight="1">
      <c r="AB70" s="61"/>
      <c r="AC70" s="66"/>
    </row>
    <row r="71" ht="15.75" customHeight="1">
      <c r="AB71" s="61"/>
      <c r="AC71" s="66"/>
    </row>
    <row r="72" ht="15.75" customHeight="1">
      <c r="AB72" s="61"/>
    </row>
    <row r="73" ht="15.75" customHeight="1">
      <c r="AB73" s="61"/>
    </row>
    <row r="74" ht="15.75" customHeight="1">
      <c r="AB74" s="6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8">
    <mergeCell ref="C4:M6"/>
    <mergeCell ref="N4:X6"/>
    <mergeCell ref="AA4:AB4"/>
    <mergeCell ref="AD4:AE4"/>
    <mergeCell ref="AH4:AI4"/>
    <mergeCell ref="AK4:AL4"/>
    <mergeCell ref="C7:M7"/>
    <mergeCell ref="N7:X7"/>
  </mergeCells>
  <conditionalFormatting sqref="G9:G40 R9:R40 H40:M40">
    <cfRule type="cellIs" dxfId="0" priority="1" operator="greaterThanOrEqual">
      <formula>0</formula>
    </cfRule>
  </conditionalFormatting>
  <conditionalFormatting sqref="G9:G40 R9:R40 H40:M40">
    <cfRule type="cellIs" dxfId="1" priority="2" operator="lessThan">
      <formula>0</formula>
    </cfRule>
  </conditionalFormatting>
  <conditionalFormatting sqref="G9:G40 R9:R40 H40:M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4.33"/>
    <col customWidth="1" min="3" max="3" width="40.56"/>
    <col customWidth="1" min="4" max="4" width="32.44"/>
    <col customWidth="1" min="5" max="5" width="81.11"/>
  </cols>
  <sheetData>
    <row r="4">
      <c r="B4" s="317"/>
      <c r="C4" s="271"/>
      <c r="D4" s="317"/>
      <c r="E4" s="318" t="s">
        <v>236</v>
      </c>
    </row>
    <row r="5">
      <c r="B5" s="317"/>
      <c r="C5" s="271"/>
      <c r="D5" s="271"/>
      <c r="E5" s="319">
        <f>15%</f>
        <v>0.15</v>
      </c>
    </row>
    <row r="6">
      <c r="B6" s="320" t="s">
        <v>242</v>
      </c>
      <c r="C6" s="321" t="s">
        <v>222</v>
      </c>
      <c r="D6" s="335" t="s">
        <v>278</v>
      </c>
      <c r="E6" s="323"/>
    </row>
    <row r="7">
      <c r="B7" s="336" t="s">
        <v>265</v>
      </c>
      <c r="C7" s="325" t="s">
        <v>226</v>
      </c>
      <c r="D7" s="349">
        <v>0.0</v>
      </c>
      <c r="E7" s="327">
        <f t="shared" ref="E7:E12" si="1">D7/350000</f>
        <v>0</v>
      </c>
    </row>
    <row r="8">
      <c r="B8" s="336" t="s">
        <v>245</v>
      </c>
      <c r="C8" s="325" t="s">
        <v>227</v>
      </c>
      <c r="D8" s="326">
        <f>88428-266-220-150-898.88</f>
        <v>86893.12</v>
      </c>
      <c r="E8" s="327">
        <f t="shared" si="1"/>
        <v>0.2482660571</v>
      </c>
    </row>
    <row r="9">
      <c r="B9" s="336" t="s">
        <v>246</v>
      </c>
      <c r="C9" s="325" t="s">
        <v>228</v>
      </c>
      <c r="D9" s="326">
        <f>96532.5-420-540-898.88</f>
        <v>94673.62</v>
      </c>
      <c r="E9" s="327">
        <f t="shared" si="1"/>
        <v>0.2704960571</v>
      </c>
    </row>
    <row r="10">
      <c r="B10" s="336" t="s">
        <v>244</v>
      </c>
      <c r="C10" s="336" t="s">
        <v>279</v>
      </c>
      <c r="D10" s="326">
        <f>361</f>
        <v>361</v>
      </c>
      <c r="E10" s="327">
        <f t="shared" si="1"/>
        <v>0.001031428571</v>
      </c>
    </row>
    <row r="11">
      <c r="B11" s="338" t="s">
        <v>247</v>
      </c>
      <c r="C11" s="325" t="s">
        <v>230</v>
      </c>
      <c r="D11" s="326">
        <f>86752-120-300-150-898.88</f>
        <v>85283.12</v>
      </c>
      <c r="E11" s="327">
        <f t="shared" si="1"/>
        <v>0.2436660571</v>
      </c>
    </row>
    <row r="12">
      <c r="B12" s="338" t="s">
        <v>249</v>
      </c>
      <c r="C12" s="328" t="s">
        <v>231</v>
      </c>
      <c r="D12" s="329">
        <f>85786-308-200-630-898.87</f>
        <v>83749.13</v>
      </c>
      <c r="E12" s="327">
        <f t="shared" si="1"/>
        <v>0.2392832286</v>
      </c>
    </row>
    <row r="13">
      <c r="B13" s="325"/>
      <c r="C13" s="317"/>
      <c r="D13" s="219">
        <f>SUM(D7:D12)+994+540+4290+(1426-30)+6+(2306-2280)</f>
        <v>358211.99</v>
      </c>
      <c r="E13" s="327">
        <f>SUM(E7:E12)</f>
        <v>1.002742829</v>
      </c>
    </row>
    <row r="14">
      <c r="B14" s="325"/>
      <c r="C14" s="317"/>
      <c r="D14" s="317"/>
      <c r="E14" s="317"/>
    </row>
    <row r="15">
      <c r="B15" s="330"/>
      <c r="C15" s="317" t="s">
        <v>257</v>
      </c>
      <c r="D15" s="354">
        <f>2167.51</f>
        <v>2167.51</v>
      </c>
      <c r="E15" s="317"/>
    </row>
    <row r="16">
      <c r="B16" s="317"/>
      <c r="C16" s="317" t="s">
        <v>258</v>
      </c>
      <c r="D16" s="271">
        <f>(1426-30)+6+(2306-2280)</f>
        <v>1428</v>
      </c>
      <c r="E16" s="355" t="s">
        <v>280</v>
      </c>
    </row>
    <row r="17">
      <c r="B17" s="317"/>
      <c r="C17" s="317" t="s">
        <v>259</v>
      </c>
      <c r="D17" s="354">
        <f>SUM(D15:D16)</f>
        <v>3595.51</v>
      </c>
      <c r="E17" s="317"/>
    </row>
    <row r="18">
      <c r="B18" s="317"/>
      <c r="C18" s="317" t="s">
        <v>260</v>
      </c>
      <c r="D18" s="354">
        <f>D17/4</f>
        <v>898.8775</v>
      </c>
      <c r="E18" s="317"/>
    </row>
    <row r="20">
      <c r="D20" s="219">
        <f>361807.5-D15-D16</f>
        <v>358211.99</v>
      </c>
    </row>
    <row r="21">
      <c r="C21" s="317" t="s">
        <v>261</v>
      </c>
      <c r="D21" s="271">
        <f>D20+D15+D16</f>
        <v>361807.5</v>
      </c>
      <c r="E21" s="317" t="s">
        <v>262</v>
      </c>
    </row>
    <row r="22">
      <c r="D22" s="61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8.33"/>
    <col customWidth="1" min="5" max="6" width="23.0"/>
    <col customWidth="1" min="7" max="7" width="12.67"/>
    <col customWidth="1" min="8" max="8" width="15.44"/>
    <col customWidth="1" min="9" max="9" width="10.56"/>
    <col customWidth="1" min="10" max="10" width="13.0"/>
    <col customWidth="1" min="11" max="11" width="12.67"/>
    <col customWidth="1" min="12" max="12" width="14.11"/>
    <col customWidth="1" min="13" max="13" width="15.11"/>
    <col customWidth="1" min="14" max="14" width="10.56"/>
    <col customWidth="1" min="15" max="15" width="18.33"/>
    <col customWidth="1" min="16" max="17" width="17.44"/>
    <col customWidth="1" min="18" max="19" width="10.56"/>
    <col customWidth="1" min="20" max="22" width="12.67"/>
    <col customWidth="1" min="23" max="23" width="14.0"/>
    <col customWidth="1" min="24" max="24" width="14.89"/>
    <col customWidth="1" min="25" max="26" width="10.56"/>
    <col customWidth="1" min="27" max="28" width="14.78"/>
    <col customWidth="1" min="29" max="29" width="14.0"/>
    <col customWidth="1" min="30" max="30" width="13.0"/>
    <col customWidth="1" min="31" max="31" width="14.0"/>
    <col customWidth="1" min="32" max="33" width="10.56"/>
    <col customWidth="1" min="34" max="34" width="13.0"/>
    <col customWidth="1" min="35" max="35" width="26.89"/>
    <col customWidth="1" min="36" max="36" width="16.89"/>
    <col customWidth="1" min="37" max="37" width="33.78"/>
    <col customWidth="1" min="38" max="38" width="14.78"/>
    <col customWidth="1" min="39" max="39" width="33.67"/>
    <col customWidth="1" min="40" max="41" width="14.78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9"/>
      <c r="J4" s="357"/>
      <c r="K4" s="357"/>
      <c r="L4" s="357"/>
      <c r="M4" s="357"/>
      <c r="N4" s="27" t="s">
        <v>22</v>
      </c>
      <c r="O4" s="18"/>
      <c r="P4" s="18"/>
      <c r="Q4" s="18"/>
      <c r="R4" s="18"/>
      <c r="S4" s="18"/>
      <c r="T4" s="19"/>
      <c r="U4" s="358"/>
      <c r="V4" s="358"/>
      <c r="W4" s="358"/>
      <c r="X4" s="358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  <c r="AM4" s="2"/>
      <c r="AN4" s="2"/>
      <c r="AO4" s="2"/>
    </row>
    <row r="5" ht="15.75" customHeight="1">
      <c r="A5" s="288"/>
      <c r="B5" s="288"/>
      <c r="C5" s="31"/>
      <c r="I5" s="32"/>
      <c r="J5" s="357"/>
      <c r="K5" s="357"/>
      <c r="L5" s="357"/>
      <c r="M5" s="357"/>
      <c r="N5" s="31"/>
      <c r="T5" s="32"/>
      <c r="U5" s="358"/>
      <c r="V5" s="358"/>
      <c r="W5" s="358"/>
      <c r="X5" s="358"/>
      <c r="AA5" s="359">
        <v>45748.0</v>
      </c>
      <c r="AB5" s="359">
        <v>45778.0</v>
      </c>
      <c r="AD5" s="359">
        <v>45748.0</v>
      </c>
      <c r="AE5" s="359">
        <v>45778.0</v>
      </c>
      <c r="AH5" s="359">
        <v>46113.0</v>
      </c>
      <c r="AI5" s="359">
        <v>46143.0</v>
      </c>
      <c r="AK5" s="359">
        <v>46113.0</v>
      </c>
      <c r="AL5" s="359">
        <v>46143.0</v>
      </c>
      <c r="AM5" s="360"/>
      <c r="AN5" s="360"/>
      <c r="AO5" s="360"/>
    </row>
    <row r="6" ht="15.75" customHeight="1">
      <c r="A6" s="288"/>
      <c r="B6" s="288"/>
      <c r="C6" s="34"/>
      <c r="D6" s="35"/>
      <c r="E6" s="35"/>
      <c r="F6" s="35"/>
      <c r="G6" s="35"/>
      <c r="H6" s="35"/>
      <c r="I6" s="36"/>
      <c r="J6" s="357"/>
      <c r="K6" s="357"/>
      <c r="L6" s="357"/>
      <c r="M6" s="357"/>
      <c r="N6" s="34"/>
      <c r="O6" s="35"/>
      <c r="P6" s="35"/>
      <c r="Q6" s="35"/>
      <c r="R6" s="35"/>
      <c r="S6" s="35"/>
      <c r="T6" s="36"/>
      <c r="U6" s="358"/>
      <c r="V6" s="358"/>
      <c r="W6" s="358"/>
      <c r="X6" s="358"/>
      <c r="Z6" s="2" t="s">
        <v>45</v>
      </c>
      <c r="AA6" s="55"/>
      <c r="AB6" s="55"/>
      <c r="AC6" s="66" t="str">
        <f t="shared" ref="AC6:AC12" si="1">AB6/AA6-1</f>
        <v>#DIV/0!</v>
      </c>
      <c r="AD6" s="229"/>
      <c r="AE6" s="229"/>
      <c r="AF6" s="66" t="str">
        <f t="shared" ref="AF6:AF12" si="2">AE6/AD6-1</f>
        <v>#DIV/0!</v>
      </c>
      <c r="AG6" s="2" t="s">
        <v>45</v>
      </c>
      <c r="AH6" s="229"/>
      <c r="AI6" s="274" t="str">
        <f t="shared" ref="AI6:AI12" si="3">AH6*AC6+AH6</f>
        <v>#DIV/0!</v>
      </c>
      <c r="AJ6" s="75"/>
      <c r="AK6" s="229"/>
      <c r="AL6" s="274" t="str">
        <f t="shared" ref="AL6:AL12" si="4">AK6*AF6+AK6</f>
        <v>#DIV/0!</v>
      </c>
      <c r="AM6" s="361"/>
      <c r="AN6" s="361"/>
      <c r="AO6" s="361"/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6"/>
      <c r="J7" s="202"/>
      <c r="K7" s="202"/>
      <c r="L7" s="202"/>
      <c r="M7" s="202"/>
      <c r="N7" s="202" t="s">
        <v>28</v>
      </c>
      <c r="O7" s="35"/>
      <c r="P7" s="35"/>
      <c r="Q7" s="35"/>
      <c r="R7" s="35"/>
      <c r="S7" s="35"/>
      <c r="T7" s="35"/>
      <c r="U7" s="362"/>
      <c r="V7" s="362"/>
      <c r="W7" s="362"/>
      <c r="X7" s="362"/>
      <c r="Z7" s="8" t="s">
        <v>46</v>
      </c>
      <c r="AA7" s="55"/>
      <c r="AB7" s="55"/>
      <c r="AC7" s="66" t="str">
        <f t="shared" si="1"/>
        <v>#DIV/0!</v>
      </c>
      <c r="AD7" s="229"/>
      <c r="AE7" s="229"/>
      <c r="AF7" s="66" t="str">
        <f t="shared" si="2"/>
        <v>#DIV/0!</v>
      </c>
      <c r="AG7" s="8" t="s">
        <v>46</v>
      </c>
      <c r="AH7" s="229"/>
      <c r="AI7" s="274" t="str">
        <f t="shared" si="3"/>
        <v>#DIV/0!</v>
      </c>
      <c r="AJ7" s="75"/>
      <c r="AK7" s="229"/>
      <c r="AL7" s="274" t="str">
        <f t="shared" si="4"/>
        <v>#DIV/0!</v>
      </c>
      <c r="AM7" s="361"/>
      <c r="AN7" s="361"/>
      <c r="AO7" s="361"/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254</v>
      </c>
      <c r="X8" s="44" t="s">
        <v>166</v>
      </c>
      <c r="Z8" s="2" t="s">
        <v>40</v>
      </c>
      <c r="AA8" s="55"/>
      <c r="AB8" s="55"/>
      <c r="AC8" s="66" t="str">
        <f t="shared" si="1"/>
        <v>#DIV/0!</v>
      </c>
      <c r="AD8" s="229"/>
      <c r="AE8" s="229"/>
      <c r="AF8" s="66" t="str">
        <f t="shared" si="2"/>
        <v>#DIV/0!</v>
      </c>
      <c r="AG8" s="2" t="s">
        <v>40</v>
      </c>
      <c r="AH8" s="229"/>
      <c r="AI8" s="274" t="str">
        <f t="shared" si="3"/>
        <v>#DIV/0!</v>
      </c>
      <c r="AJ8" s="75"/>
      <c r="AK8" s="229"/>
      <c r="AL8" s="274" t="str">
        <f t="shared" si="4"/>
        <v>#DIV/0!</v>
      </c>
      <c r="AM8" s="361"/>
      <c r="AN8" s="361"/>
      <c r="AO8" s="361"/>
    </row>
    <row r="9" ht="15.75" customHeight="1">
      <c r="A9" s="8"/>
      <c r="B9" s="8"/>
      <c r="C9" s="207">
        <v>46143.0</v>
      </c>
      <c r="D9" s="208" t="str">
        <f t="shared" ref="D9:D39" si="6">TEXT(C9,"ddd")</f>
        <v>sex.</v>
      </c>
      <c r="E9" s="209">
        <f>26234</f>
        <v>26234</v>
      </c>
      <c r="F9" s="209">
        <f>26234-322</f>
        <v>25912</v>
      </c>
      <c r="G9" s="51">
        <f t="shared" ref="G9:G39" si="8">F9-E9</f>
        <v>-322</v>
      </c>
      <c r="H9" s="210">
        <v>107.0</v>
      </c>
      <c r="I9" s="265">
        <f t="shared" ref="I9:I39" si="9">F9/H9</f>
        <v>242.1682243</v>
      </c>
      <c r="J9" s="363">
        <v>31.0</v>
      </c>
      <c r="K9" s="364">
        <f>12+70</f>
        <v>82</v>
      </c>
      <c r="L9" s="363">
        <v>41.0</v>
      </c>
      <c r="M9" s="364">
        <f t="shared" ref="M9:M39" si="10">L9+K9+J9</f>
        <v>154</v>
      </c>
      <c r="N9" s="350">
        <f t="shared" ref="N9:N39" si="11">C9</f>
        <v>46143</v>
      </c>
      <c r="O9" s="204" t="str">
        <f t="shared" ref="O9:O39" si="12">TEXT(N9,"ddd")</f>
        <v>sex.</v>
      </c>
      <c r="P9" s="213">
        <f t="shared" ref="P9:Q9" si="5">9055.3+5574.84-1019.57</f>
        <v>13610.57</v>
      </c>
      <c r="Q9" s="213">
        <f t="shared" si="5"/>
        <v>13610.57</v>
      </c>
      <c r="R9" s="51">
        <f t="shared" ref="R9:R39" si="14">Q9-P9</f>
        <v>0</v>
      </c>
      <c r="S9" s="217">
        <v>80.0</v>
      </c>
      <c r="T9" s="291">
        <f t="shared" ref="T9:T39" si="15">Q9/S9</f>
        <v>170.132125</v>
      </c>
      <c r="U9" s="217">
        <v>31.0</v>
      </c>
      <c r="V9" s="291">
        <f>7.5+47.5</f>
        <v>55</v>
      </c>
      <c r="W9" s="217">
        <v>23.0</v>
      </c>
      <c r="X9" s="291">
        <f t="shared" ref="X9:X39" si="16">W9+V9+U9</f>
        <v>109</v>
      </c>
      <c r="Z9" s="2" t="s">
        <v>47</v>
      </c>
      <c r="AA9" s="55"/>
      <c r="AB9" s="55"/>
      <c r="AC9" s="66" t="str">
        <f t="shared" si="1"/>
        <v>#DIV/0!</v>
      </c>
      <c r="AD9" s="229"/>
      <c r="AE9" s="229"/>
      <c r="AF9" s="66" t="str">
        <f t="shared" si="2"/>
        <v>#DIV/0!</v>
      </c>
      <c r="AG9" s="2" t="s">
        <v>47</v>
      </c>
      <c r="AH9" s="229"/>
      <c r="AI9" s="274" t="str">
        <f t="shared" si="3"/>
        <v>#DIV/0!</v>
      </c>
      <c r="AJ9" s="75"/>
      <c r="AK9" s="229"/>
      <c r="AL9" s="274" t="str">
        <f t="shared" si="4"/>
        <v>#DIV/0!</v>
      </c>
      <c r="AM9" s="361"/>
      <c r="AN9" s="361"/>
      <c r="AO9" s="361"/>
    </row>
    <row r="10" ht="15.75" customHeight="1">
      <c r="A10" s="8"/>
      <c r="B10" s="8"/>
      <c r="C10" s="207">
        <v>46144.0</v>
      </c>
      <c r="D10" s="208" t="str">
        <f t="shared" si="6"/>
        <v>sáb.</v>
      </c>
      <c r="E10" s="209">
        <f t="shared" ref="E10:F10" si="7">33184.09-40</f>
        <v>33144.09</v>
      </c>
      <c r="F10" s="209">
        <f t="shared" si="7"/>
        <v>33144.09</v>
      </c>
      <c r="G10" s="51">
        <f t="shared" si="8"/>
        <v>0</v>
      </c>
      <c r="H10" s="210">
        <v>133.0</v>
      </c>
      <c r="I10" s="265">
        <f t="shared" si="9"/>
        <v>249.2036842</v>
      </c>
      <c r="J10" s="363">
        <v>37.0</v>
      </c>
      <c r="K10" s="364">
        <f>14+62</f>
        <v>76</v>
      </c>
      <c r="L10" s="363">
        <v>70.0</v>
      </c>
      <c r="M10" s="364">
        <f t="shared" si="10"/>
        <v>183</v>
      </c>
      <c r="N10" s="350">
        <f t="shared" si="11"/>
        <v>46144</v>
      </c>
      <c r="O10" s="204" t="str">
        <f t="shared" si="12"/>
        <v>sáb.</v>
      </c>
      <c r="P10" s="213">
        <f t="shared" ref="P10:Q10" si="13">8785.12+5663.54-970.31</f>
        <v>13478.35</v>
      </c>
      <c r="Q10" s="213">
        <f t="shared" si="13"/>
        <v>13478.35</v>
      </c>
      <c r="R10" s="51">
        <f t="shared" si="14"/>
        <v>0</v>
      </c>
      <c r="S10" s="217">
        <v>81.0</v>
      </c>
      <c r="T10" s="291">
        <f t="shared" si="15"/>
        <v>166.3993827</v>
      </c>
      <c r="U10" s="217">
        <v>26.0</v>
      </c>
      <c r="V10" s="291">
        <f>5.5+45.5</f>
        <v>51</v>
      </c>
      <c r="W10" s="217">
        <v>24.0</v>
      </c>
      <c r="X10" s="291">
        <f t="shared" si="16"/>
        <v>101</v>
      </c>
      <c r="Z10" s="2" t="s">
        <v>48</v>
      </c>
      <c r="AA10" s="55"/>
      <c r="AB10" s="55"/>
      <c r="AC10" s="66" t="str">
        <f t="shared" si="1"/>
        <v>#DIV/0!</v>
      </c>
      <c r="AD10" s="229"/>
      <c r="AE10" s="229"/>
      <c r="AF10" s="66" t="str">
        <f t="shared" si="2"/>
        <v>#DIV/0!</v>
      </c>
      <c r="AG10" s="2" t="s">
        <v>48</v>
      </c>
      <c r="AH10" s="229"/>
      <c r="AI10" s="274" t="str">
        <f t="shared" si="3"/>
        <v>#DIV/0!</v>
      </c>
      <c r="AJ10" s="75"/>
      <c r="AK10" s="229"/>
      <c r="AL10" s="274" t="str">
        <f t="shared" si="4"/>
        <v>#DIV/0!</v>
      </c>
      <c r="AM10" s="361"/>
      <c r="AN10" s="361"/>
      <c r="AO10" s="361"/>
    </row>
    <row r="11" ht="15.75" customHeight="1">
      <c r="A11" s="8"/>
      <c r="B11" s="8"/>
      <c r="C11" s="207">
        <v>46145.0</v>
      </c>
      <c r="D11" s="208" t="str">
        <f t="shared" si="6"/>
        <v>dom.</v>
      </c>
      <c r="E11" s="209">
        <f t="shared" ref="E11:F11" si="17">12772.5-1143.7+13732.6-1253.41-280</f>
        <v>23827.99</v>
      </c>
      <c r="F11" s="209">
        <f t="shared" si="17"/>
        <v>23827.99</v>
      </c>
      <c r="G11" s="51">
        <f t="shared" si="8"/>
        <v>0</v>
      </c>
      <c r="H11" s="210">
        <v>120.0</v>
      </c>
      <c r="I11" s="265">
        <f t="shared" si="9"/>
        <v>198.5665833</v>
      </c>
      <c r="J11" s="363">
        <v>29.0</v>
      </c>
      <c r="K11" s="364">
        <f>9.5+59.5</f>
        <v>69</v>
      </c>
      <c r="L11" s="363">
        <v>54.0</v>
      </c>
      <c r="M11" s="364">
        <f t="shared" si="10"/>
        <v>152</v>
      </c>
      <c r="N11" s="350">
        <f t="shared" si="11"/>
        <v>46145</v>
      </c>
      <c r="O11" s="204" t="str">
        <f t="shared" si="12"/>
        <v>dom.</v>
      </c>
      <c r="P11" s="213">
        <f t="shared" ref="P11:Q11" si="18">13471.6+7097.44-1581.5</f>
        <v>18987.54</v>
      </c>
      <c r="Q11" s="213">
        <f t="shared" si="18"/>
        <v>18987.54</v>
      </c>
      <c r="R11" s="51">
        <f t="shared" si="14"/>
        <v>0</v>
      </c>
      <c r="S11" s="217">
        <v>115.0</v>
      </c>
      <c r="T11" s="291">
        <f t="shared" si="15"/>
        <v>165.1090435</v>
      </c>
      <c r="U11" s="217">
        <v>35.0</v>
      </c>
      <c r="V11" s="291">
        <f>11+61</f>
        <v>72</v>
      </c>
      <c r="W11" s="217">
        <v>36.0</v>
      </c>
      <c r="X11" s="291">
        <f t="shared" si="16"/>
        <v>143</v>
      </c>
      <c r="Z11" s="2" t="s">
        <v>171</v>
      </c>
      <c r="AA11" s="55"/>
      <c r="AB11" s="55"/>
      <c r="AC11" s="66" t="str">
        <f t="shared" si="1"/>
        <v>#DIV/0!</v>
      </c>
      <c r="AD11" s="229"/>
      <c r="AE11" s="229"/>
      <c r="AF11" s="66" t="str">
        <f t="shared" si="2"/>
        <v>#DIV/0!</v>
      </c>
      <c r="AG11" s="2" t="s">
        <v>171</v>
      </c>
      <c r="AH11" s="229"/>
      <c r="AI11" s="274" t="str">
        <f t="shared" si="3"/>
        <v>#DIV/0!</v>
      </c>
      <c r="AJ11" s="75"/>
      <c r="AK11" s="229"/>
      <c r="AL11" s="274" t="str">
        <f t="shared" si="4"/>
        <v>#DIV/0!</v>
      </c>
      <c r="AM11" s="361"/>
      <c r="AN11" s="361"/>
      <c r="AO11" s="361"/>
    </row>
    <row r="12" ht="15.75" customHeight="1">
      <c r="A12" s="8"/>
      <c r="B12" s="8"/>
      <c r="C12" s="207">
        <v>46146.0</v>
      </c>
      <c r="D12" s="208" t="str">
        <f t="shared" si="6"/>
        <v>seg.</v>
      </c>
      <c r="E12" s="341">
        <v>6000.0</v>
      </c>
      <c r="F12" s="341">
        <f>6872.5</f>
        <v>6872.5</v>
      </c>
      <c r="G12" s="51">
        <f t="shared" si="8"/>
        <v>872.5</v>
      </c>
      <c r="H12" s="210">
        <v>23.0</v>
      </c>
      <c r="I12" s="265">
        <f t="shared" si="9"/>
        <v>298.8043478</v>
      </c>
      <c r="J12" s="363">
        <v>9.0</v>
      </c>
      <c r="K12" s="364">
        <f>2.5+21.5</f>
        <v>24</v>
      </c>
      <c r="L12" s="363">
        <v>10.0</v>
      </c>
      <c r="M12" s="364">
        <f t="shared" si="10"/>
        <v>43</v>
      </c>
      <c r="N12" s="350">
        <f t="shared" si="11"/>
        <v>46146</v>
      </c>
      <c r="O12" s="204" t="str">
        <f t="shared" si="12"/>
        <v>seg.</v>
      </c>
      <c r="P12" s="351">
        <v>3700.0</v>
      </c>
      <c r="Q12" s="213">
        <f>1245.88+2034.66-259.71</f>
        <v>3020.83</v>
      </c>
      <c r="R12" s="51">
        <f t="shared" si="14"/>
        <v>-679.17</v>
      </c>
      <c r="S12" s="217">
        <v>20.0</v>
      </c>
      <c r="T12" s="291">
        <f t="shared" si="15"/>
        <v>151.0415</v>
      </c>
      <c r="U12" s="217">
        <v>4.0</v>
      </c>
      <c r="V12" s="291">
        <f>2.5+12.5</f>
        <v>15</v>
      </c>
      <c r="W12" s="217">
        <v>4.0</v>
      </c>
      <c r="X12" s="291">
        <f t="shared" si="16"/>
        <v>23</v>
      </c>
      <c r="Z12" s="2" t="s">
        <v>44</v>
      </c>
      <c r="AA12" s="55"/>
      <c r="AB12" s="55"/>
      <c r="AC12" s="66" t="str">
        <f t="shared" si="1"/>
        <v>#DIV/0!</v>
      </c>
      <c r="AD12" s="229"/>
      <c r="AE12" s="229"/>
      <c r="AF12" s="66" t="str">
        <f t="shared" si="2"/>
        <v>#DIV/0!</v>
      </c>
      <c r="AG12" s="2" t="s">
        <v>44</v>
      </c>
      <c r="AH12" s="229"/>
      <c r="AI12" s="274" t="str">
        <f t="shared" si="3"/>
        <v>#DIV/0!</v>
      </c>
      <c r="AJ12" s="75"/>
      <c r="AK12" s="229"/>
      <c r="AL12" s="274" t="str">
        <f t="shared" si="4"/>
        <v>#DIV/0!</v>
      </c>
      <c r="AM12" s="361"/>
      <c r="AN12" s="361"/>
      <c r="AO12" s="361"/>
    </row>
    <row r="13" ht="15.75" customHeight="1">
      <c r="A13" s="8"/>
      <c r="B13" s="8"/>
      <c r="C13" s="207">
        <v>46147.0</v>
      </c>
      <c r="D13" s="208" t="str">
        <f t="shared" si="6"/>
        <v>ter.</v>
      </c>
      <c r="E13" s="341">
        <v>6500.0</v>
      </c>
      <c r="F13" s="209">
        <f>13235</f>
        <v>13235</v>
      </c>
      <c r="G13" s="51">
        <f t="shared" si="8"/>
        <v>6735</v>
      </c>
      <c r="H13" s="210">
        <v>36.0</v>
      </c>
      <c r="I13" s="265">
        <f t="shared" si="9"/>
        <v>367.6388889</v>
      </c>
      <c r="J13" s="363">
        <v>9.0</v>
      </c>
      <c r="K13" s="364">
        <f>4+28</f>
        <v>32</v>
      </c>
      <c r="L13" s="363">
        <v>34.0</v>
      </c>
      <c r="M13" s="364">
        <f t="shared" si="10"/>
        <v>75</v>
      </c>
      <c r="N13" s="350">
        <f t="shared" si="11"/>
        <v>46147</v>
      </c>
      <c r="O13" s="204" t="str">
        <f t="shared" si="12"/>
        <v>ter.</v>
      </c>
      <c r="P13" s="351">
        <v>3700.0</v>
      </c>
      <c r="Q13" s="213">
        <f>1896.81+3475.4-467.64</f>
        <v>4904.57</v>
      </c>
      <c r="R13" s="51">
        <f t="shared" si="14"/>
        <v>1204.57</v>
      </c>
      <c r="S13" s="217">
        <v>38.0</v>
      </c>
      <c r="T13" s="291">
        <f t="shared" si="15"/>
        <v>129.0676316</v>
      </c>
      <c r="U13" s="217">
        <v>11.0</v>
      </c>
      <c r="V13" s="291">
        <f>5.5+20.5</f>
        <v>26</v>
      </c>
      <c r="W13" s="217">
        <v>4.0</v>
      </c>
      <c r="X13" s="291">
        <f t="shared" si="16"/>
        <v>41</v>
      </c>
      <c r="AA13" s="167">
        <f t="shared" ref="AA13:AB13" si="19">SUM(AA6:AA12)</f>
        <v>0</v>
      </c>
      <c r="AB13" s="167">
        <f t="shared" si="19"/>
        <v>0</v>
      </c>
      <c r="AC13" s="61"/>
      <c r="AD13" s="167">
        <f t="shared" ref="AD13:AE13" si="20">SUM(AD6:AD12)</f>
        <v>0</v>
      </c>
      <c r="AE13" s="167">
        <f t="shared" si="20"/>
        <v>0</v>
      </c>
      <c r="AF13" s="61"/>
      <c r="AH13" s="167">
        <f t="shared" ref="AH13:AI13" si="21">SUM(AH6:AH12)</f>
        <v>0</v>
      </c>
      <c r="AI13" s="167" t="str">
        <f t="shared" si="21"/>
        <v>#DIV/0!</v>
      </c>
      <c r="AJ13" s="61"/>
      <c r="AK13" s="167">
        <f t="shared" ref="AK13:AL13" si="22">SUM(AK6:AK12)</f>
        <v>0</v>
      </c>
      <c r="AL13" s="167" t="str">
        <f t="shared" si="22"/>
        <v>#DIV/0!</v>
      </c>
      <c r="AM13" s="371"/>
      <c r="AN13" s="371"/>
      <c r="AO13" s="371"/>
    </row>
    <row r="14" ht="15.75" customHeight="1">
      <c r="A14" s="8"/>
      <c r="B14" s="8"/>
      <c r="C14" s="207">
        <v>46148.0</v>
      </c>
      <c r="D14" s="208" t="str">
        <f t="shared" si="6"/>
        <v>qua.</v>
      </c>
      <c r="E14" s="341">
        <v>8700.0</v>
      </c>
      <c r="F14" s="209">
        <f>16860.5</f>
        <v>16860.5</v>
      </c>
      <c r="G14" s="51">
        <f t="shared" si="8"/>
        <v>8160.5</v>
      </c>
      <c r="H14" s="210">
        <v>74.0</v>
      </c>
      <c r="I14" s="265">
        <f t="shared" si="9"/>
        <v>227.8445946</v>
      </c>
      <c r="J14" s="363">
        <v>16.0</v>
      </c>
      <c r="K14" s="364">
        <f>12+45</f>
        <v>57</v>
      </c>
      <c r="L14" s="363">
        <v>22.0</v>
      </c>
      <c r="M14" s="364">
        <f t="shared" si="10"/>
        <v>95</v>
      </c>
      <c r="N14" s="350">
        <f t="shared" si="11"/>
        <v>46148</v>
      </c>
      <c r="O14" s="204" t="str">
        <f t="shared" si="12"/>
        <v>qua.</v>
      </c>
      <c r="P14" s="351">
        <v>4750.0</v>
      </c>
      <c r="Q14" s="213">
        <f>3141.73+2204.51-325.52</f>
        <v>5020.72</v>
      </c>
      <c r="R14" s="51">
        <f t="shared" si="14"/>
        <v>270.72</v>
      </c>
      <c r="S14" s="217">
        <v>29.0</v>
      </c>
      <c r="T14" s="291">
        <f t="shared" si="15"/>
        <v>173.1282759</v>
      </c>
      <c r="U14" s="217">
        <v>7.0</v>
      </c>
      <c r="V14" s="291">
        <f>1.5+17.5</f>
        <v>19</v>
      </c>
      <c r="W14" s="217">
        <v>8.0</v>
      </c>
      <c r="X14" s="291">
        <f t="shared" si="16"/>
        <v>34</v>
      </c>
      <c r="AB14" s="66" t="str">
        <f>AB13/AA13-1</f>
        <v>#DIV/0!</v>
      </c>
      <c r="AE14" s="66" t="str">
        <f>AE13/AD13-1</f>
        <v>#DIV/0!</v>
      </c>
      <c r="AI14" s="66" t="str">
        <f>AI13/AH13-1</f>
        <v>#DIV/0!</v>
      </c>
      <c r="AL14" s="66" t="str">
        <f>AL13/AK13-1</f>
        <v>#DIV/0!</v>
      </c>
      <c r="AM14" s="66"/>
      <c r="AN14" s="66"/>
      <c r="AO14" s="66"/>
    </row>
    <row r="15" ht="15.75" customHeight="1">
      <c r="A15" s="8"/>
      <c r="B15" s="8"/>
      <c r="C15" s="207">
        <v>46149.0</v>
      </c>
      <c r="D15" s="208" t="str">
        <f t="shared" si="6"/>
        <v>qui.</v>
      </c>
      <c r="E15" s="341">
        <v>12000.0</v>
      </c>
      <c r="F15" s="209">
        <f>10617.5</f>
        <v>10617.5</v>
      </c>
      <c r="G15" s="51">
        <f t="shared" si="8"/>
        <v>-1382.5</v>
      </c>
      <c r="H15" s="210">
        <v>47.0</v>
      </c>
      <c r="I15" s="265">
        <f t="shared" si="9"/>
        <v>225.9042553</v>
      </c>
      <c r="J15" s="363">
        <v>12.0</v>
      </c>
      <c r="K15" s="364">
        <f>3.5+23.5</f>
        <v>27</v>
      </c>
      <c r="L15" s="363">
        <v>23.0</v>
      </c>
      <c r="M15" s="364">
        <f t="shared" si="10"/>
        <v>62</v>
      </c>
      <c r="N15" s="350">
        <f t="shared" si="11"/>
        <v>46149</v>
      </c>
      <c r="O15" s="204" t="str">
        <f t="shared" si="12"/>
        <v>qui.</v>
      </c>
      <c r="P15" s="351">
        <v>4700.0</v>
      </c>
      <c r="Q15" s="213">
        <f>2812.25+3727.65-412.81</f>
        <v>6127.09</v>
      </c>
      <c r="R15" s="51">
        <f t="shared" si="14"/>
        <v>1427.09</v>
      </c>
      <c r="S15" s="217">
        <v>35.0</v>
      </c>
      <c r="T15" s="291">
        <f t="shared" si="15"/>
        <v>175.0597143</v>
      </c>
      <c r="U15" s="217">
        <v>9.0</v>
      </c>
      <c r="V15" s="291">
        <f>2+23</f>
        <v>25</v>
      </c>
      <c r="W15" s="217">
        <v>10.0</v>
      </c>
      <c r="X15" s="291">
        <f t="shared" si="16"/>
        <v>44</v>
      </c>
    </row>
    <row r="16" ht="15.75" customHeight="1">
      <c r="A16" s="8"/>
      <c r="B16" s="8"/>
      <c r="C16" s="207">
        <v>46150.0</v>
      </c>
      <c r="D16" s="208" t="str">
        <f t="shared" si="6"/>
        <v>sex.</v>
      </c>
      <c r="E16" s="341">
        <v>18000.0</v>
      </c>
      <c r="F16" s="375">
        <f>25926-168</f>
        <v>25758</v>
      </c>
      <c r="G16" s="51">
        <f t="shared" si="8"/>
        <v>7758</v>
      </c>
      <c r="H16" s="210">
        <v>106.0</v>
      </c>
      <c r="I16" s="265">
        <f t="shared" si="9"/>
        <v>243</v>
      </c>
      <c r="J16" s="363">
        <v>31.0</v>
      </c>
      <c r="K16" s="364">
        <f>9.5+52.5</f>
        <v>62</v>
      </c>
      <c r="L16" s="363">
        <v>53.0</v>
      </c>
      <c r="M16" s="364">
        <f t="shared" si="10"/>
        <v>146</v>
      </c>
      <c r="N16" s="350">
        <f t="shared" si="11"/>
        <v>46150</v>
      </c>
      <c r="O16" s="204" t="str">
        <f t="shared" si="12"/>
        <v>sex.</v>
      </c>
      <c r="P16" s="351">
        <v>12000.0</v>
      </c>
      <c r="Q16" s="378">
        <f>8034.39+4146.45-848.34</f>
        <v>11332.5</v>
      </c>
      <c r="R16" s="51">
        <f t="shared" si="14"/>
        <v>-667.5</v>
      </c>
      <c r="S16" s="217">
        <v>74.0</v>
      </c>
      <c r="T16" s="291">
        <f t="shared" si="15"/>
        <v>153.1418919</v>
      </c>
      <c r="U16" s="217">
        <v>21.0</v>
      </c>
      <c r="V16" s="291">
        <f>5+44</f>
        <v>49</v>
      </c>
      <c r="W16" s="217">
        <v>15.0</v>
      </c>
      <c r="X16" s="291">
        <f t="shared" si="16"/>
        <v>85</v>
      </c>
    </row>
    <row r="17" ht="15.75" customHeight="1">
      <c r="A17" s="8"/>
      <c r="B17" s="8"/>
      <c r="C17" s="207">
        <v>46151.0</v>
      </c>
      <c r="D17" s="208" t="str">
        <f t="shared" si="6"/>
        <v>sáb.</v>
      </c>
      <c r="E17" s="341">
        <v>30000.0</v>
      </c>
      <c r="F17" s="209">
        <f>35229-4330-280</f>
        <v>30619</v>
      </c>
      <c r="G17" s="51">
        <f t="shared" si="8"/>
        <v>619</v>
      </c>
      <c r="H17" s="210">
        <v>116.0</v>
      </c>
      <c r="I17" s="265">
        <f t="shared" si="9"/>
        <v>263.9568966</v>
      </c>
      <c r="J17" s="363">
        <v>23.0</v>
      </c>
      <c r="K17" s="364">
        <f>11.5+65.5</f>
        <v>77</v>
      </c>
      <c r="L17" s="363">
        <v>64.0</v>
      </c>
      <c r="M17" s="364">
        <f t="shared" si="10"/>
        <v>164</v>
      </c>
      <c r="N17" s="350">
        <f t="shared" si="11"/>
        <v>46151</v>
      </c>
      <c r="O17" s="204" t="str">
        <f t="shared" si="12"/>
        <v>sáb.</v>
      </c>
      <c r="P17" s="351">
        <v>12900.0</v>
      </c>
      <c r="Q17" s="213">
        <f>8008.66+5842.32-911.86</f>
        <v>12939.12</v>
      </c>
      <c r="R17" s="51">
        <f t="shared" si="14"/>
        <v>39.12</v>
      </c>
      <c r="S17" s="217">
        <v>77.0</v>
      </c>
      <c r="T17" s="291">
        <f t="shared" si="15"/>
        <v>168.0405195</v>
      </c>
      <c r="U17" s="217">
        <v>20.0</v>
      </c>
      <c r="V17" s="291">
        <f>8.5+48.5</f>
        <v>57</v>
      </c>
      <c r="W17" s="217">
        <v>20.0</v>
      </c>
      <c r="X17" s="291">
        <f t="shared" si="16"/>
        <v>97</v>
      </c>
    </row>
    <row r="18" ht="15.75" customHeight="1">
      <c r="A18" s="8"/>
      <c r="B18" s="8"/>
      <c r="C18" s="207">
        <v>46152.0</v>
      </c>
      <c r="D18" s="208" t="str">
        <f t="shared" si="6"/>
        <v>dom.</v>
      </c>
      <c r="E18" s="341">
        <v>23000.0</v>
      </c>
      <c r="F18" s="209">
        <f>27015</f>
        <v>27015</v>
      </c>
      <c r="G18" s="51">
        <f t="shared" si="8"/>
        <v>4015</v>
      </c>
      <c r="H18" s="210">
        <v>114.0</v>
      </c>
      <c r="I18" s="265">
        <f t="shared" si="9"/>
        <v>236.9736842</v>
      </c>
      <c r="J18" s="363">
        <v>24.0</v>
      </c>
      <c r="K18" s="364">
        <f>9.5+47.5</f>
        <v>57</v>
      </c>
      <c r="L18" s="363">
        <v>69.0</v>
      </c>
      <c r="M18" s="364">
        <f t="shared" si="10"/>
        <v>150</v>
      </c>
      <c r="N18" s="350">
        <f t="shared" si="11"/>
        <v>46152</v>
      </c>
      <c r="O18" s="204" t="str">
        <f t="shared" si="12"/>
        <v>dom.</v>
      </c>
      <c r="P18" s="351">
        <v>23000.0</v>
      </c>
      <c r="Q18" s="213">
        <f>12689.7+9987.26-1678.69</f>
        <v>20998.27</v>
      </c>
      <c r="R18" s="51">
        <f t="shared" si="14"/>
        <v>-2001.73</v>
      </c>
      <c r="S18" s="217">
        <v>128.0</v>
      </c>
      <c r="T18" s="291">
        <f t="shared" si="15"/>
        <v>164.0489844</v>
      </c>
      <c r="U18" s="217">
        <v>33.0</v>
      </c>
      <c r="V18" s="291">
        <f>11.5+64.5</f>
        <v>76</v>
      </c>
      <c r="W18" s="217">
        <v>48.0</v>
      </c>
      <c r="X18" s="291">
        <f t="shared" si="16"/>
        <v>157</v>
      </c>
    </row>
    <row r="19" ht="15.75" customHeight="1">
      <c r="A19" s="8"/>
      <c r="B19" s="8"/>
      <c r="C19" s="207">
        <v>46153.0</v>
      </c>
      <c r="D19" s="208" t="str">
        <f t="shared" si="6"/>
        <v>seg.</v>
      </c>
      <c r="E19" s="341">
        <v>6000.0</v>
      </c>
      <c r="F19" s="341">
        <v>8985.7</v>
      </c>
      <c r="G19" s="51">
        <f t="shared" si="8"/>
        <v>2985.7</v>
      </c>
      <c r="H19" s="210">
        <v>32.0</v>
      </c>
      <c r="I19" s="265">
        <f t="shared" si="9"/>
        <v>280.803125</v>
      </c>
      <c r="J19" s="363">
        <v>5.0</v>
      </c>
      <c r="K19" s="364">
        <f>1.5+18.5</f>
        <v>20</v>
      </c>
      <c r="L19" s="363">
        <v>22.0</v>
      </c>
      <c r="M19" s="364">
        <f t="shared" si="10"/>
        <v>47</v>
      </c>
      <c r="N19" s="350">
        <f t="shared" si="11"/>
        <v>46153</v>
      </c>
      <c r="O19" s="204" t="str">
        <f t="shared" si="12"/>
        <v>seg.</v>
      </c>
      <c r="P19" s="351">
        <v>3700.0</v>
      </c>
      <c r="Q19" s="213">
        <f>2700.79+969.82-243.89</f>
        <v>3426.72</v>
      </c>
      <c r="R19" s="51">
        <f t="shared" si="14"/>
        <v>-273.28</v>
      </c>
      <c r="S19" s="217">
        <v>20.0</v>
      </c>
      <c r="T19" s="291">
        <f t="shared" si="15"/>
        <v>171.336</v>
      </c>
      <c r="U19" s="217">
        <v>6.0</v>
      </c>
      <c r="V19" s="291">
        <f>1+10</f>
        <v>11</v>
      </c>
      <c r="W19" s="217">
        <v>7.0</v>
      </c>
      <c r="X19" s="291">
        <f t="shared" si="16"/>
        <v>24</v>
      </c>
      <c r="AB19" s="70"/>
      <c r="AC19" s="71" t="s">
        <v>52</v>
      </c>
      <c r="AD19" s="72"/>
      <c r="AE19" s="73" t="s">
        <v>53</v>
      </c>
      <c r="AI19" s="384" t="s">
        <v>283</v>
      </c>
      <c r="AJ19" s="229" t="s">
        <v>221</v>
      </c>
      <c r="AK19" s="385" t="s">
        <v>219</v>
      </c>
      <c r="AL19" s="317"/>
      <c r="AM19" s="317"/>
      <c r="AN19" s="317"/>
      <c r="AO19" s="317"/>
    </row>
    <row r="20" ht="15.75" customHeight="1">
      <c r="A20" s="8"/>
      <c r="B20" s="8"/>
      <c r="C20" s="207">
        <v>46154.0</v>
      </c>
      <c r="D20" s="208" t="str">
        <f t="shared" si="6"/>
        <v>ter.</v>
      </c>
      <c r="E20" s="341">
        <v>6500.0</v>
      </c>
      <c r="F20" s="341">
        <v>7366.3</v>
      </c>
      <c r="G20" s="51">
        <f t="shared" si="8"/>
        <v>866.3</v>
      </c>
      <c r="H20" s="210">
        <v>28.0</v>
      </c>
      <c r="I20" s="265">
        <f t="shared" si="9"/>
        <v>263.0821429</v>
      </c>
      <c r="J20" s="363">
        <v>4.0</v>
      </c>
      <c r="K20" s="364">
        <f>3+17</f>
        <v>20</v>
      </c>
      <c r="L20" s="363">
        <v>17.0</v>
      </c>
      <c r="M20" s="364">
        <f t="shared" si="10"/>
        <v>41</v>
      </c>
      <c r="N20" s="350">
        <f t="shared" si="11"/>
        <v>46154</v>
      </c>
      <c r="O20" s="204" t="str">
        <f t="shared" si="12"/>
        <v>ter.</v>
      </c>
      <c r="P20" s="351">
        <v>3700.0</v>
      </c>
      <c r="Q20" s="213">
        <f>4116.83-321.82</f>
        <v>3795.01</v>
      </c>
      <c r="R20" s="51">
        <f t="shared" si="14"/>
        <v>95.01</v>
      </c>
      <c r="S20" s="217">
        <v>27.0</v>
      </c>
      <c r="T20" s="291">
        <f t="shared" si="15"/>
        <v>140.5559259</v>
      </c>
      <c r="U20" s="217">
        <v>4.0</v>
      </c>
      <c r="V20" s="291">
        <f>3.5+16.5</f>
        <v>20</v>
      </c>
      <c r="W20" s="217">
        <v>5.0</v>
      </c>
      <c r="X20" s="291">
        <f t="shared" si="16"/>
        <v>29</v>
      </c>
      <c r="AB20" s="74" t="s">
        <v>29</v>
      </c>
      <c r="AC20" s="386">
        <v>500000.0</v>
      </c>
      <c r="AD20" s="2" t="s">
        <v>29</v>
      </c>
      <c r="AE20" s="365">
        <v>300000.0</v>
      </c>
      <c r="AI20" s="387">
        <v>500000.0</v>
      </c>
      <c r="AJ20" s="387">
        <v>545988.0</v>
      </c>
      <c r="AK20" s="346">
        <f>AJ20*0.008</f>
        <v>4367.904</v>
      </c>
      <c r="AL20" s="366"/>
      <c r="AM20" s="366"/>
      <c r="AN20" s="366"/>
      <c r="AO20" s="366"/>
    </row>
    <row r="21" ht="15.75" customHeight="1">
      <c r="A21" s="8"/>
      <c r="B21" s="8"/>
      <c r="C21" s="207">
        <v>46155.0</v>
      </c>
      <c r="D21" s="208" t="str">
        <f t="shared" si="6"/>
        <v>qua.</v>
      </c>
      <c r="E21" s="341">
        <v>8700.0</v>
      </c>
      <c r="F21" s="341">
        <v>10703.5</v>
      </c>
      <c r="G21" s="51">
        <f t="shared" si="8"/>
        <v>2003.5</v>
      </c>
      <c r="H21" s="210">
        <v>39.0</v>
      </c>
      <c r="I21" s="265">
        <f t="shared" si="9"/>
        <v>274.4487179</v>
      </c>
      <c r="J21" s="363">
        <v>7.0</v>
      </c>
      <c r="K21" s="364">
        <f>4+26</f>
        <v>30</v>
      </c>
      <c r="L21" s="363">
        <v>24.0</v>
      </c>
      <c r="M21" s="364">
        <f t="shared" si="10"/>
        <v>61</v>
      </c>
      <c r="N21" s="350">
        <f t="shared" si="11"/>
        <v>46155</v>
      </c>
      <c r="O21" s="204" t="str">
        <f t="shared" si="12"/>
        <v>qua.</v>
      </c>
      <c r="P21" s="351">
        <v>4750.0</v>
      </c>
      <c r="Q21" s="213">
        <f>3750.66-326.04</f>
        <v>3424.62</v>
      </c>
      <c r="R21" s="51">
        <f t="shared" si="14"/>
        <v>-1325.38</v>
      </c>
      <c r="S21" s="217">
        <v>23.0</v>
      </c>
      <c r="T21" s="291">
        <f t="shared" si="15"/>
        <v>148.8965217</v>
      </c>
      <c r="U21" s="217">
        <v>4.0</v>
      </c>
      <c r="V21" s="291">
        <f>3+8</f>
        <v>11</v>
      </c>
      <c r="W21" s="217">
        <v>7.0</v>
      </c>
      <c r="X21" s="291">
        <f t="shared" si="16"/>
        <v>22</v>
      </c>
      <c r="AB21" s="74"/>
      <c r="AC21" s="2"/>
      <c r="AD21" s="2"/>
      <c r="AE21" s="77"/>
      <c r="AI21" s="388" t="s">
        <v>284</v>
      </c>
      <c r="AJ21" s="389">
        <f>AK20*60%-AK21</f>
        <v>2067.194013</v>
      </c>
      <c r="AK21" s="390">
        <f>AJ28+AJ29+AJ30+AJ31</f>
        <v>553.5483871</v>
      </c>
      <c r="AL21" s="368"/>
      <c r="AM21" s="368"/>
      <c r="AN21" s="368"/>
      <c r="AO21" s="368"/>
    </row>
    <row r="22" ht="15.75" customHeight="1">
      <c r="A22" s="8"/>
      <c r="B22" s="8"/>
      <c r="C22" s="207">
        <v>46156.0</v>
      </c>
      <c r="D22" s="208" t="str">
        <f t="shared" si="6"/>
        <v>qui.</v>
      </c>
      <c r="E22" s="341">
        <v>12000.0</v>
      </c>
      <c r="F22" s="341">
        <v>13509.5</v>
      </c>
      <c r="G22" s="51">
        <f t="shared" si="8"/>
        <v>1509.5</v>
      </c>
      <c r="H22" s="210">
        <v>46.0</v>
      </c>
      <c r="I22" s="265">
        <f t="shared" si="9"/>
        <v>293.6847826</v>
      </c>
      <c r="J22" s="363">
        <v>11.0</v>
      </c>
      <c r="K22" s="364">
        <f>5+34</f>
        <v>39</v>
      </c>
      <c r="L22" s="363">
        <v>26.0</v>
      </c>
      <c r="M22" s="364">
        <f t="shared" si="10"/>
        <v>76</v>
      </c>
      <c r="N22" s="350">
        <f t="shared" si="11"/>
        <v>46156</v>
      </c>
      <c r="O22" s="204" t="str">
        <f t="shared" si="12"/>
        <v>qui.</v>
      </c>
      <c r="P22" s="351">
        <v>4700.0</v>
      </c>
      <c r="Q22" s="213">
        <f>6336.4-496.43</f>
        <v>5839.97</v>
      </c>
      <c r="R22" s="51">
        <f t="shared" si="14"/>
        <v>1139.97</v>
      </c>
      <c r="S22" s="217">
        <v>37.0</v>
      </c>
      <c r="T22" s="291">
        <f t="shared" si="15"/>
        <v>157.837027</v>
      </c>
      <c r="U22" s="217">
        <v>9.0</v>
      </c>
      <c r="V22" s="291">
        <f>3+21</f>
        <v>24</v>
      </c>
      <c r="W22" s="217">
        <v>10.0</v>
      </c>
      <c r="X22" s="291">
        <f t="shared" si="16"/>
        <v>43</v>
      </c>
      <c r="AB22" s="74" t="s">
        <v>58</v>
      </c>
      <c r="AC22" s="75">
        <f>SUM(F9:F15)</f>
        <v>130469.58</v>
      </c>
      <c r="AD22" s="58" t="s">
        <v>58</v>
      </c>
      <c r="AE22" s="76">
        <f>SUM(Q9:Q15)</f>
        <v>65149.67</v>
      </c>
      <c r="AI22" s="339"/>
      <c r="AJ22" s="229"/>
      <c r="AK22" s="391"/>
      <c r="AL22" s="370"/>
      <c r="AM22" s="370"/>
      <c r="AN22" s="370"/>
      <c r="AO22" s="370"/>
    </row>
    <row r="23" ht="15.75" customHeight="1">
      <c r="A23" s="8"/>
      <c r="B23" s="8"/>
      <c r="C23" s="207">
        <v>46157.0</v>
      </c>
      <c r="D23" s="208" t="str">
        <f t="shared" si="6"/>
        <v>sex.</v>
      </c>
      <c r="E23" s="341">
        <v>18000.0</v>
      </c>
      <c r="F23" s="209">
        <f>24151-217</f>
        <v>23934</v>
      </c>
      <c r="G23" s="51">
        <f t="shared" si="8"/>
        <v>5934</v>
      </c>
      <c r="H23" s="210">
        <v>66.0</v>
      </c>
      <c r="I23" s="265">
        <f t="shared" si="9"/>
        <v>362.6363636</v>
      </c>
      <c r="J23" s="363">
        <v>24.0</v>
      </c>
      <c r="K23" s="364">
        <f>5+33</f>
        <v>38</v>
      </c>
      <c r="L23" s="363">
        <v>55.0</v>
      </c>
      <c r="M23" s="364">
        <f t="shared" si="10"/>
        <v>117</v>
      </c>
      <c r="N23" s="350">
        <f t="shared" si="11"/>
        <v>46157</v>
      </c>
      <c r="O23" s="204" t="str">
        <f t="shared" si="12"/>
        <v>sex.</v>
      </c>
      <c r="P23" s="351">
        <v>12000.0</v>
      </c>
      <c r="Q23" s="213">
        <f>8983.91-677.8</f>
        <v>8306.11</v>
      </c>
      <c r="R23" s="51">
        <f t="shared" si="14"/>
        <v>-3693.89</v>
      </c>
      <c r="S23" s="217">
        <v>51.0</v>
      </c>
      <c r="T23" s="291">
        <f t="shared" si="15"/>
        <v>162.864902</v>
      </c>
      <c r="U23" s="217">
        <v>15.0</v>
      </c>
      <c r="V23" s="291">
        <f>7.5+23.5</f>
        <v>31</v>
      </c>
      <c r="W23" s="217">
        <v>17.0</v>
      </c>
      <c r="X23" s="291">
        <f t="shared" si="16"/>
        <v>63</v>
      </c>
      <c r="AB23" s="74"/>
      <c r="AC23" s="79">
        <f>AC22/AC20</f>
        <v>0.26093916</v>
      </c>
      <c r="AE23" s="80">
        <f>AE22/AE20</f>
        <v>0.2171655667</v>
      </c>
      <c r="AF23" s="66"/>
      <c r="AI23" s="339" t="s">
        <v>285</v>
      </c>
      <c r="AJ23" s="346">
        <f>AJ21*AK23</f>
        <v>438.0384113</v>
      </c>
      <c r="AK23" s="391">
        <v>0.2119</v>
      </c>
      <c r="AL23" s="370"/>
      <c r="AM23" s="370"/>
      <c r="AN23" s="370"/>
      <c r="AO23" s="370"/>
    </row>
    <row r="24" ht="15.75" customHeight="1">
      <c r="A24" s="8"/>
      <c r="B24" s="8"/>
      <c r="C24" s="207">
        <v>46158.0</v>
      </c>
      <c r="D24" s="208" t="str">
        <f t="shared" si="6"/>
        <v>sáb.</v>
      </c>
      <c r="E24" s="341">
        <v>30000.0</v>
      </c>
      <c r="F24" s="209">
        <f>31644.5-290</f>
        <v>31354.5</v>
      </c>
      <c r="G24" s="51">
        <f t="shared" si="8"/>
        <v>1354.5</v>
      </c>
      <c r="H24" s="210">
        <v>117.0</v>
      </c>
      <c r="I24" s="265">
        <f t="shared" si="9"/>
        <v>267.9871795</v>
      </c>
      <c r="J24" s="363">
        <v>43.0</v>
      </c>
      <c r="K24" s="364">
        <f>11+47</f>
        <v>58</v>
      </c>
      <c r="L24" s="363">
        <v>72.0</v>
      </c>
      <c r="M24" s="364">
        <f t="shared" si="10"/>
        <v>173</v>
      </c>
      <c r="N24" s="350">
        <f t="shared" si="11"/>
        <v>46158</v>
      </c>
      <c r="O24" s="204" t="str">
        <f t="shared" si="12"/>
        <v>sáb.</v>
      </c>
      <c r="P24" s="351">
        <v>12900.0</v>
      </c>
      <c r="Q24" s="213">
        <f>14466.86-1207.82</f>
        <v>13259.04</v>
      </c>
      <c r="R24" s="51">
        <f t="shared" si="14"/>
        <v>359.04</v>
      </c>
      <c r="S24" s="217">
        <v>92.0</v>
      </c>
      <c r="T24" s="291">
        <f t="shared" si="15"/>
        <v>144.12</v>
      </c>
      <c r="U24" s="217">
        <v>28.0</v>
      </c>
      <c r="V24" s="291">
        <f>6.5+40.5</f>
        <v>47</v>
      </c>
      <c r="W24" s="217">
        <v>26.0</v>
      </c>
      <c r="X24" s="291">
        <f t="shared" si="16"/>
        <v>101</v>
      </c>
      <c r="AB24" s="74"/>
      <c r="AC24" s="81"/>
      <c r="AE24" s="77"/>
      <c r="AI24" s="385" t="s">
        <v>227</v>
      </c>
      <c r="AJ24" s="346">
        <f>AJ21*AK24+20+20</f>
        <v>337.0557797</v>
      </c>
      <c r="AK24" s="391">
        <v>0.1437</v>
      </c>
      <c r="AL24" s="370"/>
      <c r="AM24" s="370"/>
      <c r="AN24" s="370"/>
      <c r="AO24" s="370"/>
    </row>
    <row r="25" ht="15.75" customHeight="1">
      <c r="A25" s="8"/>
      <c r="B25" s="8"/>
      <c r="C25" s="207">
        <v>46159.0</v>
      </c>
      <c r="D25" s="208" t="str">
        <f t="shared" si="6"/>
        <v>dom.</v>
      </c>
      <c r="E25" s="341">
        <v>23000.0</v>
      </c>
      <c r="F25" s="209">
        <f>29382-159</f>
        <v>29223</v>
      </c>
      <c r="G25" s="51">
        <f t="shared" si="8"/>
        <v>6223</v>
      </c>
      <c r="H25" s="210">
        <v>120.0</v>
      </c>
      <c r="I25" s="265">
        <f t="shared" si="9"/>
        <v>243.525</v>
      </c>
      <c r="J25" s="363">
        <v>29.0</v>
      </c>
      <c r="K25" s="364">
        <f>8+70</f>
        <v>78</v>
      </c>
      <c r="L25" s="363">
        <v>61.0</v>
      </c>
      <c r="M25" s="364">
        <f t="shared" si="10"/>
        <v>168</v>
      </c>
      <c r="N25" s="350">
        <f t="shared" si="11"/>
        <v>46159</v>
      </c>
      <c r="O25" s="204" t="str">
        <f t="shared" si="12"/>
        <v>dom.</v>
      </c>
      <c r="P25" s="351">
        <v>21000.0</v>
      </c>
      <c r="Q25" s="213">
        <f>21403.13-1727.58</f>
        <v>19675.55</v>
      </c>
      <c r="R25" s="51">
        <f t="shared" si="14"/>
        <v>-1324.45</v>
      </c>
      <c r="S25" s="217">
        <v>127.0</v>
      </c>
      <c r="T25" s="291">
        <f t="shared" si="15"/>
        <v>154.9255906</v>
      </c>
      <c r="U25" s="217">
        <v>41.0</v>
      </c>
      <c r="V25" s="291">
        <f>10.5+70.5</f>
        <v>81</v>
      </c>
      <c r="W25" s="217">
        <v>29.0</v>
      </c>
      <c r="X25" s="291">
        <f t="shared" si="16"/>
        <v>151</v>
      </c>
      <c r="AB25" s="74" t="s">
        <v>62</v>
      </c>
      <c r="AC25" s="75">
        <f>SUM(F16:F22)</f>
        <v>123957</v>
      </c>
      <c r="AD25" s="58" t="s">
        <v>62</v>
      </c>
      <c r="AE25" s="76">
        <f>SUM(Q16:Q22)</f>
        <v>61756.21</v>
      </c>
      <c r="AI25" s="385" t="s">
        <v>228</v>
      </c>
      <c r="AJ25" s="346">
        <f>AJ21*AK25</f>
        <v>423.981492</v>
      </c>
      <c r="AK25" s="391">
        <v>0.2051</v>
      </c>
      <c r="AL25" s="370"/>
      <c r="AM25" s="370"/>
      <c r="AN25" s="370"/>
      <c r="AO25" s="370"/>
    </row>
    <row r="26" ht="15.75" customHeight="1">
      <c r="A26" s="8"/>
      <c r="B26" s="8"/>
      <c r="C26" s="207">
        <v>46160.0</v>
      </c>
      <c r="D26" s="208" t="str">
        <f t="shared" si="6"/>
        <v>seg.</v>
      </c>
      <c r="E26" s="341">
        <v>6000.0</v>
      </c>
      <c r="F26" s="209">
        <f>8109</f>
        <v>8109</v>
      </c>
      <c r="G26" s="51">
        <f t="shared" si="8"/>
        <v>2109</v>
      </c>
      <c r="H26" s="210">
        <v>29.0</v>
      </c>
      <c r="I26" s="265">
        <f t="shared" si="9"/>
        <v>279.6206897</v>
      </c>
      <c r="J26" s="363">
        <v>2.0</v>
      </c>
      <c r="K26" s="364">
        <f>2.5+12.5</f>
        <v>15</v>
      </c>
      <c r="L26" s="363">
        <v>23.0</v>
      </c>
      <c r="M26" s="364">
        <f t="shared" si="10"/>
        <v>40</v>
      </c>
      <c r="N26" s="350">
        <f t="shared" si="11"/>
        <v>46160</v>
      </c>
      <c r="O26" s="204" t="str">
        <f t="shared" si="12"/>
        <v>seg.</v>
      </c>
      <c r="P26" s="351">
        <v>3700.0</v>
      </c>
      <c r="Q26" s="213">
        <f>3031.27-267.64</f>
        <v>2763.63</v>
      </c>
      <c r="R26" s="51">
        <f t="shared" si="14"/>
        <v>-936.37</v>
      </c>
      <c r="S26" s="217">
        <v>19.0</v>
      </c>
      <c r="T26" s="291">
        <f t="shared" si="15"/>
        <v>145.4542105</v>
      </c>
      <c r="U26" s="217">
        <v>5.0</v>
      </c>
      <c r="V26" s="291">
        <f>3.5+14.5</f>
        <v>18</v>
      </c>
      <c r="W26" s="217">
        <v>0.0</v>
      </c>
      <c r="X26" s="291">
        <f t="shared" si="16"/>
        <v>23</v>
      </c>
      <c r="AB26" s="74"/>
      <c r="AC26" s="79">
        <f>AC25/AC20</f>
        <v>0.247914</v>
      </c>
      <c r="AE26" s="80">
        <f>AE25/AE20</f>
        <v>0.2058540333</v>
      </c>
      <c r="AI26" s="385" t="s">
        <v>230</v>
      </c>
      <c r="AJ26" s="346">
        <f>AJ21*AK26</f>
        <v>464.4984947</v>
      </c>
      <c r="AK26" s="391">
        <v>0.2247</v>
      </c>
      <c r="AL26" s="370"/>
      <c r="AM26" s="370"/>
      <c r="AN26" s="370"/>
      <c r="AO26" s="370"/>
    </row>
    <row r="27" ht="15.75" customHeight="1">
      <c r="A27" s="8"/>
      <c r="B27" s="8"/>
      <c r="C27" s="207">
        <v>46161.0</v>
      </c>
      <c r="D27" s="208" t="str">
        <f t="shared" si="6"/>
        <v>ter.</v>
      </c>
      <c r="E27" s="341">
        <v>6500.0</v>
      </c>
      <c r="F27" s="209">
        <f>8499.6</f>
        <v>8499.6</v>
      </c>
      <c r="G27" s="51">
        <f t="shared" si="8"/>
        <v>1999.6</v>
      </c>
      <c r="H27" s="210">
        <v>31.0</v>
      </c>
      <c r="I27" s="265">
        <f t="shared" si="9"/>
        <v>274.1806452</v>
      </c>
      <c r="J27" s="363">
        <v>13.0</v>
      </c>
      <c r="K27" s="364">
        <f>3.5+9.5</f>
        <v>13</v>
      </c>
      <c r="L27" s="363">
        <v>24.0</v>
      </c>
      <c r="M27" s="364">
        <f t="shared" si="10"/>
        <v>50</v>
      </c>
      <c r="N27" s="350">
        <f t="shared" si="11"/>
        <v>46161</v>
      </c>
      <c r="O27" s="204" t="str">
        <f t="shared" si="12"/>
        <v>ter.</v>
      </c>
      <c r="P27" s="351">
        <v>3700.0</v>
      </c>
      <c r="Q27" s="213">
        <f>7723.79-678.04</f>
        <v>7045.75</v>
      </c>
      <c r="R27" s="51">
        <f t="shared" si="14"/>
        <v>3345.75</v>
      </c>
      <c r="S27" s="217">
        <v>52.0</v>
      </c>
      <c r="T27" s="291">
        <f t="shared" si="15"/>
        <v>135.4951923</v>
      </c>
      <c r="U27" s="217">
        <v>3.0</v>
      </c>
      <c r="V27" s="291">
        <f>10+37</f>
        <v>47</v>
      </c>
      <c r="W27" s="217">
        <v>4.0</v>
      </c>
      <c r="X27" s="291">
        <f t="shared" si="16"/>
        <v>54</v>
      </c>
      <c r="AB27" s="74"/>
      <c r="AC27" s="81"/>
      <c r="AE27" s="77"/>
      <c r="AI27" s="385" t="s">
        <v>231</v>
      </c>
      <c r="AJ27" s="346">
        <f>AJ21*AK27</f>
        <v>443.6198352</v>
      </c>
      <c r="AK27" s="391">
        <v>0.2146</v>
      </c>
      <c r="AL27" s="370"/>
      <c r="AM27" s="370"/>
      <c r="AN27" s="370"/>
      <c r="AO27" s="370"/>
    </row>
    <row r="28" ht="15.75" customHeight="1">
      <c r="A28" s="8"/>
      <c r="B28" s="8"/>
      <c r="C28" s="207">
        <v>46162.0</v>
      </c>
      <c r="D28" s="208" t="str">
        <f t="shared" si="6"/>
        <v>qua.</v>
      </c>
      <c r="E28" s="341">
        <v>8700.0</v>
      </c>
      <c r="F28" s="209">
        <f>5426.6</f>
        <v>5426.6</v>
      </c>
      <c r="G28" s="51">
        <f t="shared" si="8"/>
        <v>-3273.4</v>
      </c>
      <c r="H28" s="210">
        <v>28.0</v>
      </c>
      <c r="I28" s="265">
        <f t="shared" si="9"/>
        <v>193.8071429</v>
      </c>
      <c r="J28" s="363">
        <v>8.0</v>
      </c>
      <c r="K28" s="364">
        <f>1+8</f>
        <v>9</v>
      </c>
      <c r="L28" s="363">
        <v>13.0</v>
      </c>
      <c r="M28" s="364">
        <f t="shared" si="10"/>
        <v>30</v>
      </c>
      <c r="N28" s="350">
        <f t="shared" si="11"/>
        <v>46162</v>
      </c>
      <c r="O28" s="204" t="str">
        <f t="shared" si="12"/>
        <v>qua.</v>
      </c>
      <c r="P28" s="351">
        <v>4750.0</v>
      </c>
      <c r="Q28" s="213">
        <f>4728.13-359.52</f>
        <v>4368.61</v>
      </c>
      <c r="R28" s="51">
        <f t="shared" si="14"/>
        <v>-381.39</v>
      </c>
      <c r="S28" s="217">
        <v>30.0</v>
      </c>
      <c r="T28" s="291">
        <f t="shared" si="15"/>
        <v>145.6203333</v>
      </c>
      <c r="U28" s="217">
        <v>11.0</v>
      </c>
      <c r="V28" s="291">
        <f>2+11</f>
        <v>13</v>
      </c>
      <c r="W28" s="217">
        <v>9.0</v>
      </c>
      <c r="X28" s="291">
        <f t="shared" si="16"/>
        <v>33</v>
      </c>
      <c r="AB28" s="74" t="s">
        <v>63</v>
      </c>
      <c r="AC28" s="75">
        <f>SUM(F23:F29)</f>
        <v>116491.7</v>
      </c>
      <c r="AD28" s="58" t="s">
        <v>63</v>
      </c>
      <c r="AE28" s="76">
        <f>SUM(Q23:Q29)</f>
        <v>59858.61</v>
      </c>
      <c r="AI28" s="339" t="s">
        <v>292</v>
      </c>
      <c r="AJ28" s="387">
        <f>200/31*30</f>
        <v>193.5483871</v>
      </c>
      <c r="AK28" s="391"/>
      <c r="AL28" s="317"/>
      <c r="AM28" s="317"/>
      <c r="AN28" s="317"/>
      <c r="AO28" s="317"/>
    </row>
    <row r="29" ht="15.75" customHeight="1">
      <c r="A29" s="8"/>
      <c r="B29" s="8"/>
      <c r="C29" s="207">
        <v>46163.0</v>
      </c>
      <c r="D29" s="208" t="str">
        <f t="shared" si="6"/>
        <v>qui.</v>
      </c>
      <c r="E29" s="341">
        <v>12000.0</v>
      </c>
      <c r="F29" s="209">
        <f>9945</f>
        <v>9945</v>
      </c>
      <c r="G29" s="51">
        <f t="shared" si="8"/>
        <v>-2055</v>
      </c>
      <c r="H29" s="210">
        <v>40.0</v>
      </c>
      <c r="I29" s="265">
        <f t="shared" si="9"/>
        <v>248.625</v>
      </c>
      <c r="J29" s="363">
        <v>13.0</v>
      </c>
      <c r="K29" s="364">
        <f>3.5+20.5</f>
        <v>24</v>
      </c>
      <c r="L29" s="363">
        <v>17.0</v>
      </c>
      <c r="M29" s="364">
        <f t="shared" si="10"/>
        <v>54</v>
      </c>
      <c r="N29" s="350">
        <f t="shared" si="11"/>
        <v>46163</v>
      </c>
      <c r="O29" s="204" t="str">
        <f t="shared" si="12"/>
        <v>qui.</v>
      </c>
      <c r="P29" s="351">
        <v>4700.0</v>
      </c>
      <c r="Q29" s="213">
        <f>4800.35-360.43</f>
        <v>4439.92</v>
      </c>
      <c r="R29" s="51">
        <f t="shared" si="14"/>
        <v>-260.08</v>
      </c>
      <c r="S29" s="217">
        <v>31.0</v>
      </c>
      <c r="T29" s="291">
        <f t="shared" si="15"/>
        <v>143.2232258</v>
      </c>
      <c r="U29" s="217">
        <v>12.0</v>
      </c>
      <c r="V29" s="291">
        <f>2.5+13.5</f>
        <v>16</v>
      </c>
      <c r="W29" s="217">
        <v>8.0</v>
      </c>
      <c r="X29" s="291">
        <f t="shared" si="16"/>
        <v>36</v>
      </c>
      <c r="AB29" s="74"/>
      <c r="AC29" s="79">
        <f>AC28/AC20</f>
        <v>0.2329834</v>
      </c>
      <c r="AE29" s="80">
        <f>AE28/AE20</f>
        <v>0.1995287</v>
      </c>
      <c r="AI29" s="393" t="s">
        <v>293</v>
      </c>
      <c r="AJ29" s="387">
        <v>120.0</v>
      </c>
      <c r="AK29" s="385"/>
      <c r="AL29" s="317"/>
      <c r="AM29" s="317"/>
      <c r="AN29" s="317"/>
      <c r="AO29" s="317"/>
    </row>
    <row r="30" ht="15.75" customHeight="1">
      <c r="A30" s="8"/>
      <c r="B30" s="8"/>
      <c r="C30" s="207">
        <v>46164.0</v>
      </c>
      <c r="D30" s="208" t="str">
        <f t="shared" si="6"/>
        <v>sex.</v>
      </c>
      <c r="E30" s="341">
        <v>18000.0</v>
      </c>
      <c r="F30" s="209">
        <f>19073-238</f>
        <v>18835</v>
      </c>
      <c r="G30" s="51">
        <f t="shared" si="8"/>
        <v>835</v>
      </c>
      <c r="H30" s="210">
        <v>70.0</v>
      </c>
      <c r="I30" s="265">
        <f t="shared" si="9"/>
        <v>269.0714286</v>
      </c>
      <c r="J30" s="363">
        <v>22.0</v>
      </c>
      <c r="K30" s="364">
        <f>4+39</f>
        <v>43</v>
      </c>
      <c r="L30" s="363">
        <v>43.0</v>
      </c>
      <c r="M30" s="364">
        <f t="shared" si="10"/>
        <v>108</v>
      </c>
      <c r="N30" s="350">
        <f t="shared" si="11"/>
        <v>46164</v>
      </c>
      <c r="O30" s="204" t="str">
        <f t="shared" si="12"/>
        <v>sex.</v>
      </c>
      <c r="P30" s="351">
        <v>12000.0</v>
      </c>
      <c r="Q30" s="213">
        <f>10285.2-817.26</f>
        <v>9467.94</v>
      </c>
      <c r="R30" s="51">
        <f t="shared" si="14"/>
        <v>-2532.06</v>
      </c>
      <c r="S30" s="217">
        <v>62.0</v>
      </c>
      <c r="T30" s="291">
        <f t="shared" si="15"/>
        <v>152.7087097</v>
      </c>
      <c r="U30" s="217">
        <v>19.0</v>
      </c>
      <c r="V30" s="217">
        <f>4+33</f>
        <v>37</v>
      </c>
      <c r="W30" s="217">
        <v>15.0</v>
      </c>
      <c r="X30" s="291">
        <f t="shared" si="16"/>
        <v>71</v>
      </c>
      <c r="AB30" s="74"/>
      <c r="AE30" s="82"/>
      <c r="AI30" s="393" t="s">
        <v>294</v>
      </c>
      <c r="AJ30" s="387">
        <v>120.0</v>
      </c>
      <c r="AK30" s="385"/>
      <c r="AL30" s="317"/>
      <c r="AM30" s="317"/>
      <c r="AN30" s="317"/>
      <c r="AO30" s="317"/>
    </row>
    <row r="31" ht="15.75" customHeight="1">
      <c r="A31" s="8"/>
      <c r="B31" s="8"/>
      <c r="C31" s="207">
        <v>46165.0</v>
      </c>
      <c r="D31" s="208" t="str">
        <f t="shared" si="6"/>
        <v>sáb.</v>
      </c>
      <c r="E31" s="341">
        <v>30000.0</v>
      </c>
      <c r="F31" s="209">
        <f>26517</f>
        <v>26517</v>
      </c>
      <c r="G31" s="51">
        <f t="shared" si="8"/>
        <v>-3483</v>
      </c>
      <c r="H31" s="210">
        <v>101.0</v>
      </c>
      <c r="I31" s="265">
        <f t="shared" si="9"/>
        <v>262.5445545</v>
      </c>
      <c r="J31" s="363">
        <v>19.0</v>
      </c>
      <c r="K31" s="364">
        <f>6.5+38.5</f>
        <v>45</v>
      </c>
      <c r="L31" s="363">
        <v>76.0</v>
      </c>
      <c r="M31" s="364">
        <f t="shared" si="10"/>
        <v>140</v>
      </c>
      <c r="N31" s="350">
        <f t="shared" si="11"/>
        <v>46165</v>
      </c>
      <c r="O31" s="204" t="str">
        <f t="shared" si="12"/>
        <v>sáb.</v>
      </c>
      <c r="P31" s="351">
        <v>12900.0</v>
      </c>
      <c r="Q31" s="213">
        <f>16330.5-1154.18</f>
        <v>15176.32</v>
      </c>
      <c r="R31" s="51">
        <f t="shared" si="14"/>
        <v>2276.32</v>
      </c>
      <c r="S31" s="217">
        <v>89.0</v>
      </c>
      <c r="T31" s="291">
        <f t="shared" si="15"/>
        <v>170.5204494</v>
      </c>
      <c r="U31" s="217">
        <v>27.0</v>
      </c>
      <c r="V31" s="291">
        <f>8+47</f>
        <v>55</v>
      </c>
      <c r="W31" s="217">
        <v>32.0</v>
      </c>
      <c r="X31" s="291">
        <f t="shared" si="16"/>
        <v>114</v>
      </c>
      <c r="AB31" s="74" t="s">
        <v>64</v>
      </c>
      <c r="AC31" s="61">
        <f>SUM(F30:F36)</f>
        <v>104382.84</v>
      </c>
      <c r="AD31" s="58" t="s">
        <v>64</v>
      </c>
      <c r="AE31" s="83">
        <f>SUM(Q30:Q36)</f>
        <v>64049.95</v>
      </c>
      <c r="AI31" s="393" t="s">
        <v>299</v>
      </c>
      <c r="AJ31" s="387">
        <v>120.0</v>
      </c>
      <c r="AK31" s="385"/>
      <c r="AL31" s="317"/>
      <c r="AM31" s="317"/>
      <c r="AN31" s="317"/>
      <c r="AO31" s="317"/>
    </row>
    <row r="32" ht="15.75" customHeight="1">
      <c r="A32" s="8"/>
      <c r="B32" s="8"/>
      <c r="C32" s="207">
        <v>46166.0</v>
      </c>
      <c r="D32" s="208" t="str">
        <f t="shared" si="6"/>
        <v>dom.</v>
      </c>
      <c r="E32" s="341">
        <v>23000.0</v>
      </c>
      <c r="F32" s="209">
        <f>23305.12-18.51</f>
        <v>23286.61</v>
      </c>
      <c r="G32" s="51">
        <f t="shared" si="8"/>
        <v>286.61</v>
      </c>
      <c r="H32" s="210">
        <v>119.0</v>
      </c>
      <c r="I32" s="265">
        <f t="shared" si="9"/>
        <v>195.6857983</v>
      </c>
      <c r="J32" s="363">
        <v>23.0</v>
      </c>
      <c r="K32" s="364">
        <f>6.5+65.5</f>
        <v>72</v>
      </c>
      <c r="L32" s="363">
        <v>45.0</v>
      </c>
      <c r="M32" s="364">
        <f t="shared" si="10"/>
        <v>140</v>
      </c>
      <c r="N32" s="350">
        <f t="shared" si="11"/>
        <v>46166</v>
      </c>
      <c r="O32" s="204" t="str">
        <f t="shared" si="12"/>
        <v>dom.</v>
      </c>
      <c r="P32" s="351">
        <v>21000.0</v>
      </c>
      <c r="Q32" s="213">
        <f>22301.72-1532.13</f>
        <v>20769.59</v>
      </c>
      <c r="R32" s="51">
        <f t="shared" si="14"/>
        <v>-230.41</v>
      </c>
      <c r="S32" s="217">
        <v>120.0</v>
      </c>
      <c r="T32" s="291">
        <f t="shared" si="15"/>
        <v>173.0799167</v>
      </c>
      <c r="U32" s="217">
        <v>40.0</v>
      </c>
      <c r="V32" s="291">
        <f>11+62</f>
        <v>73</v>
      </c>
      <c r="W32" s="217">
        <v>45.0</v>
      </c>
      <c r="X32" s="291">
        <f t="shared" si="16"/>
        <v>158</v>
      </c>
      <c r="AB32" s="74"/>
      <c r="AC32" s="79">
        <f>AC31/AC20</f>
        <v>0.20876568</v>
      </c>
      <c r="AE32" s="80">
        <f>AE31/AE20</f>
        <v>0.2134998333</v>
      </c>
      <c r="AI32" s="388" t="s">
        <v>304</v>
      </c>
      <c r="AJ32" s="389">
        <f>AK20*40%-AK32</f>
        <v>1267.1616</v>
      </c>
      <c r="AK32" s="390">
        <f>AJ35+AJ36+AJ37</f>
        <v>480</v>
      </c>
      <c r="AL32" s="317"/>
      <c r="AM32" s="317"/>
      <c r="AN32" s="317"/>
      <c r="AO32" s="317"/>
    </row>
    <row r="33" ht="15.75" customHeight="1">
      <c r="A33" s="8"/>
      <c r="B33" s="8"/>
      <c r="C33" s="207">
        <v>46167.0</v>
      </c>
      <c r="D33" s="208" t="str">
        <f t="shared" si="6"/>
        <v>seg.</v>
      </c>
      <c r="E33" s="341">
        <v>6000.0</v>
      </c>
      <c r="F33" s="209">
        <f>5556.7-11.8</f>
        <v>5544.9</v>
      </c>
      <c r="G33" s="51">
        <f t="shared" si="8"/>
        <v>-455.1</v>
      </c>
      <c r="H33" s="210">
        <v>25.0</v>
      </c>
      <c r="I33" s="265">
        <f t="shared" si="9"/>
        <v>221.796</v>
      </c>
      <c r="J33" s="363">
        <v>6.0</v>
      </c>
      <c r="K33" s="364">
        <f>0.5+8.5</f>
        <v>9</v>
      </c>
      <c r="L33" s="363">
        <v>13.0</v>
      </c>
      <c r="M33" s="364">
        <f t="shared" si="10"/>
        <v>28</v>
      </c>
      <c r="N33" s="350">
        <f t="shared" si="11"/>
        <v>46167</v>
      </c>
      <c r="O33" s="204" t="str">
        <f t="shared" si="12"/>
        <v>seg.</v>
      </c>
      <c r="P33" s="351">
        <v>3700.0</v>
      </c>
      <c r="Q33" s="213">
        <f>2619.1-186.22</f>
        <v>2432.88</v>
      </c>
      <c r="R33" s="51">
        <f t="shared" si="14"/>
        <v>-1267.12</v>
      </c>
      <c r="S33" s="217">
        <v>17.0</v>
      </c>
      <c r="T33" s="291">
        <f t="shared" si="15"/>
        <v>143.1105882</v>
      </c>
      <c r="U33" s="217">
        <v>7.0</v>
      </c>
      <c r="V33" s="291">
        <f>1+7</f>
        <v>8</v>
      </c>
      <c r="W33" s="217">
        <v>4.0</v>
      </c>
      <c r="X33" s="291">
        <f t="shared" si="16"/>
        <v>19</v>
      </c>
      <c r="AB33" s="74" t="s">
        <v>65</v>
      </c>
      <c r="AC33" s="61">
        <f>SUM(F37:F39)</f>
        <v>70687.5</v>
      </c>
      <c r="AD33" s="58" t="s">
        <v>65</v>
      </c>
      <c r="AE33" s="83">
        <f>SUM(Q37:Q39)</f>
        <v>51308.88</v>
      </c>
      <c r="AI33" s="393" t="s">
        <v>310</v>
      </c>
      <c r="AJ33" s="346">
        <f>AJ32/2*17/31</f>
        <v>347.4475355</v>
      </c>
      <c r="AK33" s="385"/>
      <c r="AL33" s="317"/>
      <c r="AM33" s="317"/>
      <c r="AN33" s="317"/>
      <c r="AO33" s="317"/>
    </row>
    <row r="34" ht="15.75" customHeight="1">
      <c r="A34" s="8"/>
      <c r="B34" s="8"/>
      <c r="C34" s="207">
        <v>46168.0</v>
      </c>
      <c r="D34" s="208" t="str">
        <f t="shared" si="6"/>
        <v>ter.</v>
      </c>
      <c r="E34" s="341">
        <v>6500.0</v>
      </c>
      <c r="F34" s="209">
        <f>7107.5</f>
        <v>7107.5</v>
      </c>
      <c r="G34" s="51">
        <f t="shared" si="8"/>
        <v>607.5</v>
      </c>
      <c r="H34" s="210">
        <v>31.0</v>
      </c>
      <c r="I34" s="265">
        <f t="shared" si="9"/>
        <v>229.2741935</v>
      </c>
      <c r="J34" s="363">
        <v>7.0</v>
      </c>
      <c r="K34" s="364">
        <f>3+21</f>
        <v>24</v>
      </c>
      <c r="L34" s="363">
        <v>11.0</v>
      </c>
      <c r="M34" s="364">
        <f t="shared" si="10"/>
        <v>42</v>
      </c>
      <c r="N34" s="350">
        <f t="shared" si="11"/>
        <v>46168</v>
      </c>
      <c r="O34" s="204" t="str">
        <f t="shared" si="12"/>
        <v>ter.</v>
      </c>
      <c r="P34" s="351">
        <v>3700.0</v>
      </c>
      <c r="Q34" s="213">
        <f>6967.05-633.07</f>
        <v>6333.98</v>
      </c>
      <c r="R34" s="51">
        <f t="shared" si="14"/>
        <v>2633.98</v>
      </c>
      <c r="S34" s="217">
        <v>43.0</v>
      </c>
      <c r="T34" s="291">
        <f t="shared" si="15"/>
        <v>147.3018605</v>
      </c>
      <c r="U34" s="217">
        <v>9.0</v>
      </c>
      <c r="V34" s="291">
        <f>8+32</f>
        <v>40</v>
      </c>
      <c r="W34" s="217">
        <v>3.0</v>
      </c>
      <c r="X34" s="291">
        <f t="shared" si="16"/>
        <v>52</v>
      </c>
      <c r="AB34" s="84"/>
      <c r="AC34" s="85">
        <f>AC33/AC20</f>
        <v>0.141375</v>
      </c>
      <c r="AD34" s="84"/>
      <c r="AE34" s="87">
        <f>AE33/AE20</f>
        <v>0.1710296</v>
      </c>
      <c r="AI34" s="393" t="s">
        <v>314</v>
      </c>
      <c r="AJ34" s="346">
        <f>AJ32/2</f>
        <v>633.5808</v>
      </c>
      <c r="AK34" s="385"/>
    </row>
    <row r="35" ht="15.75" customHeight="1">
      <c r="A35" s="8"/>
      <c r="B35" s="8"/>
      <c r="C35" s="207">
        <v>46169.0</v>
      </c>
      <c r="D35" s="208" t="str">
        <f t="shared" si="6"/>
        <v>qua.</v>
      </c>
      <c r="E35" s="341">
        <v>8700.0</v>
      </c>
      <c r="F35" s="209">
        <f>13000.13</f>
        <v>13000.13</v>
      </c>
      <c r="G35" s="51">
        <f t="shared" si="8"/>
        <v>4300.13</v>
      </c>
      <c r="H35" s="210">
        <v>43.0</v>
      </c>
      <c r="I35" s="265">
        <f t="shared" si="9"/>
        <v>302.3286047</v>
      </c>
      <c r="J35" s="363">
        <v>19.0</v>
      </c>
      <c r="K35" s="364">
        <f>4.5+30.5</f>
        <v>35</v>
      </c>
      <c r="L35" s="363">
        <v>17.0</v>
      </c>
      <c r="M35" s="364">
        <f t="shared" si="10"/>
        <v>71</v>
      </c>
      <c r="N35" s="350">
        <f t="shared" si="11"/>
        <v>46169</v>
      </c>
      <c r="O35" s="204" t="str">
        <f t="shared" si="12"/>
        <v>qua.</v>
      </c>
      <c r="P35" s="351">
        <v>4750.0</v>
      </c>
      <c r="Q35" s="213">
        <f>1560.04+2853.72-354.01</f>
        <v>4059.75</v>
      </c>
      <c r="R35" s="51">
        <f t="shared" si="14"/>
        <v>-690.25</v>
      </c>
      <c r="S35" s="217">
        <v>26.0</v>
      </c>
      <c r="T35" s="291">
        <f t="shared" si="15"/>
        <v>156.1442308</v>
      </c>
      <c r="U35" s="217">
        <v>5.0</v>
      </c>
      <c r="V35" s="291">
        <f>2+17</f>
        <v>19</v>
      </c>
      <c r="W35" s="217">
        <v>6.0</v>
      </c>
      <c r="X35" s="291">
        <f t="shared" si="16"/>
        <v>30</v>
      </c>
      <c r="AI35" s="393" t="s">
        <v>252</v>
      </c>
      <c r="AJ35" s="387">
        <f t="shared" ref="AJ35:AJ36" si="23">200-20</f>
        <v>180</v>
      </c>
      <c r="AK35" s="385"/>
    </row>
    <row r="36" ht="15.75" customHeight="1">
      <c r="A36" s="8"/>
      <c r="B36" s="8"/>
      <c r="C36" s="207">
        <v>46170.0</v>
      </c>
      <c r="D36" s="208" t="str">
        <f t="shared" si="6"/>
        <v>qui.</v>
      </c>
      <c r="E36" s="341">
        <v>12000.0</v>
      </c>
      <c r="F36" s="209">
        <f>10823.7-732</f>
        <v>10091.7</v>
      </c>
      <c r="G36" s="51">
        <f t="shared" si="8"/>
        <v>-1908.3</v>
      </c>
      <c r="H36" s="210">
        <v>56.0</v>
      </c>
      <c r="I36" s="265">
        <f t="shared" si="9"/>
        <v>180.2089286</v>
      </c>
      <c r="J36" s="363">
        <v>9.0</v>
      </c>
      <c r="K36" s="364">
        <f>3.5+16.5</f>
        <v>20</v>
      </c>
      <c r="L36" s="363">
        <v>23.0</v>
      </c>
      <c r="M36" s="364">
        <f t="shared" si="10"/>
        <v>52</v>
      </c>
      <c r="N36" s="350">
        <f t="shared" si="11"/>
        <v>46170</v>
      </c>
      <c r="O36" s="204" t="str">
        <f t="shared" si="12"/>
        <v>qui.</v>
      </c>
      <c r="P36" s="351">
        <v>4700.0</v>
      </c>
      <c r="Q36" s="213">
        <f>4002.38+2286.97-479.86</f>
        <v>5809.49</v>
      </c>
      <c r="R36" s="51">
        <f t="shared" si="14"/>
        <v>1109.49</v>
      </c>
      <c r="S36" s="217">
        <v>34.0</v>
      </c>
      <c r="T36" s="291">
        <f t="shared" si="15"/>
        <v>170.8673529</v>
      </c>
      <c r="U36" s="217">
        <v>7.0</v>
      </c>
      <c r="V36" s="291">
        <f>5+21</f>
        <v>26</v>
      </c>
      <c r="W36" s="217">
        <v>10.0</v>
      </c>
      <c r="X36" s="291">
        <f t="shared" si="16"/>
        <v>43</v>
      </c>
      <c r="AA36" s="92" t="s">
        <v>72</v>
      </c>
      <c r="AB36" s="93" t="s">
        <v>73</v>
      </c>
      <c r="AC36" s="94">
        <f>F40</f>
        <v>545988.62</v>
      </c>
      <c r="AD36" s="164" t="s">
        <v>74</v>
      </c>
      <c r="AE36" s="96">
        <f>Q40</f>
        <v>302123.32</v>
      </c>
      <c r="AF36" s="92" t="s">
        <v>72</v>
      </c>
      <c r="AI36" s="393" t="s">
        <v>320</v>
      </c>
      <c r="AJ36" s="387">
        <f t="shared" si="23"/>
        <v>180</v>
      </c>
      <c r="AK36" s="385"/>
      <c r="AL36" s="317"/>
      <c r="AM36" s="317"/>
      <c r="AN36" s="317"/>
      <c r="AO36" s="317"/>
    </row>
    <row r="37" ht="15.75" customHeight="1">
      <c r="A37" s="8"/>
      <c r="B37" s="8"/>
      <c r="C37" s="207">
        <v>46171.0</v>
      </c>
      <c r="D37" s="208" t="str">
        <f t="shared" si="6"/>
        <v>sex.</v>
      </c>
      <c r="E37" s="341">
        <v>18000.0</v>
      </c>
      <c r="F37" s="209">
        <f>18809.9-294</f>
        <v>18515.9</v>
      </c>
      <c r="G37" s="51">
        <f t="shared" si="8"/>
        <v>515.9</v>
      </c>
      <c r="H37" s="210">
        <v>78.0</v>
      </c>
      <c r="I37" s="265">
        <f t="shared" si="9"/>
        <v>237.3833333</v>
      </c>
      <c r="J37" s="363">
        <v>15.0</v>
      </c>
      <c r="K37" s="364">
        <f>6+38</f>
        <v>44</v>
      </c>
      <c r="L37" s="363">
        <v>39.0</v>
      </c>
      <c r="M37" s="364">
        <f t="shared" si="10"/>
        <v>98</v>
      </c>
      <c r="N37" s="350">
        <f t="shared" si="11"/>
        <v>46171</v>
      </c>
      <c r="O37" s="204" t="str">
        <f t="shared" si="12"/>
        <v>sex.</v>
      </c>
      <c r="P37" s="351">
        <v>12000.0</v>
      </c>
      <c r="Q37" s="213">
        <f>13338.15-921.51</f>
        <v>12416.64</v>
      </c>
      <c r="R37" s="51">
        <f t="shared" si="14"/>
        <v>416.64</v>
      </c>
      <c r="S37" s="217">
        <v>73.0</v>
      </c>
      <c r="T37" s="291">
        <f t="shared" si="15"/>
        <v>170.0909589</v>
      </c>
      <c r="U37" s="217">
        <v>13.0</v>
      </c>
      <c r="V37" s="291">
        <f>9.5+42.5</f>
        <v>52</v>
      </c>
      <c r="W37" s="217">
        <v>23.0</v>
      </c>
      <c r="X37" s="291">
        <f t="shared" si="16"/>
        <v>88</v>
      </c>
      <c r="AA37" s="97">
        <f>AC37-AD37</f>
        <v>0.09197724</v>
      </c>
      <c r="AB37" s="98"/>
      <c r="AC37" s="99">
        <f>AC36/AC20</f>
        <v>1.09197724</v>
      </c>
      <c r="AD37" s="165">
        <f>31/31</f>
        <v>1</v>
      </c>
      <c r="AE37" s="100">
        <f>AE36/AE20</f>
        <v>1.007077733</v>
      </c>
      <c r="AF37" s="97">
        <f>AE37-AD37</f>
        <v>0.007077733333</v>
      </c>
      <c r="AI37" s="384" t="s">
        <v>321</v>
      </c>
      <c r="AJ37" s="387">
        <v>120.0</v>
      </c>
      <c r="AK37" s="385"/>
    </row>
    <row r="38" ht="15.75" customHeight="1">
      <c r="A38" s="8"/>
      <c r="B38" s="8"/>
      <c r="C38" s="207">
        <v>46172.0</v>
      </c>
      <c r="D38" s="208" t="str">
        <f t="shared" si="6"/>
        <v>sáb.</v>
      </c>
      <c r="E38" s="341">
        <v>30000.0</v>
      </c>
      <c r="F38" s="209">
        <f>30681</f>
        <v>30681</v>
      </c>
      <c r="G38" s="51">
        <f t="shared" si="8"/>
        <v>681</v>
      </c>
      <c r="H38" s="210">
        <v>128.0</v>
      </c>
      <c r="I38" s="265">
        <f t="shared" si="9"/>
        <v>239.6953125</v>
      </c>
      <c r="J38" s="363">
        <v>31.0</v>
      </c>
      <c r="K38" s="364">
        <f>14.5+72.5</f>
        <v>87</v>
      </c>
      <c r="L38" s="363">
        <v>48.0</v>
      </c>
      <c r="M38" s="364">
        <f t="shared" si="10"/>
        <v>166</v>
      </c>
      <c r="N38" s="350">
        <f t="shared" si="11"/>
        <v>46172</v>
      </c>
      <c r="O38" s="204" t="str">
        <f t="shared" si="12"/>
        <v>sáb.</v>
      </c>
      <c r="P38" s="351">
        <v>12900.0</v>
      </c>
      <c r="Q38" s="213">
        <f>10072.16+5094.75-1076.36</f>
        <v>14090.55</v>
      </c>
      <c r="R38" s="51">
        <f t="shared" si="14"/>
        <v>1190.55</v>
      </c>
      <c r="S38" s="217">
        <v>85.0</v>
      </c>
      <c r="T38" s="291">
        <f t="shared" si="15"/>
        <v>165.7711765</v>
      </c>
      <c r="U38" s="217">
        <v>25.0</v>
      </c>
      <c r="V38" s="291">
        <f>7+48</f>
        <v>55</v>
      </c>
      <c r="W38" s="217">
        <v>26.0</v>
      </c>
      <c r="X38" s="291">
        <f t="shared" si="16"/>
        <v>106</v>
      </c>
      <c r="AB38" s="98" t="s">
        <v>76</v>
      </c>
      <c r="AC38" s="104">
        <f>AC20-AC36</f>
        <v>-45988.62</v>
      </c>
      <c r="AD38" s="99"/>
      <c r="AE38" s="106">
        <f>AE20-AE36</f>
        <v>-2123.32</v>
      </c>
    </row>
    <row r="39" ht="15.75" customHeight="1">
      <c r="A39" s="8"/>
      <c r="B39" s="8"/>
      <c r="C39" s="207">
        <v>46173.0</v>
      </c>
      <c r="D39" s="208" t="str">
        <f t="shared" si="6"/>
        <v>dom.</v>
      </c>
      <c r="E39" s="341">
        <v>23000.0</v>
      </c>
      <c r="F39" s="209">
        <f>21490.6</f>
        <v>21490.6</v>
      </c>
      <c r="G39" s="51">
        <f t="shared" si="8"/>
        <v>-1509.4</v>
      </c>
      <c r="H39" s="210">
        <v>96.0</v>
      </c>
      <c r="I39" s="265">
        <f t="shared" si="9"/>
        <v>223.8604167</v>
      </c>
      <c r="J39" s="363">
        <v>22.0</v>
      </c>
      <c r="K39" s="364">
        <f>4.5+47.5</f>
        <v>52</v>
      </c>
      <c r="L39" s="363">
        <v>50.0</v>
      </c>
      <c r="M39" s="364">
        <f t="shared" si="10"/>
        <v>124</v>
      </c>
      <c r="N39" s="350">
        <f t="shared" si="11"/>
        <v>46173</v>
      </c>
      <c r="O39" s="204" t="str">
        <f t="shared" si="12"/>
        <v>dom.</v>
      </c>
      <c r="P39" s="351">
        <v>22000.0</v>
      </c>
      <c r="Q39" s="213">
        <f>16113.59+10836.68-2148.58</f>
        <v>24801.69</v>
      </c>
      <c r="R39" s="51">
        <f t="shared" si="14"/>
        <v>2801.69</v>
      </c>
      <c r="S39" s="217">
        <v>150.0</v>
      </c>
      <c r="T39" s="291">
        <f t="shared" si="15"/>
        <v>165.3446</v>
      </c>
      <c r="U39" s="217">
        <v>56.0</v>
      </c>
      <c r="V39" s="291">
        <f>13+81</f>
        <v>94</v>
      </c>
      <c r="W39" s="217">
        <v>44.0</v>
      </c>
      <c r="X39" s="291">
        <f t="shared" si="16"/>
        <v>194</v>
      </c>
      <c r="AE39" s="61"/>
    </row>
    <row r="40" ht="15.75" customHeight="1">
      <c r="A40" s="8"/>
      <c r="B40" s="8"/>
      <c r="C40" s="218"/>
      <c r="D40" s="218"/>
      <c r="E40" s="219">
        <f t="shared" ref="E40:H40" si="24">SUM(E9:E39)</f>
        <v>500006.08</v>
      </c>
      <c r="F40" s="219">
        <f t="shared" si="24"/>
        <v>545988.62</v>
      </c>
      <c r="G40" s="105">
        <f t="shared" si="24"/>
        <v>45982.54</v>
      </c>
      <c r="H40" s="105">
        <f t="shared" si="24"/>
        <v>2199</v>
      </c>
      <c r="I40" s="105"/>
      <c r="J40" s="105">
        <f t="shared" ref="J40:M40" si="25">SUM(J9:J39)</f>
        <v>553</v>
      </c>
      <c r="K40" s="105">
        <f t="shared" si="25"/>
        <v>1338</v>
      </c>
      <c r="L40" s="105">
        <f t="shared" si="25"/>
        <v>1159</v>
      </c>
      <c r="M40" s="105">
        <f t="shared" si="25"/>
        <v>3050</v>
      </c>
      <c r="N40" s="286"/>
      <c r="O40" s="287"/>
      <c r="P40" s="222">
        <f t="shared" ref="P40:S40" si="26">SUM(P9:P39)</f>
        <v>300076.46</v>
      </c>
      <c r="Q40" s="222">
        <f t="shared" si="26"/>
        <v>302123.32</v>
      </c>
      <c r="R40" s="105">
        <f t="shared" si="26"/>
        <v>2046.86</v>
      </c>
      <c r="S40" s="223">
        <f t="shared" si="26"/>
        <v>1885</v>
      </c>
      <c r="T40" s="223"/>
      <c r="U40" s="105">
        <f t="shared" ref="U40:X40" si="27">SUM(U9:U39)</f>
        <v>543</v>
      </c>
      <c r="V40" s="105">
        <f t="shared" si="27"/>
        <v>1223</v>
      </c>
      <c r="W40" s="105">
        <f t="shared" si="27"/>
        <v>522</v>
      </c>
      <c r="X40" s="105">
        <f t="shared" si="27"/>
        <v>2288</v>
      </c>
      <c r="AI40" s="384" t="s">
        <v>322</v>
      </c>
      <c r="AJ40" s="229" t="s">
        <v>221</v>
      </c>
      <c r="AK40" s="385" t="s">
        <v>219</v>
      </c>
      <c r="AM40" s="384" t="s">
        <v>323</v>
      </c>
      <c r="AN40" s="384" t="s">
        <v>290</v>
      </c>
      <c r="AO40" s="393" t="s">
        <v>291</v>
      </c>
    </row>
    <row r="41" ht="15.75" customHeight="1">
      <c r="D41" s="61"/>
      <c r="E41" s="61"/>
      <c r="F41" s="225"/>
      <c r="G41" s="114"/>
      <c r="H41" s="392" t="s">
        <v>324</v>
      </c>
      <c r="I41" s="226"/>
      <c r="J41" s="226"/>
      <c r="K41" s="226"/>
      <c r="L41" s="226"/>
      <c r="M41" s="226"/>
      <c r="N41" s="61"/>
      <c r="P41" s="61"/>
      <c r="Q41" s="275"/>
      <c r="R41" s="114"/>
      <c r="S41" s="199"/>
      <c r="T41" s="199"/>
      <c r="U41" s="199"/>
      <c r="V41" s="199"/>
      <c r="W41" s="199"/>
      <c r="X41" s="199"/>
      <c r="AI41" s="387">
        <v>300000.0</v>
      </c>
      <c r="AJ41" s="387">
        <v>302123.0</v>
      </c>
      <c r="AK41" s="346">
        <f>AJ41*0.006</f>
        <v>1812.738</v>
      </c>
      <c r="AM41" s="387">
        <v>1000.0</v>
      </c>
      <c r="AN41" s="387">
        <v>500.0</v>
      </c>
      <c r="AO41" s="346">
        <f>AM41+AN41</f>
        <v>1500</v>
      </c>
    </row>
    <row r="42" ht="15.75" customHeight="1">
      <c r="A42" s="2"/>
      <c r="B42" s="2"/>
      <c r="C42" s="2"/>
      <c r="D42" s="75"/>
      <c r="E42" s="75"/>
      <c r="F42" s="2"/>
      <c r="H42" s="226"/>
      <c r="I42" s="226"/>
      <c r="J42" s="226"/>
      <c r="K42" s="226"/>
      <c r="L42" s="226"/>
      <c r="M42" s="226"/>
      <c r="N42" s="75"/>
      <c r="P42" s="75"/>
      <c r="Q42" s="2"/>
      <c r="S42" s="199"/>
      <c r="T42" s="199"/>
      <c r="U42" s="199"/>
      <c r="V42" s="199"/>
      <c r="W42" s="199"/>
      <c r="X42" s="199"/>
      <c r="AI42" s="388" t="s">
        <v>295</v>
      </c>
      <c r="AJ42" s="389">
        <f>AK41*40%</f>
        <v>725.0952</v>
      </c>
      <c r="AK42" s="390"/>
      <c r="AM42" s="388" t="s">
        <v>296</v>
      </c>
      <c r="AN42" s="389"/>
      <c r="AO42" s="390"/>
    </row>
    <row r="43" ht="15.75" customHeight="1">
      <c r="A43" s="2"/>
      <c r="B43" s="2"/>
      <c r="C43" s="2"/>
      <c r="D43" s="2"/>
      <c r="E43" s="174" t="s">
        <v>77</v>
      </c>
      <c r="F43" s="118">
        <f>E40+G40</f>
        <v>545988.62</v>
      </c>
      <c r="P43" s="115" t="s">
        <v>77</v>
      </c>
      <c r="Q43" s="118">
        <f>P40+R40</f>
        <v>302123.32</v>
      </c>
      <c r="S43" s="199"/>
      <c r="T43" s="199"/>
      <c r="U43" s="199"/>
      <c r="V43" s="199"/>
      <c r="W43" s="199"/>
      <c r="X43" s="199"/>
      <c r="AI43" s="397"/>
      <c r="AJ43" s="229"/>
      <c r="AK43" s="396"/>
      <c r="AM43" s="229"/>
      <c r="AN43" s="229"/>
      <c r="AO43" s="396"/>
    </row>
    <row r="44" ht="15.75" customHeight="1">
      <c r="A44" s="2"/>
      <c r="B44" s="2"/>
      <c r="C44" s="122" t="s">
        <v>29</v>
      </c>
      <c r="D44" s="394">
        <v>500000.0</v>
      </c>
      <c r="E44" s="75"/>
      <c r="F44" s="2"/>
      <c r="N44" s="126" t="s">
        <v>29</v>
      </c>
      <c r="O44" s="394">
        <v>300000.0</v>
      </c>
      <c r="P44" s="2"/>
      <c r="Q44" s="2"/>
      <c r="S44" s="199"/>
      <c r="T44" s="199"/>
      <c r="U44" s="199"/>
      <c r="V44" s="199"/>
      <c r="W44" s="199"/>
      <c r="X44" s="199"/>
      <c r="AI44" s="397"/>
      <c r="AJ44" s="346"/>
      <c r="AK44" s="391"/>
      <c r="AM44" s="397"/>
      <c r="AN44" s="387"/>
      <c r="AO44" s="391"/>
    </row>
    <row r="45" ht="15.75" customHeight="1">
      <c r="A45" s="61"/>
      <c r="B45" s="61"/>
      <c r="C45" s="61"/>
      <c r="D45" s="175"/>
      <c r="N45" s="175"/>
      <c r="O45" s="61"/>
      <c r="S45" s="199"/>
      <c r="T45" s="199"/>
      <c r="U45" s="199"/>
      <c r="V45" s="199"/>
      <c r="W45" s="199"/>
      <c r="X45" s="199"/>
      <c r="AI45" s="397" t="s">
        <v>301</v>
      </c>
      <c r="AJ45" s="346">
        <f>AJ42*29%</f>
        <v>210.277608</v>
      </c>
      <c r="AK45" s="391"/>
      <c r="AM45" s="397" t="s">
        <v>302</v>
      </c>
      <c r="AN45" s="387">
        <v>250.0</v>
      </c>
      <c r="AO45" s="391"/>
    </row>
    <row r="46" ht="15.75" customHeight="1">
      <c r="A46" s="61"/>
      <c r="B46" s="61"/>
      <c r="C46" s="61"/>
      <c r="O46" s="61"/>
      <c r="S46" s="199"/>
      <c r="T46" s="199"/>
      <c r="U46" s="199"/>
      <c r="V46" s="199"/>
      <c r="W46" s="199"/>
      <c r="X46" s="199"/>
      <c r="AI46" s="397" t="s">
        <v>303</v>
      </c>
      <c r="AJ46" s="346">
        <f>AJ42*29%</f>
        <v>210.277608</v>
      </c>
      <c r="AK46" s="391"/>
      <c r="AM46" s="397" t="s">
        <v>329</v>
      </c>
      <c r="AN46" s="387">
        <v>270.0</v>
      </c>
      <c r="AO46" s="391"/>
    </row>
    <row r="47" ht="15.75" customHeight="1">
      <c r="A47" s="61"/>
      <c r="B47" s="61"/>
      <c r="C47" s="61"/>
      <c r="N47" s="61"/>
      <c r="S47" s="199"/>
      <c r="T47" s="199"/>
      <c r="U47" s="199"/>
      <c r="V47" s="199"/>
      <c r="W47" s="199"/>
      <c r="X47" s="199"/>
      <c r="AI47" s="397" t="s">
        <v>330</v>
      </c>
      <c r="AJ47" s="346">
        <f>AJ42*29%</f>
        <v>210.277608</v>
      </c>
      <c r="AK47" s="391"/>
      <c r="AM47" s="397" t="s">
        <v>307</v>
      </c>
      <c r="AN47" s="387">
        <v>230.0</v>
      </c>
      <c r="AO47" s="391"/>
    </row>
    <row r="48" ht="15.75" customHeight="1">
      <c r="A48" s="61"/>
      <c r="B48" s="61"/>
      <c r="C48" s="61"/>
      <c r="N48" s="121"/>
      <c r="S48" s="199"/>
      <c r="T48" s="199"/>
      <c r="U48" s="199"/>
      <c r="V48" s="199"/>
      <c r="W48" s="199"/>
      <c r="X48" s="199"/>
      <c r="AI48" s="397" t="s">
        <v>308</v>
      </c>
      <c r="AJ48" s="346">
        <f>AJ42*13%</f>
        <v>94.262376</v>
      </c>
      <c r="AK48" s="391"/>
      <c r="AM48" s="397" t="s">
        <v>309</v>
      </c>
      <c r="AN48" s="387">
        <v>210.0</v>
      </c>
      <c r="AO48" s="391"/>
    </row>
    <row r="49" ht="15.75" customHeight="1">
      <c r="A49" s="61"/>
      <c r="B49" s="61"/>
      <c r="C49" s="61"/>
      <c r="S49" s="199"/>
      <c r="T49" s="199"/>
      <c r="U49" s="199"/>
      <c r="V49" s="199"/>
      <c r="W49" s="199"/>
      <c r="X49" s="199"/>
      <c r="AI49" s="397"/>
      <c r="AJ49" s="346"/>
      <c r="AK49" s="391"/>
      <c r="AM49" s="397" t="s">
        <v>312</v>
      </c>
      <c r="AN49" s="387">
        <v>210.0</v>
      </c>
      <c r="AO49" s="391"/>
    </row>
    <row r="50" ht="15.75" customHeight="1">
      <c r="AI50" s="397"/>
      <c r="AJ50" s="346"/>
      <c r="AK50" s="385"/>
      <c r="AM50" s="397" t="s">
        <v>313</v>
      </c>
      <c r="AN50" s="387">
        <v>210.0</v>
      </c>
      <c r="AO50" s="385"/>
    </row>
    <row r="51" ht="15.75" customHeight="1">
      <c r="AI51" s="385"/>
      <c r="AJ51" s="229"/>
      <c r="AK51" s="385"/>
      <c r="AM51" s="385"/>
      <c r="AN51" s="229"/>
      <c r="AO51" s="385"/>
    </row>
    <row r="52" ht="15.75" customHeight="1">
      <c r="AI52" s="385"/>
      <c r="AJ52" s="229"/>
      <c r="AK52" s="385"/>
      <c r="AM52" s="385"/>
      <c r="AN52" s="229"/>
      <c r="AO52" s="385"/>
    </row>
    <row r="53" ht="15.75" customHeight="1">
      <c r="AI53" s="388" t="s">
        <v>304</v>
      </c>
      <c r="AJ53" s="389">
        <f>AK41*60%-AK53</f>
        <v>877.6428</v>
      </c>
      <c r="AK53" s="390">
        <f>AJ56+AJ57+AJ58</f>
        <v>210</v>
      </c>
      <c r="AM53" s="388" t="s">
        <v>315</v>
      </c>
      <c r="AN53" s="400"/>
      <c r="AO53" s="401"/>
    </row>
    <row r="54" ht="15.75" customHeight="1">
      <c r="AI54" s="393" t="s">
        <v>310</v>
      </c>
      <c r="AJ54" s="346">
        <f>AJ53/2*17/31</f>
        <v>240.6439935</v>
      </c>
      <c r="AK54" s="385"/>
      <c r="AM54" s="393" t="s">
        <v>317</v>
      </c>
      <c r="AN54" s="387">
        <v>120.0</v>
      </c>
      <c r="AO54" s="385"/>
    </row>
    <row r="55" ht="15.75" customHeight="1">
      <c r="AI55" s="393" t="s">
        <v>318</v>
      </c>
      <c r="AJ55" s="346">
        <f>AJ53/2</f>
        <v>438.8214</v>
      </c>
      <c r="AK55" s="385"/>
      <c r="AM55" s="393"/>
      <c r="AN55" s="346"/>
      <c r="AO55" s="385"/>
    </row>
    <row r="56" ht="15.75" customHeight="1">
      <c r="AI56" s="393" t="s">
        <v>252</v>
      </c>
      <c r="AJ56" s="387">
        <v>80.0</v>
      </c>
      <c r="AK56" s="385"/>
      <c r="AM56" s="393"/>
      <c r="AN56" s="387"/>
      <c r="AO56" s="385"/>
    </row>
    <row r="57" ht="15.75" customHeight="1">
      <c r="AI57" s="393" t="s">
        <v>320</v>
      </c>
      <c r="AJ57" s="387">
        <v>80.0</v>
      </c>
      <c r="AK57" s="385"/>
      <c r="AM57" s="393"/>
      <c r="AN57" s="387"/>
      <c r="AO57" s="385"/>
    </row>
    <row r="58" ht="15.75" customHeight="1">
      <c r="AI58" s="384" t="s">
        <v>321</v>
      </c>
      <c r="AJ58" s="387">
        <v>50.0</v>
      </c>
      <c r="AK58" s="385"/>
      <c r="AM58" s="384"/>
      <c r="AN58" s="387"/>
      <c r="AO58" s="38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4:I6"/>
    <mergeCell ref="N4:T6"/>
    <mergeCell ref="AA4:AB4"/>
    <mergeCell ref="AD4:AE4"/>
    <mergeCell ref="AH4:AI4"/>
    <mergeCell ref="AK4:AL4"/>
    <mergeCell ref="C7:I7"/>
    <mergeCell ref="N7:T7"/>
  </mergeCells>
  <conditionalFormatting sqref="G9:G40 R9:R40 H40:M40 U40:X40">
    <cfRule type="cellIs" dxfId="0" priority="1" operator="greaterThanOrEqual">
      <formula>0</formula>
    </cfRule>
  </conditionalFormatting>
  <conditionalFormatting sqref="G9:G40 R9:R40 H40:M40 U40:X40">
    <cfRule type="cellIs" dxfId="1" priority="2" operator="lessThan">
      <formula>0</formula>
    </cfRule>
  </conditionalFormatting>
  <conditionalFormatting sqref="G9:G40 R9:R40 H40:M40 U40:X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89"/>
    <col customWidth="1" min="3" max="3" width="13.78"/>
    <col customWidth="1" min="4" max="4" width="21.44"/>
    <col customWidth="1" min="5" max="5" width="20.89"/>
    <col customWidth="1" min="6" max="6" width="24.67"/>
  </cols>
  <sheetData>
    <row r="2">
      <c r="B2" s="147" t="s">
        <v>32</v>
      </c>
      <c r="C2" s="147" t="s">
        <v>33</v>
      </c>
      <c r="D2" s="208" t="s">
        <v>325</v>
      </c>
      <c r="E2" s="339" t="s">
        <v>326</v>
      </c>
      <c r="F2" s="339" t="s">
        <v>327</v>
      </c>
      <c r="G2" s="339" t="s">
        <v>328</v>
      </c>
    </row>
    <row r="3">
      <c r="B3" s="207">
        <v>46143.0</v>
      </c>
      <c r="C3" s="208" t="str">
        <f t="shared" ref="C3:C33" si="1">TEXT(B3,"ddd")</f>
        <v>sex.</v>
      </c>
      <c r="D3" s="209">
        <f>26234-322</f>
        <v>25912</v>
      </c>
      <c r="E3" s="404">
        <f>85</f>
        <v>85</v>
      </c>
      <c r="F3" s="405">
        <f>890+215</f>
        <v>1105</v>
      </c>
      <c r="G3" s="406">
        <f t="shared" ref="G3:G33" si="2">(E3+F3)/D3</f>
        <v>0.04592466811</v>
      </c>
    </row>
    <row r="4">
      <c r="B4" s="207">
        <v>46144.0</v>
      </c>
      <c r="C4" s="208" t="str">
        <f t="shared" si="1"/>
        <v>sáb.</v>
      </c>
      <c r="D4" s="209">
        <f>33184.09-40</f>
        <v>33144.09</v>
      </c>
      <c r="E4" s="404">
        <f>340</f>
        <v>340</v>
      </c>
      <c r="F4" s="404">
        <f>1050+575</f>
        <v>1625</v>
      </c>
      <c r="G4" s="406">
        <f t="shared" si="2"/>
        <v>0.05928658774</v>
      </c>
    </row>
    <row r="5">
      <c r="B5" s="207">
        <v>46145.0</v>
      </c>
      <c r="C5" s="208" t="str">
        <f t="shared" si="1"/>
        <v>dom.</v>
      </c>
      <c r="D5" s="209">
        <f>12772.5-1143.7+13732.6-1253.41-280</f>
        <v>23827.99</v>
      </c>
      <c r="E5" s="404">
        <f>1175</f>
        <v>1175</v>
      </c>
      <c r="F5" s="405">
        <v>330.0</v>
      </c>
      <c r="G5" s="406">
        <f t="shared" si="2"/>
        <v>0.06316101358</v>
      </c>
    </row>
    <row r="6">
      <c r="B6" s="207">
        <v>46146.0</v>
      </c>
      <c r="C6" s="208" t="str">
        <f t="shared" si="1"/>
        <v>seg.</v>
      </c>
      <c r="D6" s="341">
        <f>6872.5</f>
        <v>6872.5</v>
      </c>
      <c r="E6" s="404">
        <f>270</f>
        <v>270</v>
      </c>
      <c r="F6" s="405">
        <v>215.0</v>
      </c>
      <c r="G6" s="406">
        <f t="shared" si="2"/>
        <v>0.07057111677</v>
      </c>
    </row>
    <row r="7">
      <c r="B7" s="207">
        <v>46147.0</v>
      </c>
      <c r="C7" s="208" t="str">
        <f t="shared" si="1"/>
        <v>ter.</v>
      </c>
      <c r="D7" s="209">
        <f>13235</f>
        <v>13235</v>
      </c>
      <c r="E7" s="404">
        <f>565+80+115</f>
        <v>760</v>
      </c>
      <c r="F7" s="404">
        <f>490+115</f>
        <v>605</v>
      </c>
      <c r="G7" s="406">
        <f t="shared" si="2"/>
        <v>0.1031356252</v>
      </c>
    </row>
    <row r="8">
      <c r="B8" s="207">
        <v>46148.0</v>
      </c>
      <c r="C8" s="208" t="str">
        <f t="shared" si="1"/>
        <v>qua.</v>
      </c>
      <c r="D8" s="209">
        <f>16860.5</f>
        <v>16860.5</v>
      </c>
      <c r="E8" s="404">
        <f>85+115</f>
        <v>200</v>
      </c>
      <c r="F8" s="404">
        <f>570</f>
        <v>570</v>
      </c>
      <c r="G8" s="406">
        <f t="shared" si="2"/>
        <v>0.04566887103</v>
      </c>
    </row>
    <row r="9">
      <c r="B9" s="207">
        <v>46149.0</v>
      </c>
      <c r="C9" s="208" t="str">
        <f t="shared" si="1"/>
        <v>qui.</v>
      </c>
      <c r="D9" s="209">
        <f>10617.5</f>
        <v>10617.5</v>
      </c>
      <c r="E9" s="404">
        <f>250</f>
        <v>250</v>
      </c>
      <c r="F9" s="404">
        <f>180+205</f>
        <v>385</v>
      </c>
      <c r="G9" s="406">
        <f t="shared" si="2"/>
        <v>0.05980692253</v>
      </c>
    </row>
    <row r="10">
      <c r="B10" s="207">
        <v>46150.0</v>
      </c>
      <c r="C10" s="208" t="str">
        <f t="shared" si="1"/>
        <v>sex.</v>
      </c>
      <c r="D10" s="375">
        <f>25926-168</f>
        <v>25758</v>
      </c>
      <c r="E10" s="404">
        <f>85</f>
        <v>85</v>
      </c>
      <c r="F10" s="404">
        <f>985+330</f>
        <v>1315</v>
      </c>
      <c r="G10" s="406">
        <f t="shared" si="2"/>
        <v>0.05435204597</v>
      </c>
    </row>
    <row r="11">
      <c r="B11" s="207">
        <v>46151.0</v>
      </c>
      <c r="C11" s="208" t="str">
        <f t="shared" si="1"/>
        <v>sáb.</v>
      </c>
      <c r="D11" s="209">
        <f>35229-4330-280</f>
        <v>30619</v>
      </c>
      <c r="E11" s="404">
        <f>85+115</f>
        <v>200</v>
      </c>
      <c r="F11" s="404">
        <f>115+1010</f>
        <v>1125</v>
      </c>
      <c r="G11" s="406">
        <f t="shared" si="2"/>
        <v>0.04327378425</v>
      </c>
    </row>
    <row r="12">
      <c r="B12" s="207">
        <v>46152.0</v>
      </c>
      <c r="C12" s="208" t="str">
        <f t="shared" si="1"/>
        <v>dom.</v>
      </c>
      <c r="D12" s="209">
        <f>27015</f>
        <v>27015</v>
      </c>
      <c r="E12" s="404">
        <f>165+160+115</f>
        <v>440</v>
      </c>
      <c r="F12" s="404">
        <f>1440+240+230</f>
        <v>1910</v>
      </c>
      <c r="G12" s="406">
        <f t="shared" si="2"/>
        <v>0.08698870998</v>
      </c>
    </row>
    <row r="13">
      <c r="B13" s="207">
        <v>46153.0</v>
      </c>
      <c r="C13" s="208" t="str">
        <f t="shared" si="1"/>
        <v>seg.</v>
      </c>
      <c r="D13" s="341">
        <v>8985.7</v>
      </c>
      <c r="E13" s="404">
        <f>185</f>
        <v>185</v>
      </c>
      <c r="F13" s="404">
        <f>240+215</f>
        <v>455</v>
      </c>
      <c r="G13" s="406">
        <f t="shared" si="2"/>
        <v>0.07122427858</v>
      </c>
    </row>
    <row r="14">
      <c r="B14" s="207">
        <v>46154.0</v>
      </c>
      <c r="C14" s="208" t="str">
        <f t="shared" si="1"/>
        <v>ter.</v>
      </c>
      <c r="D14" s="341">
        <v>7366.3</v>
      </c>
      <c r="E14" s="404">
        <f>340+80+130</f>
        <v>550</v>
      </c>
      <c r="F14" s="404">
        <f t="shared" ref="F14:F15" si="3">240</f>
        <v>240</v>
      </c>
      <c r="G14" s="406">
        <f t="shared" si="2"/>
        <v>0.107245157</v>
      </c>
    </row>
    <row r="15">
      <c r="B15" s="207">
        <v>46155.0</v>
      </c>
      <c r="C15" s="208" t="str">
        <f t="shared" si="1"/>
        <v>qua.</v>
      </c>
      <c r="D15" s="341">
        <v>10703.5</v>
      </c>
      <c r="E15" s="404">
        <f>435+80</f>
        <v>515</v>
      </c>
      <c r="F15" s="404">
        <f t="shared" si="3"/>
        <v>240</v>
      </c>
      <c r="G15" s="406">
        <f t="shared" si="2"/>
        <v>0.07053767459</v>
      </c>
    </row>
    <row r="16">
      <c r="B16" s="207">
        <v>46156.0</v>
      </c>
      <c r="C16" s="208" t="str">
        <f t="shared" si="1"/>
        <v>qui.</v>
      </c>
      <c r="D16" s="341">
        <v>13509.5</v>
      </c>
      <c r="E16" s="404">
        <f t="shared" ref="E16:E17" si="4">85</f>
        <v>85</v>
      </c>
      <c r="F16" s="404">
        <f>565+80+115</f>
        <v>760</v>
      </c>
      <c r="G16" s="406">
        <f t="shared" si="2"/>
        <v>0.06254857693</v>
      </c>
    </row>
    <row r="17">
      <c r="B17" s="207">
        <v>46157.0</v>
      </c>
      <c r="C17" s="208" t="str">
        <f t="shared" si="1"/>
        <v>sex.</v>
      </c>
      <c r="D17" s="209">
        <f>24151-217</f>
        <v>23934</v>
      </c>
      <c r="E17" s="404">
        <f t="shared" si="4"/>
        <v>85</v>
      </c>
      <c r="F17" s="404">
        <f>1475+345</f>
        <v>1820</v>
      </c>
      <c r="G17" s="406">
        <f t="shared" si="2"/>
        <v>0.07959388318</v>
      </c>
    </row>
    <row r="18">
      <c r="B18" s="207">
        <v>46158.0</v>
      </c>
      <c r="C18" s="208" t="str">
        <f t="shared" si="1"/>
        <v>sáb.</v>
      </c>
      <c r="D18" s="209">
        <f>31644.5-290</f>
        <v>31354.5</v>
      </c>
      <c r="E18" s="404">
        <f>170</f>
        <v>170</v>
      </c>
      <c r="F18" s="404">
        <f>1130+240+345</f>
        <v>1715</v>
      </c>
      <c r="G18" s="406">
        <f t="shared" si="2"/>
        <v>0.06011896219</v>
      </c>
    </row>
    <row r="19">
      <c r="B19" s="207">
        <v>46159.0</v>
      </c>
      <c r="C19" s="208" t="str">
        <f t="shared" si="1"/>
        <v>dom.</v>
      </c>
      <c r="D19" s="209">
        <f>29382-159</f>
        <v>29223</v>
      </c>
      <c r="E19" s="404">
        <f>200+80+115</f>
        <v>395</v>
      </c>
      <c r="F19" s="404">
        <f>970+160+230</f>
        <v>1360</v>
      </c>
      <c r="G19" s="406">
        <f t="shared" si="2"/>
        <v>0.06005543579</v>
      </c>
    </row>
    <row r="20">
      <c r="B20" s="207">
        <v>46160.0</v>
      </c>
      <c r="C20" s="208" t="str">
        <f t="shared" si="1"/>
        <v>seg.</v>
      </c>
      <c r="D20" s="209">
        <f>8109</f>
        <v>8109</v>
      </c>
      <c r="E20" s="404">
        <f>90</f>
        <v>90</v>
      </c>
      <c r="F20" s="404">
        <f>80+100</f>
        <v>180</v>
      </c>
      <c r="G20" s="406">
        <f t="shared" si="2"/>
        <v>0.0332963374</v>
      </c>
    </row>
    <row r="21">
      <c r="B21" s="207">
        <v>46161.0</v>
      </c>
      <c r="C21" s="208" t="str">
        <f t="shared" si="1"/>
        <v>ter.</v>
      </c>
      <c r="D21" s="209">
        <f>8499.6</f>
        <v>8499.6</v>
      </c>
      <c r="E21" s="404">
        <f>795</f>
        <v>795</v>
      </c>
      <c r="F21" s="405">
        <v>0.0</v>
      </c>
      <c r="G21" s="406">
        <f t="shared" si="2"/>
        <v>0.09353381336</v>
      </c>
    </row>
    <row r="22">
      <c r="B22" s="207">
        <v>46162.0</v>
      </c>
      <c r="C22" s="208" t="str">
        <f t="shared" si="1"/>
        <v>qua.</v>
      </c>
      <c r="D22" s="209">
        <f>5426.6</f>
        <v>5426.6</v>
      </c>
      <c r="E22" s="404">
        <f>80+115</f>
        <v>195</v>
      </c>
      <c r="F22" s="404">
        <f>80+90</f>
        <v>170</v>
      </c>
      <c r="G22" s="406">
        <f t="shared" si="2"/>
        <v>0.06726126857</v>
      </c>
    </row>
    <row r="23">
      <c r="B23" s="207">
        <v>46163.0</v>
      </c>
      <c r="C23" s="208" t="str">
        <f t="shared" si="1"/>
        <v>qui.</v>
      </c>
      <c r="D23" s="209">
        <f>9945</f>
        <v>9945</v>
      </c>
      <c r="E23" s="405">
        <v>0.0</v>
      </c>
      <c r="F23" s="404">
        <f>550</f>
        <v>550</v>
      </c>
      <c r="G23" s="406">
        <f t="shared" si="2"/>
        <v>0.05530417295</v>
      </c>
    </row>
    <row r="24">
      <c r="B24" s="207">
        <v>46164.0</v>
      </c>
      <c r="C24" s="208" t="str">
        <f t="shared" si="1"/>
        <v>sex.</v>
      </c>
      <c r="D24" s="209">
        <f>19073-238</f>
        <v>18835</v>
      </c>
      <c r="E24" s="404">
        <f>90+80</f>
        <v>170</v>
      </c>
      <c r="F24" s="404">
        <f>835+80+230</f>
        <v>1145</v>
      </c>
      <c r="G24" s="406">
        <f t="shared" si="2"/>
        <v>0.06981683037</v>
      </c>
    </row>
    <row r="25">
      <c r="B25" s="207">
        <v>46165.0</v>
      </c>
      <c r="C25" s="208" t="str">
        <f t="shared" si="1"/>
        <v>sáb.</v>
      </c>
      <c r="D25" s="209">
        <f>26517</f>
        <v>26517</v>
      </c>
      <c r="E25" s="404">
        <f>90</f>
        <v>90</v>
      </c>
      <c r="F25" s="404">
        <f>1275+80+345</f>
        <v>1700</v>
      </c>
      <c r="G25" s="406">
        <f t="shared" si="2"/>
        <v>0.06750386544</v>
      </c>
    </row>
    <row r="26">
      <c r="B26" s="207">
        <v>46166.0</v>
      </c>
      <c r="C26" s="208" t="str">
        <f t="shared" si="1"/>
        <v>dom.</v>
      </c>
      <c r="D26" s="209">
        <f>23305.12-18.51</f>
        <v>23286.61</v>
      </c>
      <c r="E26" s="404">
        <f>270+115</f>
        <v>385</v>
      </c>
      <c r="F26" s="404">
        <f>695+230</f>
        <v>925</v>
      </c>
      <c r="G26" s="406">
        <f t="shared" si="2"/>
        <v>0.05625550477</v>
      </c>
    </row>
    <row r="27">
      <c r="B27" s="207">
        <v>46167.0</v>
      </c>
      <c r="C27" s="208" t="str">
        <f t="shared" si="1"/>
        <v>seg.</v>
      </c>
      <c r="D27" s="209">
        <f>5556.7-11.8</f>
        <v>5544.9</v>
      </c>
      <c r="E27" s="404">
        <f>380+215</f>
        <v>595</v>
      </c>
      <c r="F27" s="405">
        <v>0.0</v>
      </c>
      <c r="G27" s="406">
        <f t="shared" si="2"/>
        <v>0.1073058125</v>
      </c>
    </row>
    <row r="28">
      <c r="B28" s="207">
        <v>46168.0</v>
      </c>
      <c r="C28" s="208" t="str">
        <f t="shared" si="1"/>
        <v>ter.</v>
      </c>
      <c r="D28" s="209">
        <f>7107.5</f>
        <v>7107.5</v>
      </c>
      <c r="E28" s="404">
        <f>170+80+115</f>
        <v>365</v>
      </c>
      <c r="F28" s="405">
        <v>0.0</v>
      </c>
      <c r="G28" s="406">
        <f t="shared" si="2"/>
        <v>0.05135420331</v>
      </c>
    </row>
    <row r="29">
      <c r="B29" s="207">
        <v>46169.0</v>
      </c>
      <c r="C29" s="208" t="str">
        <f t="shared" si="1"/>
        <v>qua.</v>
      </c>
      <c r="D29" s="209">
        <f>13000.13</f>
        <v>13000.13</v>
      </c>
      <c r="E29" s="405">
        <f>235+345</f>
        <v>580</v>
      </c>
      <c r="F29" s="405">
        <v>80.0</v>
      </c>
      <c r="G29" s="406">
        <f t="shared" si="2"/>
        <v>0.05076872308</v>
      </c>
    </row>
    <row r="30">
      <c r="B30" s="207">
        <v>46170.0</v>
      </c>
      <c r="C30" s="208" t="str">
        <f t="shared" si="1"/>
        <v>qui.</v>
      </c>
      <c r="D30" s="209">
        <f>10823.7-732</f>
        <v>10091.7</v>
      </c>
      <c r="E30" s="405">
        <v>0.0</v>
      </c>
      <c r="F30" s="405">
        <v>1160.0</v>
      </c>
      <c r="G30" s="406">
        <f t="shared" si="2"/>
        <v>0.1149459457</v>
      </c>
    </row>
    <row r="31">
      <c r="B31" s="207">
        <v>46171.0</v>
      </c>
      <c r="C31" s="208" t="str">
        <f t="shared" si="1"/>
        <v>sex.</v>
      </c>
      <c r="D31" s="209">
        <f>18809.9-294</f>
        <v>18515.9</v>
      </c>
      <c r="E31" s="404">
        <f>115</f>
        <v>115</v>
      </c>
      <c r="F31" s="404">
        <f>660+80+115</f>
        <v>855</v>
      </c>
      <c r="G31" s="406">
        <f t="shared" si="2"/>
        <v>0.05238740758</v>
      </c>
    </row>
    <row r="32">
      <c r="B32" s="207">
        <v>46172.0</v>
      </c>
      <c r="C32" s="208" t="str">
        <f t="shared" si="1"/>
        <v>sáb.</v>
      </c>
      <c r="D32" s="209">
        <f>30681</f>
        <v>30681</v>
      </c>
      <c r="E32" s="405">
        <v>0.0</v>
      </c>
      <c r="F32" s="405">
        <v>1765.0</v>
      </c>
      <c r="G32" s="406">
        <f t="shared" si="2"/>
        <v>0.05752745999</v>
      </c>
    </row>
    <row r="33">
      <c r="B33" s="207">
        <v>46173.0</v>
      </c>
      <c r="C33" s="208" t="str">
        <f t="shared" si="1"/>
        <v>dom.</v>
      </c>
      <c r="D33" s="209">
        <f>21490.6</f>
        <v>21490.6</v>
      </c>
      <c r="E33" s="404">
        <f>270</f>
        <v>270</v>
      </c>
      <c r="F33" s="404">
        <f>950+160+345</f>
        <v>1455</v>
      </c>
      <c r="G33" s="406">
        <f t="shared" si="2"/>
        <v>0.0802676519</v>
      </c>
    </row>
    <row r="34">
      <c r="D34" s="219">
        <f t="shared" ref="D34:F34" si="5">SUM(D3:D33)</f>
        <v>545988.62</v>
      </c>
      <c r="E34" s="219">
        <f t="shared" si="5"/>
        <v>9440</v>
      </c>
      <c r="F34" s="219">
        <f t="shared" si="5"/>
        <v>25760</v>
      </c>
      <c r="G34" s="407">
        <v>0.0678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40.56"/>
    <col customWidth="1" min="4" max="4" width="32.44"/>
    <col customWidth="1" min="5" max="5" width="70.89"/>
  </cols>
  <sheetData>
    <row r="3">
      <c r="B3" s="317"/>
      <c r="C3" s="271"/>
      <c r="D3" s="317"/>
      <c r="E3" s="318" t="s">
        <v>236</v>
      </c>
    </row>
    <row r="4">
      <c r="B4" s="317"/>
      <c r="C4" s="271"/>
      <c r="D4" s="271"/>
      <c r="E4" s="319">
        <f>20%</f>
        <v>0.2</v>
      </c>
    </row>
    <row r="5">
      <c r="B5" s="320" t="s">
        <v>242</v>
      </c>
      <c r="C5" s="321" t="s">
        <v>222</v>
      </c>
      <c r="D5" s="335" t="s">
        <v>331</v>
      </c>
      <c r="E5" s="323"/>
    </row>
    <row r="6">
      <c r="B6" s="338" t="s">
        <v>247</v>
      </c>
      <c r="C6" s="325" t="s">
        <v>226</v>
      </c>
      <c r="D6" s="349">
        <f>117332-630-50-280-10423.99</f>
        <v>105948.01</v>
      </c>
      <c r="E6" s="327">
        <f>D6/500000</f>
        <v>0.21189602</v>
      </c>
    </row>
    <row r="7">
      <c r="B7" s="336" t="s">
        <v>244</v>
      </c>
      <c r="C7" s="325" t="s">
        <v>227</v>
      </c>
      <c r="D7" s="326">
        <f>81061-250-350-280-10423.99</f>
        <v>69757.01</v>
      </c>
      <c r="E7" s="327">
        <f>D7/500000+0.42%</f>
        <v>0.14371402</v>
      </c>
    </row>
    <row r="8">
      <c r="B8" s="338" t="s">
        <v>249</v>
      </c>
      <c r="C8" s="325" t="s">
        <v>228</v>
      </c>
      <c r="D8" s="326">
        <f>113524.5-50-250-266-10423.99</f>
        <v>102534.51</v>
      </c>
      <c r="E8" s="327">
        <f t="shared" ref="E8:E10" si="1">D8/500000</f>
        <v>0.20506902</v>
      </c>
    </row>
    <row r="9">
      <c r="B9" s="336" t="s">
        <v>246</v>
      </c>
      <c r="C9" s="325" t="s">
        <v>230</v>
      </c>
      <c r="D9" s="326">
        <f>122762.5-10423.99</f>
        <v>112338.51</v>
      </c>
      <c r="E9" s="327">
        <f t="shared" si="1"/>
        <v>0.22467702</v>
      </c>
    </row>
    <row r="10">
      <c r="B10" s="336" t="s">
        <v>245</v>
      </c>
      <c r="C10" s="328" t="s">
        <v>231</v>
      </c>
      <c r="D10" s="326">
        <f>118219-175-25-280-10423.99</f>
        <v>107315.01</v>
      </c>
      <c r="E10" s="327">
        <f t="shared" si="1"/>
        <v>0.21463002</v>
      </c>
    </row>
    <row r="11">
      <c r="B11" s="338"/>
      <c r="C11" s="328"/>
      <c r="D11" s="329"/>
      <c r="E11" s="327"/>
    </row>
    <row r="12">
      <c r="B12" s="336"/>
      <c r="C12" s="317"/>
      <c r="D12" s="219">
        <f>SUM(D6:D10)+1971+75+840+D15</f>
        <v>549875.05</v>
      </c>
      <c r="E12" s="327">
        <f>E6+E7+E8+E9+E10</f>
        <v>0.9999861</v>
      </c>
    </row>
    <row r="13">
      <c r="B13" s="325"/>
      <c r="C13" s="317"/>
      <c r="D13" s="317"/>
      <c r="E13" s="317"/>
    </row>
    <row r="14">
      <c r="B14" s="330"/>
      <c r="C14" s="317" t="s">
        <v>257</v>
      </c>
      <c r="D14" s="408">
        <v>3023.96</v>
      </c>
      <c r="E14" s="317"/>
    </row>
    <row r="15">
      <c r="B15" s="317"/>
      <c r="C15" s="317" t="s">
        <v>258</v>
      </c>
      <c r="D15" s="271">
        <f>1325+15+324+47225+197+10</f>
        <v>49096</v>
      </c>
      <c r="E15" s="355" t="s">
        <v>332</v>
      </c>
    </row>
    <row r="16">
      <c r="B16" s="317"/>
      <c r="C16" s="317" t="s">
        <v>259</v>
      </c>
      <c r="D16" s="354">
        <f>SUM(D14:D15)</f>
        <v>52119.96</v>
      </c>
      <c r="E16" s="317"/>
    </row>
    <row r="17">
      <c r="B17" s="317"/>
      <c r="C17" s="317" t="s">
        <v>260</v>
      </c>
      <c r="D17" s="354">
        <f>D16/5</f>
        <v>10423.992</v>
      </c>
      <c r="E17" s="317"/>
    </row>
    <row r="19">
      <c r="D19" s="219">
        <f>601995-D14-D15</f>
        <v>549875.04</v>
      </c>
    </row>
    <row r="20">
      <c r="C20" s="317" t="s">
        <v>261</v>
      </c>
      <c r="D20" s="271">
        <f>D19+D14+D15</f>
        <v>601995</v>
      </c>
      <c r="E20" s="355" t="s">
        <v>333</v>
      </c>
    </row>
    <row r="21">
      <c r="D21" s="61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9.0"/>
    <col customWidth="1" min="4" max="4" width="17.44"/>
    <col customWidth="1" min="5" max="6" width="21.44"/>
    <col customWidth="1" min="7" max="7" width="10.89"/>
    <col customWidth="1" min="8" max="8" width="13.67"/>
    <col customWidth="1" min="9" max="9" width="10.33"/>
    <col customWidth="1" min="10" max="10" width="12.44"/>
    <col customWidth="1" min="11" max="11" width="11.22"/>
    <col customWidth="1" min="12" max="12" width="13.56"/>
    <col customWidth="1" min="13" max="13" width="14.78"/>
    <col customWidth="1" min="14" max="14" width="17.11"/>
    <col customWidth="1" min="15" max="15" width="17.44"/>
    <col customWidth="1" min="16" max="16" width="15.89"/>
    <col customWidth="1" min="17" max="17" width="15.78"/>
    <col customWidth="1" min="18" max="18" width="8.44"/>
    <col customWidth="1" min="19" max="19" width="13.67"/>
    <col customWidth="1" min="20" max="20" width="10.89"/>
    <col customWidth="1" min="21" max="21" width="12.44"/>
    <col customWidth="1" min="22" max="22" width="11.22"/>
    <col customWidth="1" min="23" max="23" width="13.56"/>
    <col customWidth="1" min="24" max="24" width="14.78"/>
    <col customWidth="1" min="25" max="25" width="10.56"/>
    <col customWidth="1" min="26" max="26" width="4.33"/>
    <col customWidth="1" min="27" max="27" width="16.0"/>
    <col customWidth="1" min="28" max="28" width="12.33"/>
    <col customWidth="1" min="29" max="29" width="13.22"/>
    <col customWidth="1" min="30" max="30" width="14.33"/>
    <col customWidth="1" min="31" max="31" width="13.22"/>
    <col customWidth="1" min="32" max="32" width="5.89"/>
    <col customWidth="1" min="33" max="33" width="4.33"/>
    <col customWidth="1" min="34" max="34" width="26.33"/>
    <col customWidth="1" min="35" max="35" width="17.0"/>
    <col customWidth="1" min="36" max="36" width="11.78"/>
    <col customWidth="1" min="37" max="37" width="12.33"/>
    <col customWidth="1" min="38" max="38" width="33.67"/>
    <col customWidth="1" min="39" max="39" width="14.11"/>
    <col customWidth="1" min="40" max="40" width="12.22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  <c r="AM4" s="2"/>
      <c r="AN4" s="2"/>
    </row>
    <row r="5" ht="15.75" customHeight="1">
      <c r="A5" s="288"/>
      <c r="B5" s="288"/>
      <c r="C5" s="31"/>
      <c r="M5" s="32"/>
      <c r="N5" s="31"/>
      <c r="X5" s="32"/>
      <c r="AA5" s="359">
        <v>45778.0</v>
      </c>
      <c r="AB5" s="359">
        <v>45809.0</v>
      </c>
      <c r="AD5" s="359">
        <v>45778.0</v>
      </c>
      <c r="AE5" s="359">
        <v>45809.0</v>
      </c>
      <c r="AH5" s="359">
        <v>46143.0</v>
      </c>
      <c r="AI5" s="359">
        <v>46174.0</v>
      </c>
      <c r="AK5" s="359">
        <v>46143.0</v>
      </c>
      <c r="AL5" s="359">
        <v>46174.0</v>
      </c>
      <c r="AM5" s="360"/>
      <c r="AN5" s="360"/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" t="s">
        <v>45</v>
      </c>
      <c r="AA6" s="384">
        <v>6243.03</v>
      </c>
      <c r="AB6" s="384">
        <v>4818.09</v>
      </c>
      <c r="AC6" s="66">
        <f t="shared" ref="AC6:AC12" si="1">AB6/AA6-1</f>
        <v>-0.2282449388</v>
      </c>
      <c r="AD6" s="384">
        <v>3511.02</v>
      </c>
      <c r="AE6" s="384">
        <v>4988.87</v>
      </c>
      <c r="AF6" s="66">
        <f t="shared" ref="AF6:AF12" si="2">AE6/AD6-1</f>
        <v>0.4209175681</v>
      </c>
      <c r="AG6" s="2" t="s">
        <v>45</v>
      </c>
      <c r="AH6" s="384">
        <v>7378.03</v>
      </c>
      <c r="AI6" s="274">
        <f t="shared" ref="AI6:AI12" si="3">AH6*AC6+AH6</f>
        <v>5694.031995</v>
      </c>
      <c r="AJ6" s="75"/>
      <c r="AK6" s="384">
        <v>2911.02</v>
      </c>
      <c r="AL6" s="274">
        <f t="shared" ref="AL6:AL12" si="4">AK6*AF6+AK6</f>
        <v>4136.319459</v>
      </c>
      <c r="AM6" s="361"/>
      <c r="AN6" s="361"/>
    </row>
    <row r="7" ht="15.75" customHeight="1">
      <c r="A7" s="8"/>
      <c r="B7" s="8"/>
      <c r="C7" s="147" t="s">
        <v>32</v>
      </c>
      <c r="D7" s="147" t="s">
        <v>33</v>
      </c>
      <c r="E7" s="203" t="s">
        <v>36</v>
      </c>
      <c r="F7" s="147" t="s">
        <v>37</v>
      </c>
      <c r="G7" s="44" t="s">
        <v>38</v>
      </c>
      <c r="H7" s="47" t="s">
        <v>161</v>
      </c>
      <c r="I7" s="47" t="s">
        <v>162</v>
      </c>
      <c r="J7" s="44" t="s">
        <v>163</v>
      </c>
      <c r="K7" s="44" t="s">
        <v>164</v>
      </c>
      <c r="L7" s="44" t="s">
        <v>254</v>
      </c>
      <c r="M7" s="44" t="s">
        <v>166</v>
      </c>
      <c r="N7" s="204" t="s">
        <v>32</v>
      </c>
      <c r="O7" s="204" t="s">
        <v>33</v>
      </c>
      <c r="P7" s="204" t="s">
        <v>36</v>
      </c>
      <c r="Q7" s="204" t="s">
        <v>37</v>
      </c>
      <c r="R7" s="44" t="s">
        <v>38</v>
      </c>
      <c r="S7" s="205" t="s">
        <v>161</v>
      </c>
      <c r="T7" s="47" t="s">
        <v>255</v>
      </c>
      <c r="U7" s="44" t="s">
        <v>163</v>
      </c>
      <c r="V7" s="44" t="s">
        <v>164</v>
      </c>
      <c r="W7" s="44" t="s">
        <v>254</v>
      </c>
      <c r="X7" s="44" t="s">
        <v>166</v>
      </c>
      <c r="Z7" s="409" t="s">
        <v>46</v>
      </c>
      <c r="AA7" s="384">
        <v>5409.79</v>
      </c>
      <c r="AB7" s="384">
        <v>4746.02</v>
      </c>
      <c r="AC7" s="66">
        <f t="shared" si="1"/>
        <v>-0.1226979236</v>
      </c>
      <c r="AD7" s="384">
        <v>4338.68</v>
      </c>
      <c r="AE7" s="384">
        <v>5157.49</v>
      </c>
      <c r="AF7" s="66">
        <f t="shared" si="2"/>
        <v>0.1887232983</v>
      </c>
      <c r="AG7" s="409" t="s">
        <v>46</v>
      </c>
      <c r="AH7" s="384">
        <v>9052.1</v>
      </c>
      <c r="AI7" s="274">
        <f t="shared" si="3"/>
        <v>7941.426126</v>
      </c>
      <c r="AJ7" s="75"/>
      <c r="AK7" s="384">
        <v>5519.83</v>
      </c>
      <c r="AL7" s="274">
        <f t="shared" si="4"/>
        <v>6561.550524</v>
      </c>
      <c r="AM7" s="361"/>
      <c r="AN7" s="361"/>
    </row>
    <row r="8" ht="15.75" customHeight="1">
      <c r="A8" s="8"/>
      <c r="B8" s="8"/>
      <c r="C8" s="207">
        <v>46174.0</v>
      </c>
      <c r="D8" s="208" t="str">
        <f t="shared" ref="D8:D37" si="5">TEXT(C8,"ddd")</f>
        <v>seg.</v>
      </c>
      <c r="E8" s="341">
        <v>7400.0</v>
      </c>
      <c r="F8" s="341">
        <v>6544.5</v>
      </c>
      <c r="G8" s="51">
        <f t="shared" ref="G8:G37" si="6">F8-E8</f>
        <v>-855.5</v>
      </c>
      <c r="H8" s="210">
        <v>23.0</v>
      </c>
      <c r="I8" s="265">
        <f t="shared" ref="I8:I37" si="7">F8/H8</f>
        <v>284.5434783</v>
      </c>
      <c r="J8" s="363">
        <v>9.0</v>
      </c>
      <c r="K8" s="364">
        <f>1+9</f>
        <v>10</v>
      </c>
      <c r="L8" s="363">
        <v>17.0</v>
      </c>
      <c r="M8" s="364">
        <f t="shared" ref="M8:M37" si="8">L8+K8+J8</f>
        <v>36</v>
      </c>
      <c r="N8" s="350">
        <f t="shared" ref="N8:N37" si="9">C8</f>
        <v>46174</v>
      </c>
      <c r="O8" s="204" t="str">
        <f t="shared" ref="O8:O37" si="10">TEXT(N8,"ddd")</f>
        <v>seg.</v>
      </c>
      <c r="P8" s="351">
        <v>3000.0</v>
      </c>
      <c r="Q8" s="213">
        <f>6099.56-365.22</f>
        <v>5734.34</v>
      </c>
      <c r="R8" s="51">
        <f t="shared" ref="R8:R37" si="11">Q8-P8</f>
        <v>2734.34</v>
      </c>
      <c r="S8" s="217">
        <v>33.0</v>
      </c>
      <c r="T8" s="291">
        <f t="shared" ref="T8:T37" si="12">Q8/S8</f>
        <v>173.7678788</v>
      </c>
      <c r="U8" s="217">
        <v>11.0</v>
      </c>
      <c r="V8" s="291">
        <f>3.5+14.5</f>
        <v>18</v>
      </c>
      <c r="W8" s="217">
        <v>14.0</v>
      </c>
      <c r="X8" s="291">
        <f t="shared" ref="X8:X37" si="13">W8+V8+U8</f>
        <v>43</v>
      </c>
      <c r="Z8" s="2" t="s">
        <v>40</v>
      </c>
      <c r="AA8" s="384">
        <v>4683.4</v>
      </c>
      <c r="AB8" s="384">
        <v>6607.22</v>
      </c>
      <c r="AC8" s="66">
        <f t="shared" si="1"/>
        <v>0.4107742239</v>
      </c>
      <c r="AD8" s="384">
        <v>5256.36</v>
      </c>
      <c r="AE8" s="384">
        <v>5422.32</v>
      </c>
      <c r="AF8" s="66">
        <f t="shared" si="2"/>
        <v>0.03157317992</v>
      </c>
      <c r="AG8" s="2" t="s">
        <v>40</v>
      </c>
      <c r="AH8" s="384">
        <v>11497.68</v>
      </c>
      <c r="AI8" s="274">
        <f t="shared" si="3"/>
        <v>16220.63058</v>
      </c>
      <c r="AJ8" s="75"/>
      <c r="AK8" s="384">
        <v>4218.43</v>
      </c>
      <c r="AL8" s="274">
        <f t="shared" si="4"/>
        <v>4351.619249</v>
      </c>
      <c r="AM8" s="361"/>
      <c r="AN8" s="361"/>
    </row>
    <row r="9" ht="15.75" customHeight="1">
      <c r="A9" s="8"/>
      <c r="B9" s="8"/>
      <c r="C9" s="207">
        <v>46175.0</v>
      </c>
      <c r="D9" s="208" t="str">
        <f t="shared" si="5"/>
        <v>ter.</v>
      </c>
      <c r="E9" s="341">
        <v>9000.0</v>
      </c>
      <c r="F9" s="341">
        <v>7380.0</v>
      </c>
      <c r="G9" s="51">
        <f t="shared" si="6"/>
        <v>-1620</v>
      </c>
      <c r="H9" s="210">
        <v>31.0</v>
      </c>
      <c r="I9" s="265">
        <f t="shared" si="7"/>
        <v>238.0645161</v>
      </c>
      <c r="J9" s="363">
        <v>10.0</v>
      </c>
      <c r="K9" s="363">
        <f>1.5+10.5</f>
        <v>12</v>
      </c>
      <c r="L9" s="363">
        <v>23.0</v>
      </c>
      <c r="M9" s="364">
        <f t="shared" si="8"/>
        <v>45</v>
      </c>
      <c r="N9" s="350">
        <f t="shared" si="9"/>
        <v>46175</v>
      </c>
      <c r="O9" s="204" t="str">
        <f t="shared" si="10"/>
        <v>ter.</v>
      </c>
      <c r="P9" s="351">
        <v>5600.0</v>
      </c>
      <c r="Q9" s="213">
        <f>7169.26-704.25</f>
        <v>6465.01</v>
      </c>
      <c r="R9" s="51">
        <f t="shared" si="11"/>
        <v>865.01</v>
      </c>
      <c r="S9" s="217">
        <v>51.0</v>
      </c>
      <c r="T9" s="291">
        <f t="shared" si="12"/>
        <v>126.764902</v>
      </c>
      <c r="U9" s="217">
        <v>7.0</v>
      </c>
      <c r="V9" s="291">
        <f>10.5+32.5</f>
        <v>43</v>
      </c>
      <c r="W9" s="217">
        <v>4.0</v>
      </c>
      <c r="X9" s="291">
        <f t="shared" si="13"/>
        <v>54</v>
      </c>
      <c r="Z9" s="2" t="s">
        <v>47</v>
      </c>
      <c r="AA9" s="384">
        <v>5746.88</v>
      </c>
      <c r="AB9" s="384">
        <v>9838.19</v>
      </c>
      <c r="AC9" s="66">
        <f t="shared" si="1"/>
        <v>0.7119184671</v>
      </c>
      <c r="AD9" s="384">
        <v>7354.0</v>
      </c>
      <c r="AE9" s="384">
        <v>8928.65</v>
      </c>
      <c r="AF9" s="66">
        <f t="shared" si="2"/>
        <v>0.2141215665</v>
      </c>
      <c r="AG9" s="2" t="s">
        <v>47</v>
      </c>
      <c r="AH9" s="384">
        <v>11040.93</v>
      </c>
      <c r="AI9" s="274">
        <f t="shared" si="3"/>
        <v>18901.17196</v>
      </c>
      <c r="AJ9" s="75"/>
      <c r="AK9" s="384">
        <v>5554.12</v>
      </c>
      <c r="AL9" s="274">
        <f t="shared" si="4"/>
        <v>6743.376875</v>
      </c>
      <c r="AM9" s="361"/>
      <c r="AN9" s="361"/>
    </row>
    <row r="10" ht="15.75" customHeight="1">
      <c r="A10" s="8"/>
      <c r="B10" s="8"/>
      <c r="C10" s="207">
        <v>46176.0</v>
      </c>
      <c r="D10" s="208" t="str">
        <f t="shared" si="5"/>
        <v>qua.</v>
      </c>
      <c r="E10" s="341">
        <v>11500.0</v>
      </c>
      <c r="F10" s="209">
        <f>17213-1082.4</f>
        <v>16130.6</v>
      </c>
      <c r="G10" s="51">
        <f t="shared" si="6"/>
        <v>4630.6</v>
      </c>
      <c r="H10" s="210">
        <v>63.0</v>
      </c>
      <c r="I10" s="265">
        <f t="shared" si="7"/>
        <v>256.0412698</v>
      </c>
      <c r="J10" s="363">
        <v>21.0</v>
      </c>
      <c r="K10" s="364">
        <f>3.5+26.5</f>
        <v>30</v>
      </c>
      <c r="L10" s="363">
        <v>42.0</v>
      </c>
      <c r="M10" s="364">
        <f t="shared" si="8"/>
        <v>93</v>
      </c>
      <c r="N10" s="350">
        <f t="shared" si="9"/>
        <v>46176</v>
      </c>
      <c r="O10" s="204" t="str">
        <f t="shared" si="10"/>
        <v>qua.</v>
      </c>
      <c r="P10" s="351">
        <v>4200.0</v>
      </c>
      <c r="Q10" s="213">
        <f>8978.01-625.98</f>
        <v>8352.03</v>
      </c>
      <c r="R10" s="51">
        <f t="shared" si="11"/>
        <v>4152.03</v>
      </c>
      <c r="S10" s="217">
        <v>46.0</v>
      </c>
      <c r="T10" s="291">
        <f t="shared" si="12"/>
        <v>181.5658696</v>
      </c>
      <c r="U10" s="217">
        <v>19.0</v>
      </c>
      <c r="V10" s="291">
        <f>3+31</f>
        <v>34</v>
      </c>
      <c r="W10" s="217">
        <v>11.0</v>
      </c>
      <c r="X10" s="291">
        <f t="shared" si="13"/>
        <v>64</v>
      </c>
      <c r="Z10" s="2" t="s">
        <v>48</v>
      </c>
      <c r="AA10" s="384">
        <v>13751.66</v>
      </c>
      <c r="AB10" s="384">
        <v>11702.75</v>
      </c>
      <c r="AC10" s="66">
        <f t="shared" si="1"/>
        <v>-0.1489936488</v>
      </c>
      <c r="AD10" s="384">
        <v>11054.8</v>
      </c>
      <c r="AE10" s="384">
        <v>12581.14</v>
      </c>
      <c r="AF10" s="66">
        <f t="shared" si="2"/>
        <v>0.1380703405</v>
      </c>
      <c r="AG10" s="2" t="s">
        <v>48</v>
      </c>
      <c r="AH10" s="384">
        <v>22590.98</v>
      </c>
      <c r="AI10" s="274">
        <f t="shared" si="3"/>
        <v>19225.06746</v>
      </c>
      <c r="AJ10" s="75"/>
      <c r="AK10" s="384">
        <v>11026.75</v>
      </c>
      <c r="AL10" s="274">
        <f t="shared" si="4"/>
        <v>12549.21713</v>
      </c>
      <c r="AM10" s="361"/>
      <c r="AN10" s="361"/>
    </row>
    <row r="11" ht="15.75" customHeight="1">
      <c r="A11" s="8"/>
      <c r="B11" s="8"/>
      <c r="C11" s="207">
        <v>46177.0</v>
      </c>
      <c r="D11" s="208" t="str">
        <f t="shared" si="5"/>
        <v>qui.</v>
      </c>
      <c r="E11" s="209">
        <f>11200*36%+11200-32</f>
        <v>15200</v>
      </c>
      <c r="F11" s="209">
        <f>22789.35</f>
        <v>22789.35</v>
      </c>
      <c r="G11" s="51">
        <f t="shared" si="6"/>
        <v>7589.35</v>
      </c>
      <c r="H11" s="210">
        <v>101.0</v>
      </c>
      <c r="I11" s="265">
        <f t="shared" si="7"/>
        <v>225.6371287</v>
      </c>
      <c r="J11" s="363">
        <v>20.0</v>
      </c>
      <c r="K11" s="364">
        <f>8.5+48.5</f>
        <v>57</v>
      </c>
      <c r="L11" s="363">
        <v>52.0</v>
      </c>
      <c r="M11" s="364">
        <f t="shared" si="8"/>
        <v>129</v>
      </c>
      <c r="N11" s="350">
        <f t="shared" si="9"/>
        <v>46177</v>
      </c>
      <c r="O11" s="204" t="str">
        <f t="shared" si="10"/>
        <v>qui.</v>
      </c>
      <c r="P11" s="351">
        <v>12000.0</v>
      </c>
      <c r="Q11" s="213">
        <f>12787.18-982.55</f>
        <v>11804.63</v>
      </c>
      <c r="R11" s="51">
        <f t="shared" si="11"/>
        <v>-195.37</v>
      </c>
      <c r="S11" s="217">
        <v>67.0</v>
      </c>
      <c r="T11" s="291">
        <f t="shared" si="12"/>
        <v>176.1885075</v>
      </c>
      <c r="U11" s="217">
        <v>20.0</v>
      </c>
      <c r="V11" s="291">
        <f>8+43</f>
        <v>51</v>
      </c>
      <c r="W11" s="217">
        <v>20.0</v>
      </c>
      <c r="X11" s="291">
        <f t="shared" si="13"/>
        <v>91</v>
      </c>
      <c r="Z11" s="2" t="s">
        <v>171</v>
      </c>
      <c r="AA11" s="384">
        <v>18752.67</v>
      </c>
      <c r="AB11" s="384">
        <v>16036.29</v>
      </c>
      <c r="AC11" s="66">
        <f t="shared" si="1"/>
        <v>-0.1448529729</v>
      </c>
      <c r="AD11" s="384">
        <v>13922.68</v>
      </c>
      <c r="AE11" s="384">
        <v>16090.84</v>
      </c>
      <c r="AF11" s="66">
        <f t="shared" si="2"/>
        <v>0.1557286385</v>
      </c>
      <c r="AG11" s="2" t="s">
        <v>171</v>
      </c>
      <c r="AH11" s="384">
        <v>30463.12</v>
      </c>
      <c r="AI11" s="274">
        <f t="shared" si="3"/>
        <v>26050.4465</v>
      </c>
      <c r="AJ11" s="75"/>
      <c r="AK11" s="384">
        <v>13788.68</v>
      </c>
      <c r="AL11" s="274">
        <f t="shared" si="4"/>
        <v>15935.97236</v>
      </c>
      <c r="AM11" s="361"/>
      <c r="AN11" s="361"/>
    </row>
    <row r="12" ht="15.75" customHeight="1">
      <c r="A12" s="8"/>
      <c r="B12" s="8"/>
      <c r="C12" s="207">
        <v>46178.0</v>
      </c>
      <c r="D12" s="208" t="str">
        <f t="shared" si="5"/>
        <v>sex.</v>
      </c>
      <c r="E12" s="341">
        <v>22700.0</v>
      </c>
      <c r="F12" s="209">
        <f>26867.5-315</f>
        <v>26552.5</v>
      </c>
      <c r="G12" s="51">
        <f t="shared" si="6"/>
        <v>3852.5</v>
      </c>
      <c r="H12" s="210">
        <v>100.0</v>
      </c>
      <c r="I12" s="265">
        <f t="shared" si="7"/>
        <v>265.525</v>
      </c>
      <c r="J12" s="363">
        <v>29.0</v>
      </c>
      <c r="K12" s="364">
        <f>9+52</f>
        <v>61</v>
      </c>
      <c r="L12" s="363">
        <v>60.0</v>
      </c>
      <c r="M12" s="364">
        <f t="shared" si="8"/>
        <v>150</v>
      </c>
      <c r="N12" s="350">
        <f t="shared" si="9"/>
        <v>46178</v>
      </c>
      <c r="O12" s="204" t="str">
        <f t="shared" si="10"/>
        <v>sex.</v>
      </c>
      <c r="P12" s="351">
        <v>11000.0</v>
      </c>
      <c r="Q12" s="213">
        <f>10443.38-804.94</f>
        <v>9638.44</v>
      </c>
      <c r="R12" s="51">
        <f t="shared" si="11"/>
        <v>-1361.56</v>
      </c>
      <c r="S12" s="217">
        <v>59.0</v>
      </c>
      <c r="T12" s="291">
        <f t="shared" si="12"/>
        <v>163.3633898</v>
      </c>
      <c r="U12" s="217">
        <v>16.0</v>
      </c>
      <c r="V12" s="291">
        <f>9+41</f>
        <v>50</v>
      </c>
      <c r="W12" s="217">
        <v>11.0</v>
      </c>
      <c r="X12" s="291">
        <f t="shared" si="13"/>
        <v>77</v>
      </c>
      <c r="Z12" s="2" t="s">
        <v>44</v>
      </c>
      <c r="AA12" s="384">
        <v>20444.76</v>
      </c>
      <c r="AB12" s="384">
        <v>18017.17</v>
      </c>
      <c r="AC12" s="66">
        <f t="shared" si="1"/>
        <v>-0.1187389825</v>
      </c>
      <c r="AD12" s="384">
        <v>20098.5</v>
      </c>
      <c r="AE12" s="384">
        <v>22510.14</v>
      </c>
      <c r="AF12" s="66">
        <f t="shared" si="2"/>
        <v>0.1199910441</v>
      </c>
      <c r="AG12" s="2" t="s">
        <v>44</v>
      </c>
      <c r="AH12" s="384">
        <v>24968.64</v>
      </c>
      <c r="AI12" s="274">
        <f t="shared" si="3"/>
        <v>22003.88909</v>
      </c>
      <c r="AJ12" s="75"/>
      <c r="AK12" s="384">
        <v>21046.53</v>
      </c>
      <c r="AL12" s="274">
        <f t="shared" si="4"/>
        <v>23571.92511</v>
      </c>
      <c r="AM12" s="361"/>
      <c r="AN12" s="361"/>
    </row>
    <row r="13" ht="15.75" customHeight="1">
      <c r="A13" s="8"/>
      <c r="B13" s="8"/>
      <c r="C13" s="207">
        <v>46179.0</v>
      </c>
      <c r="D13" s="208" t="str">
        <f t="shared" si="5"/>
        <v>sáb.</v>
      </c>
      <c r="E13" s="341">
        <v>30500.0</v>
      </c>
      <c r="F13" s="209">
        <f>149+13086.5</f>
        <v>13235.5</v>
      </c>
      <c r="G13" s="51">
        <f t="shared" si="6"/>
        <v>-17264.5</v>
      </c>
      <c r="H13" s="210">
        <v>54.0</v>
      </c>
      <c r="I13" s="265">
        <f t="shared" si="7"/>
        <v>245.1018519</v>
      </c>
      <c r="J13" s="363">
        <v>7.0</v>
      </c>
      <c r="K13" s="364">
        <f>4+24</f>
        <v>28</v>
      </c>
      <c r="L13" s="363">
        <v>26.0</v>
      </c>
      <c r="M13" s="364">
        <f t="shared" si="8"/>
        <v>61</v>
      </c>
      <c r="N13" s="350">
        <f t="shared" si="9"/>
        <v>46179</v>
      </c>
      <c r="O13" s="204" t="str">
        <f t="shared" si="10"/>
        <v>sáb.</v>
      </c>
      <c r="P13" s="351">
        <v>14000.0</v>
      </c>
      <c r="Q13" s="213">
        <f>16636.18-1297.17</f>
        <v>15339.01</v>
      </c>
      <c r="R13" s="51">
        <f t="shared" si="11"/>
        <v>1339.01</v>
      </c>
      <c r="S13" s="217">
        <v>95.0</v>
      </c>
      <c r="T13" s="291">
        <f t="shared" si="12"/>
        <v>161.4632632</v>
      </c>
      <c r="U13" s="217">
        <v>30.0</v>
      </c>
      <c r="V13" s="291">
        <f>9.5+45.5</f>
        <v>55</v>
      </c>
      <c r="W13" s="217">
        <v>28.0</v>
      </c>
      <c r="X13" s="291">
        <f t="shared" si="13"/>
        <v>113</v>
      </c>
      <c r="AA13" s="167">
        <f t="shared" ref="AA13:AB13" si="14">SUM(AA6:AA12)</f>
        <v>75032.19</v>
      </c>
      <c r="AB13" s="167">
        <f t="shared" si="14"/>
        <v>71765.73</v>
      </c>
      <c r="AD13" s="167">
        <f t="shared" ref="AD13:AE13" si="15">SUM(AD6:AD12)</f>
        <v>65536.04</v>
      </c>
      <c r="AE13" s="167">
        <f t="shared" si="15"/>
        <v>75679.45</v>
      </c>
      <c r="AH13" s="167">
        <f t="shared" ref="AH13:AI13" si="16">SUM(AH6:AH12)</f>
        <v>116991.48</v>
      </c>
      <c r="AI13" s="167">
        <f t="shared" si="16"/>
        <v>116036.6637</v>
      </c>
      <c r="AJ13" s="61"/>
      <c r="AK13" s="167">
        <f t="shared" ref="AK13:AL13" si="17">SUM(AK6:AK12)</f>
        <v>64065.36</v>
      </c>
      <c r="AL13" s="167">
        <f t="shared" si="17"/>
        <v>73849.98071</v>
      </c>
      <c r="AM13" s="371"/>
      <c r="AN13" s="371"/>
    </row>
    <row r="14" ht="15.75" customHeight="1">
      <c r="A14" s="8"/>
      <c r="B14" s="8"/>
      <c r="C14" s="207">
        <v>46180.0</v>
      </c>
      <c r="D14" s="208" t="str">
        <f t="shared" si="5"/>
        <v>dom.</v>
      </c>
      <c r="E14" s="341">
        <v>25000.0</v>
      </c>
      <c r="F14" s="209">
        <f>19241.8</f>
        <v>19241.8</v>
      </c>
      <c r="G14" s="51">
        <f t="shared" si="6"/>
        <v>-5758.2</v>
      </c>
      <c r="H14" s="210">
        <v>87.0</v>
      </c>
      <c r="I14" s="265">
        <f t="shared" si="7"/>
        <v>221.1701149</v>
      </c>
      <c r="J14" s="363">
        <v>19.0</v>
      </c>
      <c r="K14" s="364">
        <f>6.5+36.5</f>
        <v>43</v>
      </c>
      <c r="L14" s="363">
        <v>49.0</v>
      </c>
      <c r="M14" s="364">
        <f t="shared" si="8"/>
        <v>111</v>
      </c>
      <c r="N14" s="350">
        <f t="shared" si="9"/>
        <v>46180</v>
      </c>
      <c r="O14" s="204" t="str">
        <f t="shared" si="10"/>
        <v>dom.</v>
      </c>
      <c r="P14" s="351">
        <v>21200.0</v>
      </c>
      <c r="Q14" s="213">
        <f>19135.88-1524.52</f>
        <v>17611.36</v>
      </c>
      <c r="R14" s="51">
        <f t="shared" si="11"/>
        <v>-3588.64</v>
      </c>
      <c r="S14" s="217">
        <v>110.0</v>
      </c>
      <c r="T14" s="291">
        <f t="shared" si="12"/>
        <v>160.1032727</v>
      </c>
      <c r="U14" s="217">
        <v>40.0</v>
      </c>
      <c r="V14" s="291">
        <f>5.5+63.5</f>
        <v>69</v>
      </c>
      <c r="W14" s="217">
        <v>28.0</v>
      </c>
      <c r="X14" s="291">
        <f t="shared" si="13"/>
        <v>137</v>
      </c>
      <c r="AB14" s="66">
        <f>AB13/AA13-1</f>
        <v>-0.04353411516</v>
      </c>
      <c r="AE14" s="66">
        <f>AE13/AD13-1</f>
        <v>0.1547760591</v>
      </c>
      <c r="AI14" s="66">
        <f>AI13/AH13-1</f>
        <v>-0.00816141727</v>
      </c>
      <c r="AL14" s="66">
        <f>AL13/AK13-1</f>
        <v>0.1527287243</v>
      </c>
      <c r="AM14" s="66"/>
      <c r="AN14" s="66"/>
    </row>
    <row r="15" ht="15.75" customHeight="1">
      <c r="A15" s="8"/>
      <c r="B15" s="8"/>
      <c r="C15" s="207">
        <v>46181.0</v>
      </c>
      <c r="D15" s="208" t="str">
        <f t="shared" si="5"/>
        <v>seg.</v>
      </c>
      <c r="E15" s="341">
        <v>7400.0</v>
      </c>
      <c r="F15" s="209">
        <f>6388.5</f>
        <v>6388.5</v>
      </c>
      <c r="G15" s="51">
        <f t="shared" si="6"/>
        <v>-1011.5</v>
      </c>
      <c r="H15" s="210">
        <v>31.0</v>
      </c>
      <c r="I15" s="265">
        <f t="shared" si="7"/>
        <v>206.0806452</v>
      </c>
      <c r="J15" s="363">
        <v>7.0</v>
      </c>
      <c r="K15" s="364">
        <f>1+16</f>
        <v>17</v>
      </c>
      <c r="L15" s="363">
        <v>13.0</v>
      </c>
      <c r="M15" s="364">
        <f t="shared" si="8"/>
        <v>37</v>
      </c>
      <c r="N15" s="350">
        <f t="shared" si="9"/>
        <v>46181</v>
      </c>
      <c r="O15" s="204" t="str">
        <f t="shared" si="10"/>
        <v>seg.</v>
      </c>
      <c r="P15" s="351">
        <v>3000.0</v>
      </c>
      <c r="Q15" s="213">
        <f>3951.08-287.79</f>
        <v>3663.29</v>
      </c>
      <c r="R15" s="51">
        <f t="shared" si="11"/>
        <v>663.29</v>
      </c>
      <c r="S15" s="217">
        <v>21.0</v>
      </c>
      <c r="T15" s="291">
        <f t="shared" si="12"/>
        <v>174.442381</v>
      </c>
      <c r="U15" s="217">
        <v>5.0</v>
      </c>
      <c r="V15" s="291">
        <f>1+9</f>
        <v>10</v>
      </c>
      <c r="W15" s="217">
        <v>11.0</v>
      </c>
      <c r="X15" s="291">
        <f t="shared" si="13"/>
        <v>26</v>
      </c>
    </row>
    <row r="16" ht="15.75" customHeight="1">
      <c r="A16" s="8"/>
      <c r="B16" s="8"/>
      <c r="C16" s="207">
        <v>46182.0</v>
      </c>
      <c r="D16" s="208" t="str">
        <f t="shared" si="5"/>
        <v>ter.</v>
      </c>
      <c r="E16" s="341">
        <v>9000.0</v>
      </c>
      <c r="F16" s="209">
        <f>4905.5</f>
        <v>4905.5</v>
      </c>
      <c r="G16" s="51">
        <f t="shared" si="6"/>
        <v>-4094.5</v>
      </c>
      <c r="H16" s="210">
        <v>26.0</v>
      </c>
      <c r="I16" s="265">
        <f t="shared" si="7"/>
        <v>188.6730769</v>
      </c>
      <c r="J16" s="363">
        <v>5.0</v>
      </c>
      <c r="K16" s="364">
        <f>1.5+7.5</f>
        <v>9</v>
      </c>
      <c r="L16" s="363">
        <v>13.0</v>
      </c>
      <c r="M16" s="364">
        <f t="shared" si="8"/>
        <v>27</v>
      </c>
      <c r="N16" s="350">
        <f t="shared" si="9"/>
        <v>46182</v>
      </c>
      <c r="O16" s="204" t="str">
        <f t="shared" si="10"/>
        <v>ter.</v>
      </c>
      <c r="P16" s="351">
        <v>5600.0</v>
      </c>
      <c r="Q16" s="213">
        <f>5990.87-536.76</f>
        <v>5454.11</v>
      </c>
      <c r="R16" s="51">
        <f t="shared" si="11"/>
        <v>-145.89</v>
      </c>
      <c r="S16" s="217">
        <v>35.0</v>
      </c>
      <c r="T16" s="291">
        <f t="shared" si="12"/>
        <v>155.8317143</v>
      </c>
      <c r="U16" s="217">
        <v>7.0</v>
      </c>
      <c r="V16" s="291">
        <f>5+31</f>
        <v>36</v>
      </c>
      <c r="W16" s="217">
        <v>2.0</v>
      </c>
      <c r="X16" s="291">
        <f t="shared" si="13"/>
        <v>45</v>
      </c>
    </row>
    <row r="17" ht="15.75" customHeight="1">
      <c r="A17" s="8"/>
      <c r="B17" s="8"/>
      <c r="C17" s="207">
        <v>46183.0</v>
      </c>
      <c r="D17" s="208" t="str">
        <f t="shared" si="5"/>
        <v>qua.</v>
      </c>
      <c r="E17" s="341">
        <v>11500.0</v>
      </c>
      <c r="F17" s="209">
        <f>10231.5</f>
        <v>10231.5</v>
      </c>
      <c r="G17" s="51">
        <f t="shared" si="6"/>
        <v>-1268.5</v>
      </c>
      <c r="H17" s="210">
        <v>47.0</v>
      </c>
      <c r="I17" s="265">
        <f t="shared" si="7"/>
        <v>217.6914894</v>
      </c>
      <c r="J17" s="363">
        <v>8.0</v>
      </c>
      <c r="K17" s="364">
        <f>3.5+20.5</f>
        <v>24</v>
      </c>
      <c r="L17" s="363">
        <v>23.0</v>
      </c>
      <c r="M17" s="364">
        <f t="shared" si="8"/>
        <v>55</v>
      </c>
      <c r="N17" s="350">
        <f t="shared" si="9"/>
        <v>46183</v>
      </c>
      <c r="O17" s="204" t="str">
        <f t="shared" si="10"/>
        <v>qua.</v>
      </c>
      <c r="P17" s="351">
        <v>4200.0</v>
      </c>
      <c r="Q17" s="213">
        <f>4541.82-324.55</f>
        <v>4217.27</v>
      </c>
      <c r="R17" s="51">
        <f t="shared" si="11"/>
        <v>17.27</v>
      </c>
      <c r="S17" s="217">
        <v>28.0</v>
      </c>
      <c r="T17" s="291">
        <f t="shared" si="12"/>
        <v>150.6167857</v>
      </c>
      <c r="U17" s="217">
        <v>9.0</v>
      </c>
      <c r="V17" s="291">
        <f>1.5+3.5</f>
        <v>5</v>
      </c>
      <c r="W17" s="217">
        <v>7.0</v>
      </c>
      <c r="X17" s="291">
        <f t="shared" si="13"/>
        <v>21</v>
      </c>
      <c r="AH17" s="384" t="s">
        <v>337</v>
      </c>
      <c r="AI17" s="229" t="s">
        <v>221</v>
      </c>
      <c r="AJ17" s="385" t="s">
        <v>219</v>
      </c>
      <c r="AL17" s="384" t="s">
        <v>338</v>
      </c>
      <c r="AM17" s="384" t="s">
        <v>290</v>
      </c>
      <c r="AN17" s="393" t="s">
        <v>339</v>
      </c>
    </row>
    <row r="18" ht="15.75" customHeight="1">
      <c r="A18" s="8"/>
      <c r="B18" s="8"/>
      <c r="C18" s="207">
        <v>46184.0</v>
      </c>
      <c r="D18" s="208" t="str">
        <f t="shared" si="5"/>
        <v>qui.</v>
      </c>
      <c r="E18" s="209">
        <f>11200</f>
        <v>11200</v>
      </c>
      <c r="F18" s="209">
        <f>8794.8</f>
        <v>8794.8</v>
      </c>
      <c r="G18" s="51">
        <f t="shared" si="6"/>
        <v>-2405.2</v>
      </c>
      <c r="H18" s="210">
        <v>25.0</v>
      </c>
      <c r="I18" s="265">
        <f t="shared" si="7"/>
        <v>351.792</v>
      </c>
      <c r="J18" s="363">
        <v>8.0</v>
      </c>
      <c r="K18" s="364">
        <f>3.5+16.5</f>
        <v>20</v>
      </c>
      <c r="L18" s="363">
        <v>19.0</v>
      </c>
      <c r="M18" s="364">
        <f t="shared" si="8"/>
        <v>47</v>
      </c>
      <c r="N18" s="350">
        <f t="shared" si="9"/>
        <v>46184</v>
      </c>
      <c r="O18" s="204" t="str">
        <f t="shared" si="10"/>
        <v>qui.</v>
      </c>
      <c r="P18" s="351">
        <v>5600.0</v>
      </c>
      <c r="Q18" s="213">
        <f>3883.45-330.58</f>
        <v>3552.87</v>
      </c>
      <c r="R18" s="51">
        <f t="shared" si="11"/>
        <v>-2047.13</v>
      </c>
      <c r="S18" s="217">
        <v>28.0</v>
      </c>
      <c r="T18" s="291">
        <f t="shared" si="12"/>
        <v>126.8882143</v>
      </c>
      <c r="U18" s="217">
        <v>7.0</v>
      </c>
      <c r="V18" s="291">
        <f>2+10</f>
        <v>12</v>
      </c>
      <c r="W18" s="217">
        <v>7.0</v>
      </c>
      <c r="X18" s="291">
        <f t="shared" si="13"/>
        <v>26</v>
      </c>
      <c r="AB18" s="70"/>
      <c r="AC18" s="71" t="s">
        <v>52</v>
      </c>
      <c r="AD18" s="72"/>
      <c r="AE18" s="73" t="s">
        <v>53</v>
      </c>
      <c r="AH18" s="387">
        <v>300000.0</v>
      </c>
      <c r="AI18" s="387">
        <v>324716.0</v>
      </c>
      <c r="AJ18" s="346">
        <f>AI18*0.006</f>
        <v>1948.296</v>
      </c>
      <c r="AL18" s="387">
        <v>1000.0</v>
      </c>
      <c r="AM18" s="387">
        <v>500.0</v>
      </c>
      <c r="AN18" s="346">
        <f>AL18+AM18</f>
        <v>1500</v>
      </c>
    </row>
    <row r="19" ht="15.75" customHeight="1">
      <c r="A19" s="8"/>
      <c r="B19" s="8"/>
      <c r="C19" s="207">
        <v>46185.0</v>
      </c>
      <c r="D19" s="208" t="str">
        <f t="shared" si="5"/>
        <v>sex.</v>
      </c>
      <c r="E19" s="341">
        <f>22700*81%+22700-167</f>
        <v>40920</v>
      </c>
      <c r="F19" s="209">
        <f>29805.4-77.55</f>
        <v>29727.85</v>
      </c>
      <c r="G19" s="51">
        <f t="shared" si="6"/>
        <v>-11192.15</v>
      </c>
      <c r="H19" s="210">
        <v>150.0</v>
      </c>
      <c r="I19" s="265">
        <f t="shared" si="7"/>
        <v>198.1856667</v>
      </c>
      <c r="J19" s="364">
        <f>9+36</f>
        <v>45</v>
      </c>
      <c r="K19" s="364">
        <f>9+83</f>
        <v>92</v>
      </c>
      <c r="L19" s="363">
        <v>35.0</v>
      </c>
      <c r="M19" s="364">
        <f t="shared" si="8"/>
        <v>172</v>
      </c>
      <c r="N19" s="350">
        <f t="shared" si="9"/>
        <v>46185</v>
      </c>
      <c r="O19" s="204" t="str">
        <f t="shared" si="10"/>
        <v>sex.</v>
      </c>
      <c r="P19" s="351">
        <v>31800.0</v>
      </c>
      <c r="Q19" s="213">
        <f>17310.01-1308.25</f>
        <v>16001.76</v>
      </c>
      <c r="R19" s="51">
        <f t="shared" si="11"/>
        <v>-15798.24</v>
      </c>
      <c r="S19" s="217">
        <v>104.0</v>
      </c>
      <c r="T19" s="291">
        <f t="shared" si="12"/>
        <v>153.8630769</v>
      </c>
      <c r="U19" s="217">
        <f>20+7</f>
        <v>27</v>
      </c>
      <c r="V19" s="291">
        <f>9+57</f>
        <v>66</v>
      </c>
      <c r="W19" s="217">
        <v>25.0</v>
      </c>
      <c r="X19" s="291">
        <f t="shared" si="13"/>
        <v>118</v>
      </c>
      <c r="AB19" s="74" t="s">
        <v>29</v>
      </c>
      <c r="AC19" s="386">
        <v>500000.0</v>
      </c>
      <c r="AD19" s="2" t="s">
        <v>29</v>
      </c>
      <c r="AE19" s="365">
        <v>300000.0</v>
      </c>
      <c r="AH19" s="388" t="s">
        <v>295</v>
      </c>
      <c r="AI19" s="389">
        <f>AJ18*40%</f>
        <v>779.3184</v>
      </c>
      <c r="AJ19" s="390"/>
      <c r="AL19" s="388" t="s">
        <v>296</v>
      </c>
      <c r="AM19" s="389"/>
      <c r="AN19" s="390"/>
    </row>
    <row r="20" ht="15.75" customHeight="1">
      <c r="A20" s="8"/>
      <c r="B20" s="8"/>
      <c r="C20" s="207">
        <v>46186.0</v>
      </c>
      <c r="D20" s="208" t="str">
        <f t="shared" si="5"/>
        <v>sáb.</v>
      </c>
      <c r="E20" s="341">
        <v>30500.0</v>
      </c>
      <c r="F20" s="209">
        <f>7817</f>
        <v>7817</v>
      </c>
      <c r="G20" s="51">
        <f t="shared" si="6"/>
        <v>-22683</v>
      </c>
      <c r="H20" s="210">
        <v>31.0</v>
      </c>
      <c r="I20" s="265">
        <f t="shared" si="7"/>
        <v>252.1612903</v>
      </c>
      <c r="J20" s="363">
        <v>8.0</v>
      </c>
      <c r="K20" s="364">
        <f>1+16</f>
        <v>17</v>
      </c>
      <c r="L20" s="363">
        <v>21.0</v>
      </c>
      <c r="M20" s="364">
        <f t="shared" si="8"/>
        <v>46</v>
      </c>
      <c r="N20" s="350">
        <f t="shared" si="9"/>
        <v>46186</v>
      </c>
      <c r="O20" s="204" t="str">
        <f t="shared" si="10"/>
        <v>sáb.</v>
      </c>
      <c r="P20" s="351">
        <v>14000.0</v>
      </c>
      <c r="Q20" s="213">
        <f>23664.51-1269.19</f>
        <v>22395.32</v>
      </c>
      <c r="R20" s="51">
        <f t="shared" si="11"/>
        <v>8395.32</v>
      </c>
      <c r="S20" s="217">
        <v>95.0</v>
      </c>
      <c r="T20" s="291">
        <f t="shared" si="12"/>
        <v>235.7402105</v>
      </c>
      <c r="U20" s="217">
        <v>28.0</v>
      </c>
      <c r="V20" s="291">
        <f>11+84</f>
        <v>95</v>
      </c>
      <c r="W20" s="291">
        <f>43</f>
        <v>43</v>
      </c>
      <c r="X20" s="291">
        <f t="shared" si="13"/>
        <v>166</v>
      </c>
      <c r="AB20" s="74"/>
      <c r="AC20" s="2"/>
      <c r="AD20" s="2"/>
      <c r="AE20" s="77"/>
      <c r="AH20" s="397"/>
      <c r="AI20" s="229"/>
      <c r="AJ20" s="396"/>
      <c r="AL20" s="229"/>
      <c r="AM20" s="229"/>
      <c r="AN20" s="396"/>
    </row>
    <row r="21" ht="15.75" customHeight="1">
      <c r="A21" s="8"/>
      <c r="B21" s="8"/>
      <c r="C21" s="207">
        <v>46187.0</v>
      </c>
      <c r="D21" s="208" t="str">
        <f t="shared" si="5"/>
        <v>dom.</v>
      </c>
      <c r="E21" s="341">
        <v>25000.0</v>
      </c>
      <c r="F21" s="209">
        <f>22278.9</f>
        <v>22278.9</v>
      </c>
      <c r="G21" s="51">
        <f t="shared" si="6"/>
        <v>-2721.1</v>
      </c>
      <c r="H21" s="210">
        <v>89.0</v>
      </c>
      <c r="I21" s="265">
        <f t="shared" si="7"/>
        <v>250.3247191</v>
      </c>
      <c r="J21" s="363">
        <v>16.0</v>
      </c>
      <c r="K21" s="364">
        <f>7.5+40.5</f>
        <v>48</v>
      </c>
      <c r="L21" s="364">
        <f>58</f>
        <v>58</v>
      </c>
      <c r="M21" s="364">
        <f t="shared" si="8"/>
        <v>122</v>
      </c>
      <c r="N21" s="350">
        <f t="shared" si="9"/>
        <v>46187</v>
      </c>
      <c r="O21" s="204" t="str">
        <f t="shared" si="10"/>
        <v>dom.</v>
      </c>
      <c r="P21" s="351">
        <v>21200.0</v>
      </c>
      <c r="Q21" s="213">
        <f>23517.87-1820.19</f>
        <v>21697.68</v>
      </c>
      <c r="R21" s="51">
        <f t="shared" si="11"/>
        <v>497.68</v>
      </c>
      <c r="S21" s="217">
        <v>129.0</v>
      </c>
      <c r="T21" s="291">
        <f t="shared" si="12"/>
        <v>168.1990698</v>
      </c>
      <c r="U21" s="217">
        <v>48.0</v>
      </c>
      <c r="V21" s="291">
        <f>12.5+75.5</f>
        <v>88</v>
      </c>
      <c r="W21" s="291">
        <f>34</f>
        <v>34</v>
      </c>
      <c r="X21" s="291">
        <f t="shared" si="13"/>
        <v>170</v>
      </c>
      <c r="AB21" s="74" t="s">
        <v>58</v>
      </c>
      <c r="AC21" s="75">
        <f>SUM(F8:F14)</f>
        <v>111874.25</v>
      </c>
      <c r="AD21" s="58" t="s">
        <v>58</v>
      </c>
      <c r="AE21" s="76">
        <f>SUM(Q8:Q14)</f>
        <v>74944.82</v>
      </c>
      <c r="AH21" s="397"/>
      <c r="AI21" s="346"/>
      <c r="AJ21" s="391"/>
      <c r="AL21" s="397"/>
      <c r="AM21" s="387"/>
      <c r="AN21" s="391"/>
    </row>
    <row r="22" ht="15.75" customHeight="1">
      <c r="A22" s="8"/>
      <c r="B22" s="8"/>
      <c r="C22" s="207">
        <v>46188.0</v>
      </c>
      <c r="D22" s="208" t="str">
        <f t="shared" si="5"/>
        <v>seg.</v>
      </c>
      <c r="E22" s="341">
        <v>7400.0</v>
      </c>
      <c r="F22" s="209">
        <f>6755</f>
        <v>6755</v>
      </c>
      <c r="G22" s="51">
        <f t="shared" si="6"/>
        <v>-645</v>
      </c>
      <c r="H22" s="210">
        <v>25.0</v>
      </c>
      <c r="I22" s="265">
        <f t="shared" si="7"/>
        <v>270.2</v>
      </c>
      <c r="J22" s="363">
        <v>2.0</v>
      </c>
      <c r="K22" s="364">
        <f>3.5+12.5</f>
        <v>16</v>
      </c>
      <c r="L22" s="363">
        <v>17.0</v>
      </c>
      <c r="M22" s="364">
        <f t="shared" si="8"/>
        <v>35</v>
      </c>
      <c r="N22" s="350">
        <f t="shared" si="9"/>
        <v>46188</v>
      </c>
      <c r="O22" s="204" t="str">
        <f t="shared" si="10"/>
        <v>seg.</v>
      </c>
      <c r="P22" s="351">
        <v>3000.0</v>
      </c>
      <c r="Q22" s="213">
        <f>4907.95-367.55</f>
        <v>4540.4</v>
      </c>
      <c r="R22" s="51">
        <f t="shared" si="11"/>
        <v>1540.4</v>
      </c>
      <c r="S22" s="217">
        <v>25.0</v>
      </c>
      <c r="T22" s="291">
        <f t="shared" si="12"/>
        <v>181.616</v>
      </c>
      <c r="U22" s="217">
        <v>6.0</v>
      </c>
      <c r="V22" s="291">
        <f>3+16</f>
        <v>19</v>
      </c>
      <c r="W22" s="217">
        <v>9.0</v>
      </c>
      <c r="X22" s="291">
        <f t="shared" si="13"/>
        <v>34</v>
      </c>
      <c r="AB22" s="74"/>
      <c r="AC22" s="79">
        <f>AC21/AC19</f>
        <v>0.2237485</v>
      </c>
      <c r="AE22" s="80">
        <f>AE21/AE19</f>
        <v>0.2498160667</v>
      </c>
      <c r="AF22" s="66"/>
      <c r="AH22" s="397" t="s">
        <v>301</v>
      </c>
      <c r="AI22" s="346">
        <f>AI19*29%</f>
        <v>226.002336</v>
      </c>
      <c r="AJ22" s="391"/>
      <c r="AL22" s="397" t="s">
        <v>302</v>
      </c>
      <c r="AM22" s="387">
        <v>250.0</v>
      </c>
      <c r="AN22" s="391"/>
    </row>
    <row r="23" ht="15.75" customHeight="1">
      <c r="A23" s="8"/>
      <c r="B23" s="8"/>
      <c r="C23" s="207">
        <v>46189.0</v>
      </c>
      <c r="D23" s="208" t="str">
        <f t="shared" si="5"/>
        <v>ter.</v>
      </c>
      <c r="E23" s="341">
        <v>9000.0</v>
      </c>
      <c r="F23" s="209">
        <f>6975.7</f>
        <v>6975.7</v>
      </c>
      <c r="G23" s="51">
        <f t="shared" si="6"/>
        <v>-2024.3</v>
      </c>
      <c r="H23" s="210">
        <v>28.0</v>
      </c>
      <c r="I23" s="265">
        <f t="shared" si="7"/>
        <v>249.1321429</v>
      </c>
      <c r="J23" s="363">
        <v>2.0</v>
      </c>
      <c r="K23" s="364">
        <f>2.5+15.5</f>
        <v>18</v>
      </c>
      <c r="L23" s="363">
        <v>19.0</v>
      </c>
      <c r="M23" s="364">
        <f t="shared" si="8"/>
        <v>39</v>
      </c>
      <c r="N23" s="350">
        <f t="shared" si="9"/>
        <v>46189</v>
      </c>
      <c r="O23" s="204" t="str">
        <f t="shared" si="10"/>
        <v>ter.</v>
      </c>
      <c r="P23" s="351">
        <v>5600.0</v>
      </c>
      <c r="Q23" s="213">
        <f>6242.1-481.58</f>
        <v>5760.52</v>
      </c>
      <c r="R23" s="51">
        <f t="shared" si="11"/>
        <v>160.52</v>
      </c>
      <c r="S23" s="217">
        <v>47.0</v>
      </c>
      <c r="T23" s="291">
        <f t="shared" si="12"/>
        <v>122.5642553</v>
      </c>
      <c r="U23" s="217">
        <v>11.0</v>
      </c>
      <c r="V23" s="291">
        <f>7.5+21.5</f>
        <v>29</v>
      </c>
      <c r="W23" s="217">
        <v>6.0</v>
      </c>
      <c r="X23" s="291">
        <f t="shared" si="13"/>
        <v>46</v>
      </c>
      <c r="AB23" s="74"/>
      <c r="AC23" s="81"/>
      <c r="AE23" s="77"/>
      <c r="AH23" s="397" t="s">
        <v>303</v>
      </c>
      <c r="AI23" s="346">
        <f>AI19*29%</f>
        <v>226.002336</v>
      </c>
      <c r="AJ23" s="391"/>
      <c r="AL23" s="397" t="s">
        <v>329</v>
      </c>
      <c r="AM23" s="387">
        <v>300.0</v>
      </c>
      <c r="AN23" s="391"/>
    </row>
    <row r="24" ht="15.75" customHeight="1">
      <c r="A24" s="8"/>
      <c r="B24" s="8"/>
      <c r="C24" s="207">
        <v>46190.0</v>
      </c>
      <c r="D24" s="208" t="str">
        <f t="shared" si="5"/>
        <v>qua.</v>
      </c>
      <c r="E24" s="341">
        <v>11500.0</v>
      </c>
      <c r="F24" s="209">
        <f>7386</f>
        <v>7386</v>
      </c>
      <c r="G24" s="51">
        <f t="shared" si="6"/>
        <v>-4114</v>
      </c>
      <c r="H24" s="210">
        <v>33.0</v>
      </c>
      <c r="I24" s="265">
        <f t="shared" si="7"/>
        <v>223.8181818</v>
      </c>
      <c r="J24" s="363">
        <v>14.0</v>
      </c>
      <c r="K24" s="364">
        <f>1.5+12.5</f>
        <v>14</v>
      </c>
      <c r="L24" s="363">
        <v>14.0</v>
      </c>
      <c r="M24" s="364">
        <f t="shared" si="8"/>
        <v>42</v>
      </c>
      <c r="N24" s="350">
        <f t="shared" si="9"/>
        <v>46190</v>
      </c>
      <c r="O24" s="204" t="str">
        <f t="shared" si="10"/>
        <v>qua.</v>
      </c>
      <c r="P24" s="351">
        <v>4200.0</v>
      </c>
      <c r="Q24" s="213">
        <f>4710.89-280.16</f>
        <v>4430.73</v>
      </c>
      <c r="R24" s="51">
        <f t="shared" si="11"/>
        <v>230.73</v>
      </c>
      <c r="S24" s="217">
        <v>34.0</v>
      </c>
      <c r="T24" s="291">
        <f t="shared" si="12"/>
        <v>130.3155882</v>
      </c>
      <c r="U24" s="217"/>
      <c r="V24" s="291">
        <f>4+18</f>
        <v>22</v>
      </c>
      <c r="W24" s="217">
        <v>7.0</v>
      </c>
      <c r="X24" s="291">
        <f t="shared" si="13"/>
        <v>29</v>
      </c>
      <c r="AB24" s="74" t="s">
        <v>62</v>
      </c>
      <c r="AC24" s="75">
        <f>SUM(F15:F21)</f>
        <v>90144.05</v>
      </c>
      <c r="AD24" s="58" t="s">
        <v>62</v>
      </c>
      <c r="AE24" s="76">
        <f>SUM(Q15:Q21)</f>
        <v>76982.3</v>
      </c>
      <c r="AH24" s="397" t="s">
        <v>330</v>
      </c>
      <c r="AI24" s="346">
        <f>AI19*29%</f>
        <v>226.002336</v>
      </c>
      <c r="AJ24" s="391"/>
      <c r="AL24" s="397" t="s">
        <v>307</v>
      </c>
      <c r="AM24" s="387">
        <v>200.0</v>
      </c>
      <c r="AN24" s="391"/>
    </row>
    <row r="25" ht="15.75" customHeight="1">
      <c r="A25" s="8"/>
      <c r="B25" s="8"/>
      <c r="C25" s="207">
        <v>46191.0</v>
      </c>
      <c r="D25" s="208" t="str">
        <f t="shared" si="5"/>
        <v>qui.</v>
      </c>
      <c r="E25" s="209">
        <f>11200</f>
        <v>11200</v>
      </c>
      <c r="F25" s="209">
        <f>8596.6</f>
        <v>8596.6</v>
      </c>
      <c r="G25" s="51">
        <f t="shared" si="6"/>
        <v>-2603.4</v>
      </c>
      <c r="H25" s="210">
        <v>28.0</v>
      </c>
      <c r="I25" s="265">
        <f t="shared" si="7"/>
        <v>307.0214286</v>
      </c>
      <c r="J25" s="363">
        <v>9.0</v>
      </c>
      <c r="K25" s="364">
        <f>3.5+14.5</f>
        <v>18</v>
      </c>
      <c r="L25" s="363">
        <v>23.0</v>
      </c>
      <c r="M25" s="364">
        <f t="shared" si="8"/>
        <v>50</v>
      </c>
      <c r="N25" s="350">
        <f t="shared" si="9"/>
        <v>46191</v>
      </c>
      <c r="O25" s="204" t="str">
        <f t="shared" si="10"/>
        <v>qui.</v>
      </c>
      <c r="P25" s="351">
        <v>5600.0</v>
      </c>
      <c r="Q25" s="213">
        <f>7348.7-488.4</f>
        <v>6860.3</v>
      </c>
      <c r="R25" s="51">
        <f t="shared" si="11"/>
        <v>1260.3</v>
      </c>
      <c r="S25" s="217">
        <v>52.0</v>
      </c>
      <c r="T25" s="291">
        <f t="shared" si="12"/>
        <v>131.9288462</v>
      </c>
      <c r="U25" s="217">
        <v>8.0</v>
      </c>
      <c r="V25" s="291">
        <f>3.5+30.5</f>
        <v>34</v>
      </c>
      <c r="W25" s="217">
        <v>8.0</v>
      </c>
      <c r="X25" s="291">
        <f t="shared" si="13"/>
        <v>50</v>
      </c>
      <c r="AB25" s="74"/>
      <c r="AC25" s="79">
        <f>AC24/AC19</f>
        <v>0.1802881</v>
      </c>
      <c r="AE25" s="80">
        <f>AE24/AE19</f>
        <v>0.2566076667</v>
      </c>
      <c r="AH25" s="397" t="s">
        <v>308</v>
      </c>
      <c r="AI25" s="346">
        <f>AI19*13%-1</f>
        <v>100.311392</v>
      </c>
      <c r="AJ25" s="391"/>
      <c r="AL25" s="397" t="s">
        <v>309</v>
      </c>
      <c r="AM25" s="387">
        <v>180.0</v>
      </c>
      <c r="AN25" s="391"/>
    </row>
    <row r="26" ht="15.75" customHeight="1">
      <c r="A26" s="8"/>
      <c r="B26" s="8"/>
      <c r="C26" s="207">
        <v>46192.0</v>
      </c>
      <c r="D26" s="208" t="str">
        <f t="shared" si="5"/>
        <v>sex.</v>
      </c>
      <c r="E26" s="341">
        <v>22700.0</v>
      </c>
      <c r="F26" s="209">
        <f>6311</f>
        <v>6311</v>
      </c>
      <c r="G26" s="51">
        <f t="shared" si="6"/>
        <v>-16389</v>
      </c>
      <c r="H26" s="210">
        <v>27.0</v>
      </c>
      <c r="I26" s="265">
        <f t="shared" si="7"/>
        <v>233.7407407</v>
      </c>
      <c r="J26" s="363">
        <v>8.0</v>
      </c>
      <c r="K26" s="364">
        <f>1+8</f>
        <v>9</v>
      </c>
      <c r="L26" s="363">
        <v>19.0</v>
      </c>
      <c r="M26" s="364">
        <f t="shared" si="8"/>
        <v>36</v>
      </c>
      <c r="N26" s="350">
        <f t="shared" si="9"/>
        <v>46192</v>
      </c>
      <c r="O26" s="204" t="str">
        <f t="shared" si="10"/>
        <v>sex.</v>
      </c>
      <c r="P26" s="351">
        <v>11000.0</v>
      </c>
      <c r="Q26" s="213">
        <f>28153.71-1635.93</f>
        <v>26517.78</v>
      </c>
      <c r="R26" s="51">
        <f t="shared" si="11"/>
        <v>15517.78</v>
      </c>
      <c r="S26" s="217">
        <v>129.0</v>
      </c>
      <c r="T26" s="291">
        <f t="shared" si="12"/>
        <v>205.564186</v>
      </c>
      <c r="U26" s="217">
        <v>25.0</v>
      </c>
      <c r="V26" s="291">
        <f>15+77</f>
        <v>92</v>
      </c>
      <c r="W26" s="217">
        <v>68.0</v>
      </c>
      <c r="X26" s="291">
        <f t="shared" si="13"/>
        <v>185</v>
      </c>
      <c r="AB26" s="74"/>
      <c r="AC26" s="81"/>
      <c r="AE26" s="77"/>
      <c r="AH26" s="397"/>
      <c r="AI26" s="346"/>
      <c r="AJ26" s="391"/>
      <c r="AL26" s="397" t="s">
        <v>312</v>
      </c>
      <c r="AM26" s="387">
        <v>180.0</v>
      </c>
      <c r="AN26" s="391"/>
    </row>
    <row r="27" ht="15.75" customHeight="1">
      <c r="A27" s="8"/>
      <c r="B27" s="8"/>
      <c r="C27" s="207">
        <v>46193.0</v>
      </c>
      <c r="D27" s="208" t="str">
        <f t="shared" si="5"/>
        <v>sáb.</v>
      </c>
      <c r="E27" s="341">
        <v>30500.0</v>
      </c>
      <c r="F27" s="209">
        <f>22793.99</f>
        <v>22793.99</v>
      </c>
      <c r="G27" s="51">
        <f t="shared" si="6"/>
        <v>-7706.01</v>
      </c>
      <c r="H27" s="210">
        <v>95.0</v>
      </c>
      <c r="I27" s="265">
        <f t="shared" si="7"/>
        <v>239.9367368</v>
      </c>
      <c r="J27" s="363">
        <v>17.0</v>
      </c>
      <c r="K27" s="364">
        <f>6.5+50.5</f>
        <v>57</v>
      </c>
      <c r="L27" s="363">
        <v>40.0</v>
      </c>
      <c r="M27" s="364">
        <f t="shared" si="8"/>
        <v>114</v>
      </c>
      <c r="N27" s="350">
        <f t="shared" si="9"/>
        <v>46193</v>
      </c>
      <c r="O27" s="204" t="str">
        <f t="shared" si="10"/>
        <v>sáb.</v>
      </c>
      <c r="P27" s="351">
        <v>14000.0</v>
      </c>
      <c r="Q27" s="213">
        <f>11635.7-798.75</f>
        <v>10836.95</v>
      </c>
      <c r="R27" s="51">
        <f t="shared" si="11"/>
        <v>-3163.05</v>
      </c>
      <c r="S27" s="217">
        <v>62.0</v>
      </c>
      <c r="T27" s="291">
        <f t="shared" si="12"/>
        <v>174.7895161</v>
      </c>
      <c r="U27" s="217">
        <v>21.0</v>
      </c>
      <c r="V27" s="291">
        <f>10+38</f>
        <v>48</v>
      </c>
      <c r="W27" s="217">
        <v>15.0</v>
      </c>
      <c r="X27" s="291">
        <f t="shared" si="13"/>
        <v>84</v>
      </c>
      <c r="AB27" s="74" t="s">
        <v>63</v>
      </c>
      <c r="AC27" s="75">
        <f>SUM(F22:F28)</f>
        <v>78444.29</v>
      </c>
      <c r="AD27" s="58" t="s">
        <v>63</v>
      </c>
      <c r="AE27" s="76">
        <f>SUM(Q22:Q28)</f>
        <v>75954.43</v>
      </c>
      <c r="AH27" s="397"/>
      <c r="AI27" s="346"/>
      <c r="AJ27" s="385"/>
      <c r="AL27" s="397" t="s">
        <v>313</v>
      </c>
      <c r="AM27" s="387">
        <v>170.0</v>
      </c>
      <c r="AN27" s="385"/>
    </row>
    <row r="28" ht="15.75" customHeight="1">
      <c r="A28" s="8"/>
      <c r="B28" s="8"/>
      <c r="C28" s="207">
        <v>46194.0</v>
      </c>
      <c r="D28" s="208" t="str">
        <f t="shared" si="5"/>
        <v>dom.</v>
      </c>
      <c r="E28" s="341">
        <v>25000.0</v>
      </c>
      <c r="F28" s="209">
        <f>19626</f>
        <v>19626</v>
      </c>
      <c r="G28" s="51">
        <f t="shared" si="6"/>
        <v>-5374</v>
      </c>
      <c r="H28" s="210">
        <v>88.0</v>
      </c>
      <c r="I28" s="265">
        <f t="shared" si="7"/>
        <v>223.0227273</v>
      </c>
      <c r="J28" s="363">
        <v>23.0</v>
      </c>
      <c r="K28" s="364">
        <f>7.5+46.5</f>
        <v>54</v>
      </c>
      <c r="L28" s="363">
        <v>43.0</v>
      </c>
      <c r="M28" s="364">
        <f t="shared" si="8"/>
        <v>120</v>
      </c>
      <c r="N28" s="350">
        <f t="shared" si="9"/>
        <v>46194</v>
      </c>
      <c r="O28" s="204" t="str">
        <f t="shared" si="10"/>
        <v>dom.</v>
      </c>
      <c r="P28" s="351">
        <v>21200.0</v>
      </c>
      <c r="Q28" s="213">
        <f>18577.82-1570.07</f>
        <v>17007.75</v>
      </c>
      <c r="R28" s="51">
        <f t="shared" si="11"/>
        <v>-4192.25</v>
      </c>
      <c r="S28" s="217">
        <v>116.0</v>
      </c>
      <c r="T28" s="291">
        <f t="shared" si="12"/>
        <v>146.6185345</v>
      </c>
      <c r="U28" s="217">
        <v>36.0</v>
      </c>
      <c r="V28" s="291">
        <f>7.5+65.5</f>
        <v>73</v>
      </c>
      <c r="W28" s="217">
        <v>24.0</v>
      </c>
      <c r="X28" s="291">
        <f t="shared" si="13"/>
        <v>133</v>
      </c>
      <c r="AB28" s="74"/>
      <c r="AC28" s="79">
        <f>AC27/AC19</f>
        <v>0.15688858</v>
      </c>
      <c r="AE28" s="80">
        <f>AE27/AE19</f>
        <v>0.2531814333</v>
      </c>
      <c r="AH28" s="385"/>
      <c r="AI28" s="229"/>
      <c r="AJ28" s="385"/>
      <c r="AL28" s="393" t="s">
        <v>350</v>
      </c>
      <c r="AM28" s="346">
        <f>180*22/30-7-5</f>
        <v>120</v>
      </c>
      <c r="AN28" s="385"/>
    </row>
    <row r="29" ht="15.75" customHeight="1">
      <c r="A29" s="8"/>
      <c r="B29" s="8"/>
      <c r="C29" s="207">
        <v>46195.0</v>
      </c>
      <c r="D29" s="208" t="str">
        <f t="shared" si="5"/>
        <v>seg.</v>
      </c>
      <c r="E29" s="341">
        <v>7400.0</v>
      </c>
      <c r="F29" s="209">
        <f>8106.5</f>
        <v>8106.5</v>
      </c>
      <c r="G29" s="51">
        <f t="shared" si="6"/>
        <v>706.5</v>
      </c>
      <c r="H29" s="210">
        <v>28.0</v>
      </c>
      <c r="I29" s="265">
        <f t="shared" si="7"/>
        <v>289.5178571</v>
      </c>
      <c r="J29" s="363">
        <v>3.0</v>
      </c>
      <c r="K29" s="364">
        <f>10.5+0.5</f>
        <v>11</v>
      </c>
      <c r="L29" s="363">
        <v>27.0</v>
      </c>
      <c r="M29" s="364">
        <f t="shared" si="8"/>
        <v>41</v>
      </c>
      <c r="N29" s="350">
        <f t="shared" si="9"/>
        <v>46195</v>
      </c>
      <c r="O29" s="204" t="str">
        <f t="shared" si="10"/>
        <v>seg.</v>
      </c>
      <c r="P29" s="351">
        <v>3000.0</v>
      </c>
      <c r="Q29" s="213">
        <f>5888.8-379.07</f>
        <v>5509.73</v>
      </c>
      <c r="R29" s="51">
        <f t="shared" si="11"/>
        <v>2509.73</v>
      </c>
      <c r="S29" s="217">
        <v>27.0</v>
      </c>
      <c r="T29" s="291">
        <f t="shared" si="12"/>
        <v>204.0640741</v>
      </c>
      <c r="U29" s="217">
        <v>8.0</v>
      </c>
      <c r="V29" s="217">
        <v>25.0</v>
      </c>
      <c r="W29" s="217">
        <v>8.0</v>
      </c>
      <c r="X29" s="291">
        <f t="shared" si="13"/>
        <v>41</v>
      </c>
      <c r="AB29" s="74"/>
      <c r="AE29" s="82"/>
      <c r="AH29" s="385"/>
      <c r="AI29" s="229"/>
      <c r="AJ29" s="385"/>
      <c r="AL29" s="385"/>
      <c r="AM29" s="229"/>
      <c r="AN29" s="385"/>
    </row>
    <row r="30" ht="15.75" customHeight="1">
      <c r="A30" s="8"/>
      <c r="B30" s="8"/>
      <c r="C30" s="207">
        <v>46196.0</v>
      </c>
      <c r="D30" s="208" t="str">
        <f t="shared" si="5"/>
        <v>ter.</v>
      </c>
      <c r="E30" s="341">
        <v>9000.0</v>
      </c>
      <c r="F30" s="209">
        <f>7129.2-17.55</f>
        <v>7111.65</v>
      </c>
      <c r="G30" s="51">
        <f t="shared" si="6"/>
        <v>-1888.35</v>
      </c>
      <c r="H30" s="210">
        <v>27.0</v>
      </c>
      <c r="I30" s="265">
        <f t="shared" si="7"/>
        <v>263.3944444</v>
      </c>
      <c r="J30" s="363">
        <v>7.0</v>
      </c>
      <c r="K30" s="363">
        <v>23.0</v>
      </c>
      <c r="L30" s="363">
        <v>9.0</v>
      </c>
      <c r="M30" s="364">
        <f t="shared" si="8"/>
        <v>39</v>
      </c>
      <c r="N30" s="350">
        <f t="shared" si="9"/>
        <v>46196</v>
      </c>
      <c r="O30" s="204" t="str">
        <f t="shared" si="10"/>
        <v>ter.</v>
      </c>
      <c r="P30" s="351">
        <v>5600.0</v>
      </c>
      <c r="Q30" s="213">
        <f>7329.22-604.01</f>
        <v>6725.21</v>
      </c>
      <c r="R30" s="51">
        <f t="shared" si="11"/>
        <v>1125.21</v>
      </c>
      <c r="S30" s="217">
        <v>43.0</v>
      </c>
      <c r="T30" s="291">
        <f t="shared" si="12"/>
        <v>156.4002326</v>
      </c>
      <c r="U30" s="217">
        <v>13.0</v>
      </c>
      <c r="V30" s="217">
        <v>33.0</v>
      </c>
      <c r="W30" s="217">
        <v>8.0</v>
      </c>
      <c r="X30" s="291">
        <f t="shared" si="13"/>
        <v>54</v>
      </c>
      <c r="AB30" s="74" t="s">
        <v>64</v>
      </c>
      <c r="AC30" s="61">
        <f>SUM(F29:F35)</f>
        <v>79684.79</v>
      </c>
      <c r="AD30" s="58" t="s">
        <v>64</v>
      </c>
      <c r="AE30" s="83">
        <f>SUM(Q29:Q35)</f>
        <v>78967.83</v>
      </c>
      <c r="AH30" s="388" t="s">
        <v>304</v>
      </c>
      <c r="AI30" s="389">
        <f>AJ18*60%-AJ30</f>
        <v>998.9776</v>
      </c>
      <c r="AJ30" s="390">
        <f>AI33+AI34+AI35</f>
        <v>170</v>
      </c>
      <c r="AL30" s="388" t="s">
        <v>315</v>
      </c>
      <c r="AM30" s="400"/>
      <c r="AN30" s="401"/>
    </row>
    <row r="31" ht="15.75" customHeight="1">
      <c r="A31" s="8"/>
      <c r="B31" s="8"/>
      <c r="C31" s="207">
        <v>46197.0</v>
      </c>
      <c r="D31" s="208" t="str">
        <f t="shared" si="5"/>
        <v>qua.</v>
      </c>
      <c r="E31" s="341">
        <v>11500.0</v>
      </c>
      <c r="F31" s="209">
        <f>1674</f>
        <v>1674</v>
      </c>
      <c r="G31" s="51">
        <f t="shared" si="6"/>
        <v>-9826</v>
      </c>
      <c r="H31" s="210">
        <v>8.0</v>
      </c>
      <c r="I31" s="265">
        <f t="shared" si="7"/>
        <v>209.25</v>
      </c>
      <c r="J31" s="363">
        <v>2.0</v>
      </c>
      <c r="K31" s="363">
        <v>4.0</v>
      </c>
      <c r="L31" s="363">
        <v>2.0</v>
      </c>
      <c r="M31" s="364">
        <f t="shared" si="8"/>
        <v>8</v>
      </c>
      <c r="N31" s="350">
        <f t="shared" si="9"/>
        <v>46197</v>
      </c>
      <c r="O31" s="204" t="str">
        <f t="shared" si="10"/>
        <v>qua.</v>
      </c>
      <c r="P31" s="351">
        <v>4200.0</v>
      </c>
      <c r="Q31" s="213">
        <f>18952-1091.53</f>
        <v>17860.47</v>
      </c>
      <c r="R31" s="51">
        <f t="shared" si="11"/>
        <v>13660.47</v>
      </c>
      <c r="S31" s="217">
        <v>77.0</v>
      </c>
      <c r="T31" s="291">
        <f t="shared" si="12"/>
        <v>231.9541558</v>
      </c>
      <c r="U31" s="217">
        <v>19.0</v>
      </c>
      <c r="V31" s="217">
        <v>69.0</v>
      </c>
      <c r="W31" s="217">
        <v>43.0</v>
      </c>
      <c r="X31" s="291">
        <f t="shared" si="13"/>
        <v>131</v>
      </c>
      <c r="AB31" s="74"/>
      <c r="AC31" s="79">
        <f>AC30/AC19</f>
        <v>0.15936958</v>
      </c>
      <c r="AE31" s="80">
        <f>AE30/AE19</f>
        <v>0.2632261</v>
      </c>
      <c r="AH31" s="393" t="s">
        <v>351</v>
      </c>
      <c r="AI31" s="346">
        <f>AI30/2*23/30+1+16</f>
        <v>399.9414133</v>
      </c>
      <c r="AJ31" s="385"/>
      <c r="AL31" s="393" t="s">
        <v>317</v>
      </c>
      <c r="AM31" s="387">
        <v>100.0</v>
      </c>
      <c r="AN31" s="385"/>
    </row>
    <row r="32" ht="15.75" customHeight="1">
      <c r="A32" s="8"/>
      <c r="B32" s="8"/>
      <c r="C32" s="207">
        <v>46198.0</v>
      </c>
      <c r="D32" s="208" t="str">
        <f t="shared" si="5"/>
        <v>qui.</v>
      </c>
      <c r="E32" s="209">
        <f>11200</f>
        <v>11200</v>
      </c>
      <c r="F32" s="209">
        <f>2691</f>
        <v>2691</v>
      </c>
      <c r="G32" s="51">
        <f t="shared" si="6"/>
        <v>-8509</v>
      </c>
      <c r="H32" s="210">
        <v>14.0</v>
      </c>
      <c r="I32" s="265">
        <f t="shared" si="7"/>
        <v>192.2142857</v>
      </c>
      <c r="J32" s="363">
        <v>3.0</v>
      </c>
      <c r="K32" s="363">
        <v>7.0</v>
      </c>
      <c r="L32" s="363">
        <v>7.0</v>
      </c>
      <c r="M32" s="364">
        <f t="shared" si="8"/>
        <v>17</v>
      </c>
      <c r="N32" s="350">
        <f t="shared" si="9"/>
        <v>46198</v>
      </c>
      <c r="O32" s="204" t="str">
        <f t="shared" si="10"/>
        <v>qui.</v>
      </c>
      <c r="P32" s="351">
        <v>5600.0</v>
      </c>
      <c r="Q32" s="213">
        <f>4904.96-488.68</f>
        <v>4416.28</v>
      </c>
      <c r="R32" s="51">
        <f t="shared" si="11"/>
        <v>-1183.72</v>
      </c>
      <c r="S32" s="217">
        <v>33.0</v>
      </c>
      <c r="T32" s="291">
        <f t="shared" si="12"/>
        <v>133.8266667</v>
      </c>
      <c r="U32" s="217">
        <v>14.0</v>
      </c>
      <c r="V32" s="217">
        <v>16.0</v>
      </c>
      <c r="W32" s="217">
        <v>6.0</v>
      </c>
      <c r="X32" s="291">
        <f t="shared" si="13"/>
        <v>36</v>
      </c>
      <c r="AB32" s="74" t="s">
        <v>65</v>
      </c>
      <c r="AC32" s="61">
        <f>SUM(F36:F38)</f>
        <v>17857.72</v>
      </c>
      <c r="AD32" s="58" t="s">
        <v>65</v>
      </c>
      <c r="AE32" s="83">
        <f>SUM(Q36:Q38)</f>
        <v>17866.15</v>
      </c>
      <c r="AH32" s="393" t="s">
        <v>318</v>
      </c>
      <c r="AI32" s="346">
        <f>AI30/2-16</f>
        <v>483.4888</v>
      </c>
      <c r="AJ32" s="385"/>
      <c r="AL32" s="393"/>
      <c r="AM32" s="346"/>
      <c r="AN32" s="385"/>
    </row>
    <row r="33" ht="15.75" customHeight="1">
      <c r="A33" s="8"/>
      <c r="B33" s="8"/>
      <c r="C33" s="207">
        <v>46199.0</v>
      </c>
      <c r="D33" s="208" t="str">
        <f t="shared" si="5"/>
        <v>sex.</v>
      </c>
      <c r="E33" s="341">
        <f>22700*-10%+22700</f>
        <v>20430</v>
      </c>
      <c r="F33" s="209">
        <f>14935.05-161</f>
        <v>14774.05</v>
      </c>
      <c r="G33" s="51">
        <f t="shared" si="6"/>
        <v>-5655.95</v>
      </c>
      <c r="H33" s="210">
        <v>67.0</v>
      </c>
      <c r="I33" s="265">
        <f t="shared" si="7"/>
        <v>220.508209</v>
      </c>
      <c r="J33" s="363">
        <v>24.0</v>
      </c>
      <c r="K33" s="363">
        <v>27.0</v>
      </c>
      <c r="L33" s="363">
        <v>31.0</v>
      </c>
      <c r="M33" s="364">
        <f t="shared" si="8"/>
        <v>82</v>
      </c>
      <c r="N33" s="350">
        <f t="shared" si="9"/>
        <v>46199</v>
      </c>
      <c r="O33" s="204" t="str">
        <f t="shared" si="10"/>
        <v>sex.</v>
      </c>
      <c r="P33" s="351">
        <v>13000.0</v>
      </c>
      <c r="Q33" s="213">
        <f>8408.06-680.65</f>
        <v>7727.41</v>
      </c>
      <c r="R33" s="51">
        <f t="shared" si="11"/>
        <v>-5272.59</v>
      </c>
      <c r="S33" s="217">
        <v>48.0</v>
      </c>
      <c r="T33" s="291">
        <f t="shared" si="12"/>
        <v>160.9877083</v>
      </c>
      <c r="U33" s="217">
        <v>8.0</v>
      </c>
      <c r="V33" s="217">
        <v>33.0</v>
      </c>
      <c r="W33" s="217">
        <v>11.0</v>
      </c>
      <c r="X33" s="291">
        <f t="shared" si="13"/>
        <v>52</v>
      </c>
      <c r="AB33" s="84"/>
      <c r="AC33" s="85">
        <f>AC32/AC19</f>
        <v>0.03571544</v>
      </c>
      <c r="AD33" s="84"/>
      <c r="AE33" s="87">
        <f>AE32/AE19</f>
        <v>0.05955383333</v>
      </c>
      <c r="AH33" s="393" t="s">
        <v>252</v>
      </c>
      <c r="AI33" s="387">
        <v>80.0</v>
      </c>
      <c r="AJ33" s="385"/>
      <c r="AL33" s="393"/>
      <c r="AM33" s="387"/>
      <c r="AN33" s="385"/>
    </row>
    <row r="34" ht="15.75" customHeight="1">
      <c r="A34" s="8"/>
      <c r="B34" s="8"/>
      <c r="C34" s="207">
        <v>46200.0</v>
      </c>
      <c r="D34" s="208" t="str">
        <f t="shared" si="5"/>
        <v>sáb.</v>
      </c>
      <c r="E34" s="341">
        <f>30500*-10%+30500</f>
        <v>27450</v>
      </c>
      <c r="F34" s="209">
        <f>20852.59</f>
        <v>20852.59</v>
      </c>
      <c r="G34" s="51">
        <f t="shared" si="6"/>
        <v>-6597.41</v>
      </c>
      <c r="H34" s="210">
        <v>96.0</v>
      </c>
      <c r="I34" s="265">
        <f t="shared" si="7"/>
        <v>217.2144792</v>
      </c>
      <c r="J34" s="363">
        <v>20.0</v>
      </c>
      <c r="K34" s="363">
        <v>61.0</v>
      </c>
      <c r="L34" s="363">
        <v>40.0</v>
      </c>
      <c r="M34" s="364">
        <f t="shared" si="8"/>
        <v>121</v>
      </c>
      <c r="N34" s="350">
        <f t="shared" si="9"/>
        <v>46200</v>
      </c>
      <c r="O34" s="204" t="str">
        <f t="shared" si="10"/>
        <v>sáb.</v>
      </c>
      <c r="P34" s="351">
        <v>17700.0</v>
      </c>
      <c r="Q34" s="213">
        <f>19045.26-1267.03</f>
        <v>17778.23</v>
      </c>
      <c r="R34" s="51">
        <f t="shared" si="11"/>
        <v>78.23</v>
      </c>
      <c r="S34" s="217">
        <v>93.0</v>
      </c>
      <c r="T34" s="291">
        <f t="shared" si="12"/>
        <v>191.1637634</v>
      </c>
      <c r="U34" s="217">
        <v>21.0</v>
      </c>
      <c r="V34" s="217">
        <v>73.0</v>
      </c>
      <c r="W34" s="217">
        <v>36.0</v>
      </c>
      <c r="X34" s="291">
        <f t="shared" si="13"/>
        <v>130</v>
      </c>
      <c r="AH34" s="393" t="s">
        <v>353</v>
      </c>
      <c r="AI34" s="387">
        <f>80/30*15</f>
        <v>40</v>
      </c>
      <c r="AJ34" s="385"/>
      <c r="AL34" s="393"/>
      <c r="AM34" s="387"/>
      <c r="AN34" s="385"/>
    </row>
    <row r="35" ht="15.75" customHeight="1">
      <c r="A35" s="8"/>
      <c r="B35" s="8"/>
      <c r="C35" s="207">
        <v>46201.0</v>
      </c>
      <c r="D35" s="208" t="str">
        <f t="shared" si="5"/>
        <v>dom.</v>
      </c>
      <c r="E35" s="341">
        <f>25000*-10%+25000</f>
        <v>22500</v>
      </c>
      <c r="F35" s="209">
        <f>24475</f>
        <v>24475</v>
      </c>
      <c r="G35" s="51">
        <f t="shared" si="6"/>
        <v>1975</v>
      </c>
      <c r="H35" s="210">
        <v>110.0</v>
      </c>
      <c r="I35" s="265">
        <f t="shared" si="7"/>
        <v>222.5</v>
      </c>
      <c r="J35" s="363">
        <v>36.0</v>
      </c>
      <c r="K35" s="363">
        <v>60.0</v>
      </c>
      <c r="L35" s="363">
        <v>47.0</v>
      </c>
      <c r="M35" s="364">
        <f t="shared" si="8"/>
        <v>143</v>
      </c>
      <c r="N35" s="350">
        <f t="shared" si="9"/>
        <v>46201</v>
      </c>
      <c r="O35" s="204" t="str">
        <f t="shared" si="10"/>
        <v>dom.</v>
      </c>
      <c r="P35" s="351">
        <v>21300.0</v>
      </c>
      <c r="Q35" s="213">
        <f>20457.82-1507.32</f>
        <v>18950.5</v>
      </c>
      <c r="R35" s="51">
        <f t="shared" si="11"/>
        <v>-2349.5</v>
      </c>
      <c r="S35" s="217">
        <v>110.0</v>
      </c>
      <c r="T35" s="291">
        <f t="shared" si="12"/>
        <v>172.2772727</v>
      </c>
      <c r="U35" s="217">
        <v>47.0</v>
      </c>
      <c r="V35" s="217">
        <v>35.0</v>
      </c>
      <c r="W35" s="217">
        <v>70.0</v>
      </c>
      <c r="X35" s="291">
        <f t="shared" si="13"/>
        <v>152</v>
      </c>
      <c r="AA35" s="92" t="s">
        <v>72</v>
      </c>
      <c r="AB35" s="93" t="s">
        <v>73</v>
      </c>
      <c r="AC35" s="94">
        <f>F39</f>
        <v>378005.1</v>
      </c>
      <c r="AD35" s="164" t="s">
        <v>74</v>
      </c>
      <c r="AE35" s="96">
        <f>Q39</f>
        <v>324715.53</v>
      </c>
      <c r="AF35" s="92" t="s">
        <v>72</v>
      </c>
      <c r="AH35" s="384" t="s">
        <v>321</v>
      </c>
      <c r="AI35" s="387">
        <v>50.0</v>
      </c>
      <c r="AJ35" s="385"/>
      <c r="AL35" s="384"/>
      <c r="AM35" s="387"/>
      <c r="AN35" s="385"/>
    </row>
    <row r="36" ht="15.75" customHeight="1">
      <c r="A36" s="8"/>
      <c r="B36" s="8"/>
      <c r="C36" s="207">
        <v>46202.0</v>
      </c>
      <c r="D36" s="208" t="str">
        <f t="shared" si="5"/>
        <v>seg.</v>
      </c>
      <c r="E36" s="341">
        <v>7400.0</v>
      </c>
      <c r="F36" s="209">
        <f>6714</f>
        <v>6714</v>
      </c>
      <c r="G36" s="51">
        <f t="shared" si="6"/>
        <v>-686</v>
      </c>
      <c r="H36" s="210">
        <v>28.0</v>
      </c>
      <c r="I36" s="265">
        <f t="shared" si="7"/>
        <v>239.7857143</v>
      </c>
      <c r="J36" s="363">
        <v>5.0</v>
      </c>
      <c r="K36" s="363">
        <v>19.0</v>
      </c>
      <c r="L36" s="363">
        <v>15.0</v>
      </c>
      <c r="M36" s="364">
        <f t="shared" si="8"/>
        <v>39</v>
      </c>
      <c r="N36" s="350">
        <f t="shared" si="9"/>
        <v>46202</v>
      </c>
      <c r="O36" s="204" t="str">
        <f t="shared" si="10"/>
        <v>seg.</v>
      </c>
      <c r="P36" s="351">
        <v>3000.0</v>
      </c>
      <c r="Q36" s="213">
        <f>11236.32-293.74</f>
        <v>10942.58</v>
      </c>
      <c r="R36" s="51">
        <f t="shared" si="11"/>
        <v>7942.58</v>
      </c>
      <c r="S36" s="217">
        <v>60.0</v>
      </c>
      <c r="T36" s="291">
        <f t="shared" si="12"/>
        <v>182.3763333</v>
      </c>
      <c r="U36" s="217">
        <v>19.0</v>
      </c>
      <c r="V36" s="217">
        <v>42.0</v>
      </c>
      <c r="W36" s="217">
        <v>22.0</v>
      </c>
      <c r="X36" s="291">
        <f t="shared" si="13"/>
        <v>83</v>
      </c>
      <c r="AA36" s="97">
        <f>AC36-AD36</f>
        <v>-0.2439898</v>
      </c>
      <c r="AB36" s="98"/>
      <c r="AC36" s="99">
        <f>AC35/AC19</f>
        <v>0.7560102</v>
      </c>
      <c r="AD36" s="165">
        <f>30/30</f>
        <v>1</v>
      </c>
      <c r="AE36" s="100">
        <f>AE35/AE19</f>
        <v>1.0823851</v>
      </c>
      <c r="AF36" s="97">
        <f>AE36-AD36</f>
        <v>0.0823851</v>
      </c>
      <c r="AK36" s="61"/>
    </row>
    <row r="37" ht="15.75" customHeight="1">
      <c r="A37" s="8"/>
      <c r="B37" s="8"/>
      <c r="C37" s="207">
        <v>46203.0</v>
      </c>
      <c r="D37" s="208" t="str">
        <f t="shared" si="5"/>
        <v>ter.</v>
      </c>
      <c r="E37" s="341">
        <v>9000.0</v>
      </c>
      <c r="F37" s="209">
        <f>10191.25+952.47</f>
        <v>11143.72</v>
      </c>
      <c r="G37" s="51">
        <f t="shared" si="6"/>
        <v>2143.72</v>
      </c>
      <c r="H37" s="210">
        <v>37.0</v>
      </c>
      <c r="I37" s="265">
        <f t="shared" si="7"/>
        <v>301.1816216</v>
      </c>
      <c r="J37" s="363">
        <v>5.0</v>
      </c>
      <c r="K37" s="363">
        <v>21.0</v>
      </c>
      <c r="L37" s="363">
        <v>30.0</v>
      </c>
      <c r="M37" s="364">
        <f t="shared" si="8"/>
        <v>56</v>
      </c>
      <c r="N37" s="350">
        <f t="shared" si="9"/>
        <v>46203</v>
      </c>
      <c r="O37" s="204" t="str">
        <f t="shared" si="10"/>
        <v>ter.</v>
      </c>
      <c r="P37" s="351">
        <v>5600.0</v>
      </c>
      <c r="Q37" s="213">
        <f>7420.27-476.7-20</f>
        <v>6923.57</v>
      </c>
      <c r="R37" s="51">
        <f t="shared" si="11"/>
        <v>1323.57</v>
      </c>
      <c r="S37" s="217">
        <v>42.0</v>
      </c>
      <c r="T37" s="291">
        <f t="shared" si="12"/>
        <v>164.8469048</v>
      </c>
      <c r="U37" s="217">
        <v>7.0</v>
      </c>
      <c r="V37" s="217">
        <v>37.0</v>
      </c>
      <c r="W37" s="217">
        <v>12.0</v>
      </c>
      <c r="X37" s="291">
        <f t="shared" si="13"/>
        <v>56</v>
      </c>
      <c r="AB37" s="98" t="s">
        <v>76</v>
      </c>
      <c r="AC37" s="104">
        <f>AC19-AC35</f>
        <v>121994.9</v>
      </c>
      <c r="AD37" s="99"/>
      <c r="AE37" s="106">
        <f>AE19-AE35</f>
        <v>-24715.53</v>
      </c>
    </row>
    <row r="38" ht="15.75" customHeight="1">
      <c r="A38" s="8"/>
      <c r="B38" s="8"/>
      <c r="C38" s="207"/>
      <c r="D38" s="208"/>
      <c r="E38" s="209"/>
      <c r="F38" s="209"/>
      <c r="G38" s="51"/>
      <c r="H38" s="290"/>
      <c r="I38" s="265"/>
      <c r="J38" s="364"/>
      <c r="K38" s="364"/>
      <c r="L38" s="364"/>
      <c r="M38" s="364"/>
      <c r="N38" s="350"/>
      <c r="O38" s="204"/>
      <c r="P38" s="213"/>
      <c r="Q38" s="213"/>
      <c r="R38" s="51"/>
      <c r="S38" s="291"/>
      <c r="T38" s="291"/>
      <c r="U38" s="291"/>
      <c r="V38" s="291"/>
      <c r="W38" s="291"/>
      <c r="X38" s="291"/>
      <c r="AE38" s="61"/>
    </row>
    <row r="39" ht="15.75" customHeight="1">
      <c r="A39" s="8"/>
      <c r="B39" s="8"/>
      <c r="C39" s="218"/>
      <c r="D39" s="218"/>
      <c r="E39" s="219">
        <f t="shared" ref="E39:H39" si="18">SUM(E8:E38)</f>
        <v>500000</v>
      </c>
      <c r="F39" s="219">
        <f t="shared" si="18"/>
        <v>378005.1</v>
      </c>
      <c r="G39" s="105">
        <f t="shared" si="18"/>
        <v>-121994.9</v>
      </c>
      <c r="H39" s="105">
        <f t="shared" si="18"/>
        <v>1597</v>
      </c>
      <c r="I39" s="105"/>
      <c r="J39" s="105">
        <f t="shared" ref="J39:M39" si="19">SUM(J8:J38)</f>
        <v>392</v>
      </c>
      <c r="K39" s="105">
        <f t="shared" si="19"/>
        <v>887</v>
      </c>
      <c r="L39" s="105">
        <f t="shared" si="19"/>
        <v>834</v>
      </c>
      <c r="M39" s="105">
        <f t="shared" si="19"/>
        <v>2113</v>
      </c>
      <c r="N39" s="286"/>
      <c r="O39" s="287"/>
      <c r="P39" s="222">
        <f t="shared" ref="P39:S39" si="20">SUM(P8:P38)</f>
        <v>300000</v>
      </c>
      <c r="Q39" s="222">
        <f t="shared" si="20"/>
        <v>324715.53</v>
      </c>
      <c r="R39" s="105">
        <f t="shared" si="20"/>
        <v>24715.53</v>
      </c>
      <c r="S39" s="223">
        <f t="shared" si="20"/>
        <v>1899</v>
      </c>
      <c r="T39" s="223"/>
      <c r="U39" s="105">
        <f t="shared" ref="U39:X39" si="21">SUM(U8:U38)</f>
        <v>537</v>
      </c>
      <c r="V39" s="105">
        <f t="shared" si="21"/>
        <v>1312</v>
      </c>
      <c r="W39" s="105">
        <f t="shared" si="21"/>
        <v>598</v>
      </c>
      <c r="X39" s="105">
        <f t="shared" si="21"/>
        <v>2447</v>
      </c>
    </row>
    <row r="40" ht="15.75" customHeight="1">
      <c r="D40" s="61"/>
      <c r="E40" s="61"/>
      <c r="F40" s="225"/>
      <c r="G40" s="114"/>
      <c r="H40" s="356" t="s">
        <v>354</v>
      </c>
      <c r="I40" s="226"/>
      <c r="J40" s="226"/>
      <c r="K40" s="226"/>
      <c r="L40" s="226"/>
      <c r="M40" s="226"/>
      <c r="N40" s="61"/>
      <c r="P40" s="61"/>
      <c r="Q40" s="275"/>
      <c r="R40" s="114"/>
      <c r="S40" s="199"/>
      <c r="T40" s="199"/>
      <c r="U40" s="199"/>
      <c r="V40" s="199"/>
      <c r="W40" s="199"/>
      <c r="X40" s="199"/>
    </row>
    <row r="41" ht="15.75" customHeight="1">
      <c r="A41" s="2"/>
      <c r="B41" s="2"/>
      <c r="C41" s="2"/>
      <c r="D41" s="75"/>
      <c r="E41" s="75"/>
      <c r="F41" s="2"/>
      <c r="H41" s="226"/>
      <c r="I41" s="226"/>
      <c r="J41" s="226"/>
      <c r="K41" s="226"/>
      <c r="L41" s="226"/>
      <c r="M41" s="226"/>
      <c r="N41" s="75"/>
      <c r="P41" s="75"/>
      <c r="Q41" s="2"/>
      <c r="S41" s="199"/>
      <c r="T41" s="199"/>
      <c r="U41" s="199"/>
      <c r="V41" s="199"/>
      <c r="W41" s="199"/>
      <c r="X41" s="199"/>
    </row>
    <row r="42" ht="15.75" customHeight="1">
      <c r="A42" s="2"/>
      <c r="B42" s="2"/>
      <c r="C42" s="2"/>
      <c r="D42" s="2"/>
      <c r="E42" s="174" t="s">
        <v>77</v>
      </c>
      <c r="F42" s="118">
        <f>E39+G39</f>
        <v>378005.1</v>
      </c>
      <c r="P42" s="115" t="s">
        <v>77</v>
      </c>
      <c r="Q42" s="118">
        <f>P39+R39</f>
        <v>324715.53</v>
      </c>
      <c r="S42" s="199"/>
      <c r="T42" s="199"/>
      <c r="U42" s="199"/>
      <c r="V42" s="199"/>
      <c r="W42" s="199"/>
      <c r="X42" s="199"/>
    </row>
    <row r="43" ht="15.75" customHeight="1">
      <c r="A43" s="2"/>
      <c r="B43" s="2"/>
      <c r="C43" s="122" t="s">
        <v>29</v>
      </c>
      <c r="D43" s="394">
        <v>500000.0</v>
      </c>
      <c r="E43" s="75"/>
      <c r="F43" s="2"/>
      <c r="N43" s="126" t="s">
        <v>29</v>
      </c>
      <c r="O43" s="394">
        <v>300000.0</v>
      </c>
      <c r="P43" s="2"/>
      <c r="Q43" s="2"/>
      <c r="S43" s="199"/>
      <c r="T43" s="199"/>
      <c r="U43" s="199"/>
      <c r="V43" s="199"/>
      <c r="W43" s="199"/>
      <c r="X43" s="199"/>
    </row>
    <row r="44" ht="15.75" customHeight="1">
      <c r="A44" s="61"/>
      <c r="B44" s="61"/>
      <c r="C44" s="61"/>
      <c r="D44" s="175"/>
      <c r="N44" s="175"/>
      <c r="O44" s="61"/>
      <c r="S44" s="199"/>
      <c r="T44" s="199"/>
      <c r="U44" s="199"/>
      <c r="V44" s="199"/>
      <c r="W44" s="199"/>
      <c r="X44" s="199"/>
    </row>
    <row r="45" ht="15.75" customHeight="1">
      <c r="A45" s="61"/>
      <c r="B45" s="61"/>
      <c r="C45" s="61"/>
      <c r="O45" s="61"/>
      <c r="S45" s="199"/>
      <c r="T45" s="199"/>
      <c r="U45" s="199"/>
      <c r="V45" s="199"/>
      <c r="W45" s="199"/>
      <c r="X45" s="199"/>
    </row>
    <row r="46" ht="15.75" customHeight="1">
      <c r="A46" s="61"/>
      <c r="B46" s="61"/>
      <c r="C46" s="61"/>
      <c r="N46" s="61"/>
      <c r="S46" s="199"/>
      <c r="T46" s="199"/>
      <c r="U46" s="199"/>
      <c r="V46" s="199"/>
      <c r="W46" s="199"/>
      <c r="X46" s="199"/>
    </row>
    <row r="47" ht="15.75" customHeight="1">
      <c r="A47" s="61"/>
      <c r="B47" s="61"/>
      <c r="C47" s="61"/>
      <c r="N47" s="121"/>
      <c r="S47" s="199"/>
      <c r="T47" s="199"/>
      <c r="U47" s="199"/>
      <c r="V47" s="199"/>
      <c r="W47" s="199"/>
      <c r="X47" s="199"/>
    </row>
    <row r="48" ht="15.75" customHeight="1">
      <c r="A48" s="61"/>
      <c r="B48" s="61"/>
      <c r="C48" s="61"/>
      <c r="S48" s="199"/>
      <c r="T48" s="199"/>
      <c r="U48" s="199"/>
      <c r="V48" s="199"/>
      <c r="W48" s="199"/>
      <c r="X48" s="19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C4:M6"/>
    <mergeCell ref="N4:X6"/>
    <mergeCell ref="AA4:AB4"/>
    <mergeCell ref="AD4:AE4"/>
    <mergeCell ref="AH4:AI4"/>
    <mergeCell ref="AK4:AL4"/>
  </mergeCells>
  <conditionalFormatting sqref="G8:G39 R8:R39 H39:M39 U39:X39">
    <cfRule type="cellIs" dxfId="0" priority="1" operator="greaterThanOrEqual">
      <formula>0</formula>
    </cfRule>
  </conditionalFormatting>
  <conditionalFormatting sqref="G8:G39 R8:R39 H39:M39 U39:X39">
    <cfRule type="cellIs" dxfId="1" priority="2" operator="lessThan">
      <formula>0</formula>
    </cfRule>
  </conditionalFormatting>
  <conditionalFormatting sqref="G8:G39 R8:R39 H39:M39 U39:X39">
    <cfRule type="cellIs" dxfId="2" priority="3" operator="lessThan">
      <formula>0</formula>
    </cfRule>
  </conditionalFormatting>
  <conditionalFormatting sqref="S39:X39">
    <cfRule type="cellIs" dxfId="0" priority="4" operator="greaterThanOrEqual">
      <formula>0</formula>
    </cfRule>
  </conditionalFormatting>
  <conditionalFormatting sqref="S39:X39">
    <cfRule type="cellIs" dxfId="1" priority="5" operator="lessThan">
      <formula>0</formula>
    </cfRule>
  </conditionalFormatting>
  <conditionalFormatting sqref="S39:X39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40.56"/>
    <col customWidth="1" min="4" max="4" width="32.44"/>
    <col customWidth="1" min="5" max="5" width="46.22"/>
  </cols>
  <sheetData>
    <row r="3">
      <c r="B3" s="317"/>
      <c r="C3" s="271"/>
      <c r="D3" s="317"/>
      <c r="E3" s="318" t="s">
        <v>236</v>
      </c>
    </row>
    <row r="4">
      <c r="B4" s="317"/>
      <c r="C4" s="271"/>
      <c r="D4" s="271"/>
      <c r="E4" s="319">
        <f>20%</f>
        <v>0.2</v>
      </c>
    </row>
    <row r="5">
      <c r="B5" s="320" t="s">
        <v>242</v>
      </c>
      <c r="C5" s="321" t="s">
        <v>222</v>
      </c>
      <c r="D5" s="335" t="s">
        <v>334</v>
      </c>
      <c r="E5" s="323"/>
    </row>
    <row r="6">
      <c r="B6" s="338" t="s">
        <v>245</v>
      </c>
      <c r="C6" s="325" t="s">
        <v>226</v>
      </c>
      <c r="D6" s="349">
        <f>97067.4-9055.04</f>
        <v>88012.36</v>
      </c>
      <c r="E6" s="327">
        <f t="shared" ref="E6:E10" si="1">D6/500000</f>
        <v>0.17602472</v>
      </c>
    </row>
    <row r="7">
      <c r="B7" s="338" t="s">
        <v>249</v>
      </c>
      <c r="C7" s="325" t="s">
        <v>227</v>
      </c>
      <c r="D7" s="326">
        <f>84731.01-9055.04</f>
        <v>75675.97</v>
      </c>
      <c r="E7" s="327">
        <f t="shared" si="1"/>
        <v>0.15135194</v>
      </c>
    </row>
    <row r="8">
      <c r="B8" s="338" t="s">
        <v>246</v>
      </c>
      <c r="C8" s="325" t="s">
        <v>228</v>
      </c>
      <c r="D8" s="326">
        <f>103941.02-70-9055.04</f>
        <v>94815.98</v>
      </c>
      <c r="E8" s="327">
        <f t="shared" si="1"/>
        <v>0.18963196</v>
      </c>
    </row>
    <row r="9">
      <c r="B9" s="338"/>
      <c r="C9" s="336" t="s">
        <v>335</v>
      </c>
      <c r="D9" s="349">
        <v>0.0</v>
      </c>
      <c r="E9" s="327">
        <f t="shared" si="1"/>
        <v>0</v>
      </c>
    </row>
    <row r="10">
      <c r="B10" s="338" t="s">
        <v>247</v>
      </c>
      <c r="C10" s="328" t="s">
        <v>231</v>
      </c>
      <c r="D10" s="326">
        <f>92599.9-406-9055.04</f>
        <v>83138.86</v>
      </c>
      <c r="E10" s="327">
        <f t="shared" si="1"/>
        <v>0.16627772</v>
      </c>
    </row>
    <row r="11">
      <c r="B11" s="338"/>
      <c r="C11" s="328"/>
      <c r="D11" s="329"/>
      <c r="E11" s="327"/>
    </row>
    <row r="12">
      <c r="B12" s="336"/>
      <c r="C12" s="317"/>
      <c r="D12" s="219">
        <f>SUM(D6:D10)+D15+476</f>
        <v>377132.67</v>
      </c>
      <c r="E12" s="327">
        <f>E6+E7+E8+E9+E10</f>
        <v>0.68328634</v>
      </c>
    </row>
    <row r="13">
      <c r="B13" s="325"/>
      <c r="C13" s="317"/>
      <c r="D13" s="317"/>
      <c r="E13" s="317"/>
    </row>
    <row r="14">
      <c r="B14" s="330"/>
      <c r="C14" s="317" t="s">
        <v>257</v>
      </c>
      <c r="D14" s="408">
        <f>1206.66</f>
        <v>1206.66</v>
      </c>
      <c r="E14" s="317"/>
    </row>
    <row r="15">
      <c r="B15" s="317"/>
      <c r="C15" s="317" t="s">
        <v>258</v>
      </c>
      <c r="D15" s="271">
        <f>186+152+33530+161.5+984</f>
        <v>35013.5</v>
      </c>
      <c r="E15" s="355" t="s">
        <v>336</v>
      </c>
    </row>
    <row r="16">
      <c r="B16" s="317"/>
      <c r="C16" s="317" t="s">
        <v>259</v>
      </c>
      <c r="D16" s="354">
        <f>SUM(D14:D15)</f>
        <v>36220.16</v>
      </c>
      <c r="E16" s="317"/>
    </row>
    <row r="17">
      <c r="B17" s="317"/>
      <c r="C17" s="317" t="s">
        <v>260</v>
      </c>
      <c r="D17" s="354">
        <f>D16/4</f>
        <v>9055.04</v>
      </c>
      <c r="E17" s="317"/>
    </row>
    <row r="19">
      <c r="D19" s="219">
        <f>413352.83-D14-D15</f>
        <v>377132.67</v>
      </c>
    </row>
    <row r="20">
      <c r="C20" s="317" t="s">
        <v>261</v>
      </c>
      <c r="D20" s="271">
        <f>D19+D14+D15</f>
        <v>413352.83</v>
      </c>
      <c r="E20" s="355" t="s">
        <v>333</v>
      </c>
    </row>
    <row r="21">
      <c r="D21" s="61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33"/>
    <col customWidth="1" min="2" max="2" width="12.22"/>
    <col customWidth="1" min="3" max="3" width="10.56"/>
    <col customWidth="1" min="4" max="4" width="18.33"/>
    <col customWidth="1" min="5" max="6" width="23.0"/>
    <col customWidth="1" min="7" max="7" width="12.67"/>
    <col customWidth="1" min="8" max="8" width="15.44"/>
    <col customWidth="1" min="9" max="9" width="10.56"/>
    <col customWidth="1" min="10" max="10" width="12.78"/>
    <col customWidth="1" min="11" max="11" width="11.78"/>
    <col customWidth="1" min="12" max="12" width="13.33"/>
    <col customWidth="1" min="13" max="13" width="14.78"/>
    <col customWidth="1" min="14" max="14" width="10.56"/>
    <col customWidth="1" min="15" max="15" width="18.33"/>
    <col customWidth="1" min="16" max="17" width="17.44"/>
    <col customWidth="1" min="18" max="19" width="10.56"/>
    <col customWidth="1" min="20" max="22" width="12.67"/>
    <col customWidth="1" min="23" max="23" width="14.44"/>
    <col customWidth="1" min="24" max="24" width="15.33"/>
    <col customWidth="1" min="25" max="26" width="10.56"/>
    <col customWidth="1" min="27" max="28" width="14.78"/>
    <col customWidth="1" min="29" max="29" width="14.0"/>
    <col customWidth="1" min="30" max="30" width="13.0"/>
    <col customWidth="1" min="31" max="31" width="14.0"/>
    <col customWidth="1" min="32" max="33" width="10.56"/>
    <col customWidth="1" min="34" max="34" width="26.89"/>
    <col customWidth="1" min="35" max="35" width="16.89"/>
    <col customWidth="1" min="36" max="36" width="11.67"/>
    <col customWidth="1" min="37" max="37" width="33.78"/>
    <col customWidth="1" min="38" max="40" width="14.78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9"/>
      <c r="J4" s="357"/>
      <c r="K4" s="357"/>
      <c r="L4" s="357"/>
      <c r="M4" s="357"/>
      <c r="N4" s="27" t="s">
        <v>22</v>
      </c>
      <c r="O4" s="18"/>
      <c r="P4" s="18"/>
      <c r="Q4" s="18"/>
      <c r="R4" s="18"/>
      <c r="S4" s="18"/>
      <c r="T4" s="19"/>
      <c r="U4" s="410"/>
      <c r="V4" s="410"/>
      <c r="W4" s="410"/>
      <c r="X4" s="410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  <c r="AM4" s="2"/>
      <c r="AN4" s="2"/>
    </row>
    <row r="5" ht="15.75" customHeight="1">
      <c r="A5" s="288"/>
      <c r="B5" s="288"/>
      <c r="C5" s="31"/>
      <c r="I5" s="32"/>
      <c r="J5" s="357"/>
      <c r="K5" s="357"/>
      <c r="L5" s="357"/>
      <c r="M5" s="357"/>
      <c r="N5" s="31"/>
      <c r="T5" s="32"/>
      <c r="U5" s="410"/>
      <c r="V5" s="410"/>
      <c r="W5" s="410"/>
      <c r="X5" s="410"/>
      <c r="AA5" s="261">
        <v>45689.0</v>
      </c>
      <c r="AB5" s="261">
        <v>45717.0</v>
      </c>
      <c r="AD5" s="261">
        <v>45689.0</v>
      </c>
      <c r="AE5" s="261">
        <v>45717.0</v>
      </c>
      <c r="AH5" s="261">
        <v>46054.0</v>
      </c>
      <c r="AI5" s="261">
        <v>46082.0</v>
      </c>
      <c r="AK5" s="261">
        <v>46054.0</v>
      </c>
      <c r="AL5" s="261">
        <v>46082.0</v>
      </c>
      <c r="AM5" s="175"/>
      <c r="AN5" s="175"/>
    </row>
    <row r="6" ht="15.75" customHeight="1">
      <c r="A6" s="288"/>
      <c r="B6" s="288"/>
      <c r="C6" s="34"/>
      <c r="D6" s="35"/>
      <c r="E6" s="35"/>
      <c r="F6" s="35"/>
      <c r="G6" s="35"/>
      <c r="H6" s="35"/>
      <c r="I6" s="36"/>
      <c r="J6" s="357"/>
      <c r="K6" s="357"/>
      <c r="L6" s="357"/>
      <c r="M6" s="357"/>
      <c r="N6" s="34"/>
      <c r="O6" s="35"/>
      <c r="P6" s="35"/>
      <c r="Q6" s="35"/>
      <c r="R6" s="35"/>
      <c r="S6" s="35"/>
      <c r="T6" s="36"/>
      <c r="U6" s="410"/>
      <c r="V6" s="410"/>
      <c r="W6" s="410"/>
      <c r="X6" s="410"/>
      <c r="Z6" s="2" t="s">
        <v>45</v>
      </c>
      <c r="AA6" s="55">
        <v>3652.4075000000003</v>
      </c>
      <c r="AB6" s="55">
        <v>4545.63</v>
      </c>
      <c r="AC6" s="66">
        <f t="shared" ref="AC6:AC12" si="1">AB6/AA6-1</f>
        <v>0.2445571859</v>
      </c>
      <c r="AD6" s="229">
        <v>3812.5525000000002</v>
      </c>
      <c r="AE6" s="229">
        <v>5771.93</v>
      </c>
      <c r="AF6" s="66">
        <f t="shared" ref="AF6:AF12" si="2">AE6/AD6-1</f>
        <v>0.5139280049</v>
      </c>
      <c r="AG6" s="2" t="s">
        <v>45</v>
      </c>
      <c r="AH6" s="229">
        <v>4714.78</v>
      </c>
      <c r="AI6" s="274">
        <f t="shared" ref="AI6:AI12" si="3">AH6*AC6+AH6</f>
        <v>5867.813329</v>
      </c>
      <c r="AJ6" s="75"/>
      <c r="AK6" s="229">
        <v>3549.79</v>
      </c>
      <c r="AL6" s="274">
        <f t="shared" ref="AL6:AL12" si="4">AK6*AF6+AK6</f>
        <v>5374.126493</v>
      </c>
      <c r="AM6" s="361"/>
      <c r="AN6" s="361"/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6"/>
      <c r="J7" s="202"/>
      <c r="K7" s="202"/>
      <c r="L7" s="202"/>
      <c r="M7" s="202"/>
      <c r="N7" s="202" t="s">
        <v>28</v>
      </c>
      <c r="O7" s="35"/>
      <c r="P7" s="35"/>
      <c r="Q7" s="35"/>
      <c r="R7" s="35"/>
      <c r="S7" s="35"/>
      <c r="T7" s="35"/>
      <c r="U7" s="289"/>
      <c r="V7" s="289"/>
      <c r="W7" s="289"/>
      <c r="X7" s="289"/>
      <c r="Z7" s="8" t="s">
        <v>46</v>
      </c>
      <c r="AA7" s="55">
        <v>3437.8125</v>
      </c>
      <c r="AB7" s="55">
        <v>5976.19</v>
      </c>
      <c r="AC7" s="66">
        <f t="shared" si="1"/>
        <v>0.7383699664</v>
      </c>
      <c r="AD7" s="229">
        <v>4137.565</v>
      </c>
      <c r="AE7" s="229">
        <v>7407.2</v>
      </c>
      <c r="AF7" s="66">
        <f t="shared" si="2"/>
        <v>0.7902316942</v>
      </c>
      <c r="AG7" s="8" t="s">
        <v>46</v>
      </c>
      <c r="AH7" s="229">
        <v>4782.03</v>
      </c>
      <c r="AI7" s="274">
        <f t="shared" si="3"/>
        <v>8312.93733</v>
      </c>
      <c r="AJ7" s="75"/>
      <c r="AK7" s="229">
        <v>4412.95</v>
      </c>
      <c r="AL7" s="274">
        <f t="shared" si="4"/>
        <v>7900.202955</v>
      </c>
      <c r="AM7" s="361"/>
      <c r="AN7" s="361"/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254</v>
      </c>
      <c r="X8" s="44" t="s">
        <v>166</v>
      </c>
      <c r="Z8" s="2" t="s">
        <v>40</v>
      </c>
      <c r="AA8" s="55">
        <v>6062.825000000001</v>
      </c>
      <c r="AB8" s="55">
        <v>5450.1</v>
      </c>
      <c r="AC8" s="66">
        <f t="shared" si="1"/>
        <v>-0.1010626234</v>
      </c>
      <c r="AD8" s="229">
        <v>4168.594999999999</v>
      </c>
      <c r="AE8" s="229">
        <v>6082.42</v>
      </c>
      <c r="AF8" s="66">
        <f t="shared" si="2"/>
        <v>0.459105526</v>
      </c>
      <c r="AG8" s="2" t="s">
        <v>40</v>
      </c>
      <c r="AH8" s="229">
        <v>5010.82</v>
      </c>
      <c r="AI8" s="274">
        <f t="shared" si="3"/>
        <v>4504.413385</v>
      </c>
      <c r="AJ8" s="75"/>
      <c r="AK8" s="229">
        <v>5423.01</v>
      </c>
      <c r="AL8" s="274">
        <f t="shared" si="4"/>
        <v>7912.743858</v>
      </c>
      <c r="AM8" s="361"/>
      <c r="AN8" s="361"/>
    </row>
    <row r="9" ht="15.75" customHeight="1">
      <c r="A9" s="8"/>
      <c r="B9" s="8"/>
      <c r="C9" s="207">
        <v>46204.0</v>
      </c>
      <c r="D9" s="208" t="str">
        <f t="shared" ref="D9:D39" si="5">TEXT(C9,"ddd")</f>
        <v>qua.</v>
      </c>
      <c r="E9" s="209">
        <f>14785.5</f>
        <v>14785.5</v>
      </c>
      <c r="F9" s="209">
        <f>14785.7</f>
        <v>14785.7</v>
      </c>
      <c r="G9" s="51">
        <f t="shared" ref="G9:G39" si="6">F9-E9</f>
        <v>0.2</v>
      </c>
      <c r="H9" s="210">
        <v>60.0</v>
      </c>
      <c r="I9" s="265">
        <f t="shared" ref="I9:I39" si="7">F9/H9</f>
        <v>246.4283333</v>
      </c>
      <c r="J9" s="363">
        <v>21.0</v>
      </c>
      <c r="K9" s="364">
        <f>4+12</f>
        <v>16</v>
      </c>
      <c r="L9" s="363">
        <v>42.0</v>
      </c>
      <c r="M9" s="364">
        <f t="shared" ref="M9:M39" si="8">J9+K9+L9</f>
        <v>79</v>
      </c>
      <c r="N9" s="350">
        <f t="shared" ref="N9:N39" si="9">C9</f>
        <v>46204</v>
      </c>
      <c r="O9" s="204" t="str">
        <f t="shared" ref="O9:O39" si="10">TEXT(N9,"ddd")</f>
        <v>qua.</v>
      </c>
      <c r="P9" s="213">
        <f>3596.95-258.73</f>
        <v>3338.22</v>
      </c>
      <c r="Q9" s="213">
        <f>3338.22</f>
        <v>3338.22</v>
      </c>
      <c r="R9" s="51">
        <f t="shared" ref="R9:R39" si="11">Q9-P9</f>
        <v>0</v>
      </c>
      <c r="S9" s="217">
        <v>20.0</v>
      </c>
      <c r="T9" s="291">
        <f t="shared" ref="T9:T39" si="12">Q9/S9</f>
        <v>166.911</v>
      </c>
      <c r="U9" s="217">
        <v>2.0</v>
      </c>
      <c r="V9" s="217">
        <f>1.5+12.5</f>
        <v>14</v>
      </c>
      <c r="W9" s="217">
        <v>7.0</v>
      </c>
      <c r="X9" s="291">
        <f t="shared" ref="X9:X39" si="13">U9+V9+W9</f>
        <v>23</v>
      </c>
      <c r="Z9" s="2" t="s">
        <v>47</v>
      </c>
      <c r="AA9" s="55">
        <v>6195.1050000000005</v>
      </c>
      <c r="AB9" s="55">
        <v>5434.13</v>
      </c>
      <c r="AC9" s="66">
        <f t="shared" si="1"/>
        <v>-0.1228348833</v>
      </c>
      <c r="AD9" s="229">
        <v>5183.4375</v>
      </c>
      <c r="AE9" s="229">
        <v>5086.32</v>
      </c>
      <c r="AF9" s="66">
        <f t="shared" si="2"/>
        <v>-0.01873611865</v>
      </c>
      <c r="AG9" s="2" t="s">
        <v>47</v>
      </c>
      <c r="AH9" s="229">
        <v>4491.8</v>
      </c>
      <c r="AI9" s="274">
        <f t="shared" si="3"/>
        <v>3940.050271</v>
      </c>
      <c r="AJ9" s="75"/>
      <c r="AK9" s="229">
        <v>4676.16</v>
      </c>
      <c r="AL9" s="274">
        <f t="shared" si="4"/>
        <v>4588.546911</v>
      </c>
      <c r="AM9" s="361"/>
      <c r="AN9" s="361"/>
    </row>
    <row r="10" ht="15.75" customHeight="1">
      <c r="A10" s="8"/>
      <c r="B10" s="8"/>
      <c r="C10" s="207">
        <v>46205.0</v>
      </c>
      <c r="D10" s="208" t="str">
        <f t="shared" si="5"/>
        <v>qui.</v>
      </c>
      <c r="E10" s="341">
        <v>17000.0</v>
      </c>
      <c r="F10" s="209">
        <f>26286</f>
        <v>26286</v>
      </c>
      <c r="G10" s="51">
        <f t="shared" si="6"/>
        <v>9286</v>
      </c>
      <c r="H10" s="210">
        <v>88.0</v>
      </c>
      <c r="I10" s="265">
        <f t="shared" si="7"/>
        <v>298.7045455</v>
      </c>
      <c r="J10" s="363">
        <v>45.0</v>
      </c>
      <c r="K10" s="364">
        <f>9.5+46.5</f>
        <v>56</v>
      </c>
      <c r="L10" s="363">
        <v>51.0</v>
      </c>
      <c r="M10" s="364">
        <f t="shared" si="8"/>
        <v>152</v>
      </c>
      <c r="N10" s="350">
        <f t="shared" si="9"/>
        <v>46205</v>
      </c>
      <c r="O10" s="204" t="str">
        <f t="shared" si="10"/>
        <v>qui.</v>
      </c>
      <c r="P10" s="351">
        <v>6500.0</v>
      </c>
      <c r="Q10" s="213">
        <f>5560.07-446.9</f>
        <v>5113.17</v>
      </c>
      <c r="R10" s="51">
        <f t="shared" si="11"/>
        <v>-1386.83</v>
      </c>
      <c r="S10" s="217">
        <v>35.0</v>
      </c>
      <c r="T10" s="291">
        <f t="shared" si="12"/>
        <v>146.0905714</v>
      </c>
      <c r="U10" s="217">
        <v>8.0</v>
      </c>
      <c r="V10" s="291">
        <f>2.5+17.5</f>
        <v>20</v>
      </c>
      <c r="W10" s="217">
        <v>9.0</v>
      </c>
      <c r="X10" s="291">
        <f t="shared" si="13"/>
        <v>37</v>
      </c>
      <c r="Z10" s="2" t="s">
        <v>48</v>
      </c>
      <c r="AA10" s="55">
        <v>10387.4</v>
      </c>
      <c r="AB10" s="55">
        <v>10944.55</v>
      </c>
      <c r="AC10" s="66">
        <f t="shared" si="1"/>
        <v>0.05363709879</v>
      </c>
      <c r="AD10" s="229">
        <v>10702.8325</v>
      </c>
      <c r="AE10" s="229">
        <v>11651.22</v>
      </c>
      <c r="AF10" s="66">
        <f t="shared" si="2"/>
        <v>0.08861088875</v>
      </c>
      <c r="AG10" s="2" t="s">
        <v>48</v>
      </c>
      <c r="AH10" s="229">
        <v>12402.16</v>
      </c>
      <c r="AI10" s="274">
        <f t="shared" si="3"/>
        <v>13067.37588</v>
      </c>
      <c r="AJ10" s="75"/>
      <c r="AK10" s="229">
        <v>8692.46</v>
      </c>
      <c r="AL10" s="274">
        <f t="shared" si="4"/>
        <v>9462.706606</v>
      </c>
      <c r="AM10" s="361"/>
      <c r="AN10" s="361"/>
    </row>
    <row r="11" ht="15.75" customHeight="1">
      <c r="A11" s="8"/>
      <c r="B11" s="8"/>
      <c r="C11" s="207">
        <v>46206.0</v>
      </c>
      <c r="D11" s="208" t="str">
        <f t="shared" si="5"/>
        <v>sex.</v>
      </c>
      <c r="E11" s="341">
        <v>21000.0</v>
      </c>
      <c r="F11" s="209">
        <f>17026.5-392</f>
        <v>16634.5</v>
      </c>
      <c r="G11" s="51">
        <f t="shared" si="6"/>
        <v>-4365.5</v>
      </c>
      <c r="H11" s="210">
        <v>68.0</v>
      </c>
      <c r="I11" s="265">
        <f t="shared" si="7"/>
        <v>244.625</v>
      </c>
      <c r="J11" s="363">
        <v>17.0</v>
      </c>
      <c r="K11" s="364">
        <f>8+37</f>
        <v>45</v>
      </c>
      <c r="L11" s="363">
        <v>33.0</v>
      </c>
      <c r="M11" s="364">
        <f t="shared" si="8"/>
        <v>95</v>
      </c>
      <c r="N11" s="350">
        <f t="shared" si="9"/>
        <v>46206</v>
      </c>
      <c r="O11" s="204" t="str">
        <f t="shared" si="10"/>
        <v>sex.</v>
      </c>
      <c r="P11" s="351">
        <v>8600.0</v>
      </c>
      <c r="Q11" s="213">
        <f>9624.3-677.41</f>
        <v>8946.89</v>
      </c>
      <c r="R11" s="51">
        <f t="shared" si="11"/>
        <v>346.89</v>
      </c>
      <c r="S11" s="217">
        <v>58.0</v>
      </c>
      <c r="T11" s="291">
        <f t="shared" si="12"/>
        <v>154.2567241</v>
      </c>
      <c r="U11" s="217">
        <v>16.0</v>
      </c>
      <c r="V11" s="291">
        <f>9.5+32.5</f>
        <v>42</v>
      </c>
      <c r="W11" s="217">
        <v>11.0</v>
      </c>
      <c r="X11" s="291">
        <f t="shared" si="13"/>
        <v>69</v>
      </c>
      <c r="Z11" s="2" t="s">
        <v>171</v>
      </c>
      <c r="AA11" s="55">
        <v>16307.732500000002</v>
      </c>
      <c r="AB11" s="55">
        <v>18139.43</v>
      </c>
      <c r="AC11" s="66">
        <f t="shared" si="1"/>
        <v>0.1123207963</v>
      </c>
      <c r="AD11" s="229">
        <v>13893.575</v>
      </c>
      <c r="AE11" s="229">
        <v>13900.58</v>
      </c>
      <c r="AF11" s="66">
        <f t="shared" si="2"/>
        <v>0.0005041898863</v>
      </c>
      <c r="AG11" s="2" t="s">
        <v>171</v>
      </c>
      <c r="AH11" s="229">
        <v>21497.4</v>
      </c>
      <c r="AI11" s="274">
        <f t="shared" si="3"/>
        <v>23912.00509</v>
      </c>
      <c r="AJ11" s="75"/>
      <c r="AK11" s="229">
        <v>12983.64</v>
      </c>
      <c r="AL11" s="274">
        <f t="shared" si="4"/>
        <v>12990.18622</v>
      </c>
      <c r="AM11" s="361"/>
      <c r="AN11" s="361"/>
    </row>
    <row r="12" ht="15.75" customHeight="1">
      <c r="A12" s="8"/>
      <c r="B12" s="8"/>
      <c r="C12" s="207">
        <v>46207.0</v>
      </c>
      <c r="D12" s="208" t="str">
        <f t="shared" si="5"/>
        <v>sáb.</v>
      </c>
      <c r="E12" s="341">
        <v>28000.0</v>
      </c>
      <c r="F12" s="209">
        <f>21924</f>
        <v>21924</v>
      </c>
      <c r="G12" s="51">
        <f t="shared" si="6"/>
        <v>-6076</v>
      </c>
      <c r="H12" s="210">
        <v>96.0</v>
      </c>
      <c r="I12" s="265">
        <f t="shared" si="7"/>
        <v>228.375</v>
      </c>
      <c r="J12" s="363">
        <v>18.0</v>
      </c>
      <c r="K12" s="364">
        <f>6.5+48.5</f>
        <v>55</v>
      </c>
      <c r="L12" s="363">
        <v>46.0</v>
      </c>
      <c r="M12" s="364">
        <f t="shared" si="8"/>
        <v>119</v>
      </c>
      <c r="N12" s="350">
        <f t="shared" si="9"/>
        <v>46207</v>
      </c>
      <c r="O12" s="204" t="str">
        <f t="shared" si="10"/>
        <v>sáb.</v>
      </c>
      <c r="P12" s="351">
        <v>14200.0</v>
      </c>
      <c r="Q12" s="213">
        <f>9999.36-764</f>
        <v>9235.36</v>
      </c>
      <c r="R12" s="51">
        <f t="shared" si="11"/>
        <v>-4964.64</v>
      </c>
      <c r="S12" s="217">
        <v>53.0</v>
      </c>
      <c r="T12" s="291">
        <f t="shared" si="12"/>
        <v>174.2520755</v>
      </c>
      <c r="U12" s="217">
        <v>21.0</v>
      </c>
      <c r="V12" s="291">
        <f>2.5+39.5</f>
        <v>42</v>
      </c>
      <c r="W12" s="217">
        <v>11.0</v>
      </c>
      <c r="X12" s="291">
        <f t="shared" si="13"/>
        <v>74</v>
      </c>
      <c r="Z12" s="2" t="s">
        <v>44</v>
      </c>
      <c r="AA12" s="55">
        <v>14307.8</v>
      </c>
      <c r="AB12" s="55">
        <v>18056.14</v>
      </c>
      <c r="AC12" s="66">
        <f t="shared" si="1"/>
        <v>0.2619787808</v>
      </c>
      <c r="AD12" s="229">
        <v>20893.4225</v>
      </c>
      <c r="AE12" s="229">
        <v>19750.29</v>
      </c>
      <c r="AF12" s="66">
        <f t="shared" si="2"/>
        <v>-0.05471255368</v>
      </c>
      <c r="AG12" s="2" t="s">
        <v>44</v>
      </c>
      <c r="AH12" s="229">
        <v>19314.34</v>
      </c>
      <c r="AI12" s="274">
        <f t="shared" si="3"/>
        <v>24374.28725</v>
      </c>
      <c r="AJ12" s="75"/>
      <c r="AK12" s="229">
        <v>16807.18</v>
      </c>
      <c r="AL12" s="274">
        <f t="shared" si="4"/>
        <v>15887.61626</v>
      </c>
      <c r="AM12" s="361"/>
      <c r="AN12" s="361"/>
    </row>
    <row r="13" ht="15.75" customHeight="1">
      <c r="A13" s="8"/>
      <c r="B13" s="409" t="s">
        <v>340</v>
      </c>
      <c r="C13" s="207">
        <v>46208.0</v>
      </c>
      <c r="D13" s="208" t="str">
        <f t="shared" si="5"/>
        <v>dom.</v>
      </c>
      <c r="E13" s="341">
        <v>19000.0</v>
      </c>
      <c r="F13" s="209">
        <f>9222.1+211.5-200</f>
        <v>9233.6</v>
      </c>
      <c r="G13" s="51">
        <f t="shared" si="6"/>
        <v>-9766.4</v>
      </c>
      <c r="H13" s="210">
        <v>55.0</v>
      </c>
      <c r="I13" s="265">
        <f t="shared" si="7"/>
        <v>167.8836364</v>
      </c>
      <c r="J13" s="363">
        <v>13.0</v>
      </c>
      <c r="K13" s="364">
        <f>4.5+23.5</f>
        <v>28</v>
      </c>
      <c r="L13" s="363">
        <v>17.0</v>
      </c>
      <c r="M13" s="364">
        <f t="shared" si="8"/>
        <v>58</v>
      </c>
      <c r="N13" s="350">
        <f t="shared" si="9"/>
        <v>46208</v>
      </c>
      <c r="O13" s="204" t="str">
        <f t="shared" si="10"/>
        <v>dom.</v>
      </c>
      <c r="P13" s="351">
        <v>26000.0</v>
      </c>
      <c r="Q13" s="213">
        <f>23269.55-1717.26+200</f>
        <v>21752.29</v>
      </c>
      <c r="R13" s="51">
        <f t="shared" si="11"/>
        <v>-4247.71</v>
      </c>
      <c r="S13" s="217">
        <v>128.0</v>
      </c>
      <c r="T13" s="291">
        <f t="shared" si="12"/>
        <v>169.9397656</v>
      </c>
      <c r="U13" s="217">
        <v>48.0</v>
      </c>
      <c r="V13" s="291">
        <f>13.5+67.5</f>
        <v>81</v>
      </c>
      <c r="W13" s="217">
        <v>37.0</v>
      </c>
      <c r="X13" s="291">
        <f t="shared" si="13"/>
        <v>166</v>
      </c>
      <c r="AA13" s="167">
        <f t="shared" ref="AA13:AB13" si="14">SUM(AA6:AA12)</f>
        <v>60351.0825</v>
      </c>
      <c r="AB13" s="167">
        <f t="shared" si="14"/>
        <v>68546.17</v>
      </c>
      <c r="AC13" s="61"/>
      <c r="AD13" s="167">
        <f t="shared" ref="AD13:AE13" si="15">SUM(AD6:AD12)</f>
        <v>62791.98</v>
      </c>
      <c r="AE13" s="167">
        <f t="shared" si="15"/>
        <v>69649.96</v>
      </c>
      <c r="AF13" s="61"/>
      <c r="AH13" s="167">
        <f t="shared" ref="AH13:AI13" si="16">SUM(AH6:AH12)</f>
        <v>72213.33</v>
      </c>
      <c r="AI13" s="167">
        <f t="shared" si="16"/>
        <v>83978.88253</v>
      </c>
      <c r="AJ13" s="61"/>
      <c r="AK13" s="167">
        <f t="shared" ref="AK13:AL13" si="17">SUM(AK6:AK12)</f>
        <v>56545.19</v>
      </c>
      <c r="AL13" s="167">
        <f t="shared" si="17"/>
        <v>64116.12931</v>
      </c>
      <c r="AM13" s="371"/>
      <c r="AN13" s="371"/>
    </row>
    <row r="14" ht="15.75" customHeight="1">
      <c r="A14" s="8"/>
      <c r="B14" s="409" t="s">
        <v>346</v>
      </c>
      <c r="C14" s="207">
        <v>46209.0</v>
      </c>
      <c r="D14" s="208" t="str">
        <f t="shared" si="5"/>
        <v>seg.</v>
      </c>
      <c r="E14" s="341">
        <v>10000.0</v>
      </c>
      <c r="F14" s="209">
        <f>13866.7</f>
        <v>13866.7</v>
      </c>
      <c r="G14" s="51">
        <f t="shared" si="6"/>
        <v>3866.7</v>
      </c>
      <c r="H14" s="210">
        <v>59.0</v>
      </c>
      <c r="I14" s="265">
        <f t="shared" si="7"/>
        <v>235.0288136</v>
      </c>
      <c r="J14" s="363">
        <v>12.0</v>
      </c>
      <c r="K14" s="364">
        <f>3+24</f>
        <v>27</v>
      </c>
      <c r="L14" s="363">
        <v>38.0</v>
      </c>
      <c r="M14" s="364">
        <f t="shared" si="8"/>
        <v>77</v>
      </c>
      <c r="N14" s="350">
        <f t="shared" si="9"/>
        <v>46209</v>
      </c>
      <c r="O14" s="204" t="str">
        <f t="shared" si="10"/>
        <v>seg.</v>
      </c>
      <c r="P14" s="351">
        <v>5000.0</v>
      </c>
      <c r="Q14" s="213">
        <f>4984.75-360.01</f>
        <v>4624.74</v>
      </c>
      <c r="R14" s="51">
        <f t="shared" si="11"/>
        <v>-375.26</v>
      </c>
      <c r="S14" s="217">
        <v>28.0</v>
      </c>
      <c r="T14" s="291">
        <f t="shared" si="12"/>
        <v>165.1692857</v>
      </c>
      <c r="U14" s="217">
        <v>7.0</v>
      </c>
      <c r="V14" s="291">
        <f>5+20</f>
        <v>25</v>
      </c>
      <c r="W14" s="217">
        <v>4.0</v>
      </c>
      <c r="X14" s="291">
        <f t="shared" si="13"/>
        <v>36</v>
      </c>
      <c r="AB14" s="66">
        <f>AB13/AA13-1</f>
        <v>0.1357902321</v>
      </c>
      <c r="AE14" s="66">
        <f>AE13/AD13-1</f>
        <v>0.109217451</v>
      </c>
      <c r="AI14" s="66">
        <f>AI13/AH13-1</f>
        <v>0.1629277105</v>
      </c>
      <c r="AL14" s="66">
        <f>AL13/AK13-1</f>
        <v>0.133891836</v>
      </c>
      <c r="AM14" s="66"/>
      <c r="AN14" s="66"/>
    </row>
    <row r="15" ht="15.75" customHeight="1">
      <c r="A15" s="8"/>
      <c r="B15" s="409" t="s">
        <v>346</v>
      </c>
      <c r="C15" s="207">
        <v>46210.0</v>
      </c>
      <c r="D15" s="208" t="str">
        <f t="shared" si="5"/>
        <v>ter.</v>
      </c>
      <c r="E15" s="341">
        <v>10000.0</v>
      </c>
      <c r="F15" s="209">
        <f>23025.7-330</f>
        <v>22695.7</v>
      </c>
      <c r="G15" s="51">
        <f t="shared" si="6"/>
        <v>12695.7</v>
      </c>
      <c r="H15" s="210">
        <v>79.0</v>
      </c>
      <c r="I15" s="265">
        <f t="shared" si="7"/>
        <v>287.2873418</v>
      </c>
      <c r="J15" s="363">
        <v>14.0</v>
      </c>
      <c r="K15" s="364">
        <f>11.5+60.5</f>
        <v>72</v>
      </c>
      <c r="L15" s="363">
        <v>36.0</v>
      </c>
      <c r="M15" s="364">
        <f t="shared" si="8"/>
        <v>122</v>
      </c>
      <c r="N15" s="350">
        <f t="shared" si="9"/>
        <v>46210</v>
      </c>
      <c r="O15" s="204" t="str">
        <f t="shared" si="10"/>
        <v>ter.</v>
      </c>
      <c r="P15" s="351">
        <v>7000.0</v>
      </c>
      <c r="Q15" s="213">
        <f>5582.57-473.64+330</f>
        <v>5438.93</v>
      </c>
      <c r="R15" s="51">
        <f t="shared" si="11"/>
        <v>-1561.07</v>
      </c>
      <c r="S15" s="217">
        <v>40.0</v>
      </c>
      <c r="T15" s="291">
        <f t="shared" si="12"/>
        <v>135.97325</v>
      </c>
      <c r="U15" s="217">
        <v>3.0</v>
      </c>
      <c r="V15" s="291">
        <f>4.5+20.5</f>
        <v>25</v>
      </c>
      <c r="W15" s="217">
        <v>9.0</v>
      </c>
      <c r="X15" s="291">
        <f t="shared" si="13"/>
        <v>37</v>
      </c>
    </row>
    <row r="16" ht="15.75" customHeight="1">
      <c r="A16" s="8"/>
      <c r="B16" s="409" t="s">
        <v>346</v>
      </c>
      <c r="C16" s="207">
        <v>46211.0</v>
      </c>
      <c r="D16" s="208" t="str">
        <f t="shared" si="5"/>
        <v>qua.</v>
      </c>
      <c r="E16" s="341">
        <v>12000.0</v>
      </c>
      <c r="F16" s="341">
        <f>15773.81</f>
        <v>15773.81</v>
      </c>
      <c r="G16" s="51">
        <f t="shared" si="6"/>
        <v>3773.81</v>
      </c>
      <c r="H16" s="210">
        <v>59.0</v>
      </c>
      <c r="I16" s="265">
        <f t="shared" si="7"/>
        <v>267.3527119</v>
      </c>
      <c r="J16" s="363">
        <v>10.0</v>
      </c>
      <c r="K16" s="364">
        <f>11.5+30.5</f>
        <v>42</v>
      </c>
      <c r="L16" s="363">
        <v>35.0</v>
      </c>
      <c r="M16" s="364">
        <f t="shared" si="8"/>
        <v>87</v>
      </c>
      <c r="N16" s="350">
        <f t="shared" si="9"/>
        <v>46211</v>
      </c>
      <c r="O16" s="204" t="str">
        <f t="shared" si="10"/>
        <v>qua.</v>
      </c>
      <c r="P16" s="351">
        <v>5500.0</v>
      </c>
      <c r="Q16" s="213">
        <f>4477.32-419.67</f>
        <v>4057.65</v>
      </c>
      <c r="R16" s="51">
        <f t="shared" si="11"/>
        <v>-1442.35</v>
      </c>
      <c r="S16" s="217">
        <v>30.0</v>
      </c>
      <c r="T16" s="291">
        <f t="shared" si="12"/>
        <v>135.255</v>
      </c>
      <c r="U16" s="217">
        <v>9.0</v>
      </c>
      <c r="V16" s="291">
        <f>5.5+17.5</f>
        <v>23</v>
      </c>
      <c r="W16" s="217">
        <v>4.0</v>
      </c>
      <c r="X16" s="291">
        <f t="shared" si="13"/>
        <v>36</v>
      </c>
    </row>
    <row r="17" ht="15.75" customHeight="1">
      <c r="A17" s="8"/>
      <c r="B17" s="409" t="s">
        <v>346</v>
      </c>
      <c r="C17" s="207">
        <v>46212.0</v>
      </c>
      <c r="D17" s="208" t="str">
        <f t="shared" si="5"/>
        <v>qui.</v>
      </c>
      <c r="E17" s="341">
        <v>12000.0</v>
      </c>
      <c r="F17" s="209">
        <f>17122.2-300</f>
        <v>16822.2</v>
      </c>
      <c r="G17" s="51">
        <f t="shared" si="6"/>
        <v>4822.2</v>
      </c>
      <c r="H17" s="210">
        <v>73.0</v>
      </c>
      <c r="I17" s="265">
        <f t="shared" si="7"/>
        <v>230.4410959</v>
      </c>
      <c r="J17" s="363">
        <v>12.0</v>
      </c>
      <c r="K17" s="364">
        <f>2+50</f>
        <v>52</v>
      </c>
      <c r="L17" s="363">
        <v>28.0</v>
      </c>
      <c r="M17" s="364">
        <f t="shared" si="8"/>
        <v>92</v>
      </c>
      <c r="N17" s="350">
        <f t="shared" si="9"/>
        <v>46212</v>
      </c>
      <c r="O17" s="204" t="str">
        <f t="shared" si="10"/>
        <v>qui.</v>
      </c>
      <c r="P17" s="351">
        <v>6500.0</v>
      </c>
      <c r="Q17" s="213">
        <f>7707.13-630.35</f>
        <v>7076.78</v>
      </c>
      <c r="R17" s="51">
        <f t="shared" si="11"/>
        <v>576.78</v>
      </c>
      <c r="S17" s="217">
        <v>51.0</v>
      </c>
      <c r="T17" s="291">
        <f t="shared" si="12"/>
        <v>138.7603922</v>
      </c>
      <c r="U17" s="217">
        <v>14.0</v>
      </c>
      <c r="V17" s="291">
        <f>6+29</f>
        <v>35</v>
      </c>
      <c r="W17" s="217">
        <v>11.0</v>
      </c>
      <c r="X17" s="291">
        <f t="shared" si="13"/>
        <v>60</v>
      </c>
    </row>
    <row r="18" ht="15.75" customHeight="1">
      <c r="A18" s="8"/>
      <c r="B18" s="409" t="s">
        <v>348</v>
      </c>
      <c r="C18" s="207">
        <v>46213.0</v>
      </c>
      <c r="D18" s="208" t="str">
        <f t="shared" si="5"/>
        <v>sex.</v>
      </c>
      <c r="E18" s="209">
        <f>22000*40%+22000-800</f>
        <v>30000</v>
      </c>
      <c r="F18" s="209">
        <f>26430.7-238</f>
        <v>26192.7</v>
      </c>
      <c r="G18" s="51">
        <f t="shared" si="6"/>
        <v>-3807.3</v>
      </c>
      <c r="H18" s="290">
        <f>109</f>
        <v>109</v>
      </c>
      <c r="I18" s="265">
        <f t="shared" si="7"/>
        <v>240.3</v>
      </c>
      <c r="J18" s="363">
        <v>29.0</v>
      </c>
      <c r="K18" s="364">
        <f>8+51</f>
        <v>59</v>
      </c>
      <c r="L18" s="363">
        <v>58.0</v>
      </c>
      <c r="M18" s="364">
        <f t="shared" si="8"/>
        <v>146</v>
      </c>
      <c r="N18" s="350">
        <f t="shared" si="9"/>
        <v>46213</v>
      </c>
      <c r="O18" s="204" t="str">
        <f t="shared" si="10"/>
        <v>sex.</v>
      </c>
      <c r="P18" s="213">
        <f>8600*123%+8600-178</f>
        <v>19000</v>
      </c>
      <c r="Q18" s="213">
        <f>15078.08-1213.23</f>
        <v>13864.85</v>
      </c>
      <c r="R18" s="51">
        <f t="shared" si="11"/>
        <v>-5135.15</v>
      </c>
      <c r="S18" s="217">
        <v>86.0</v>
      </c>
      <c r="T18" s="291">
        <f t="shared" si="12"/>
        <v>161.219186</v>
      </c>
      <c r="U18" s="217">
        <v>18.0</v>
      </c>
      <c r="V18" s="291">
        <f>11.5+59.5</f>
        <v>71</v>
      </c>
      <c r="W18" s="217">
        <v>21.0</v>
      </c>
      <c r="X18" s="291">
        <f t="shared" si="13"/>
        <v>110</v>
      </c>
    </row>
    <row r="19" ht="15.75" customHeight="1">
      <c r="A19" s="8"/>
      <c r="B19" s="409"/>
      <c r="C19" s="207">
        <v>46214.0</v>
      </c>
      <c r="D19" s="208" t="str">
        <f t="shared" si="5"/>
        <v>sáb.</v>
      </c>
      <c r="E19" s="341">
        <v>21000.0</v>
      </c>
      <c r="F19" s="209">
        <f>23947.73+2228.96</f>
        <v>26176.69</v>
      </c>
      <c r="G19" s="51">
        <f t="shared" si="6"/>
        <v>5176.69</v>
      </c>
      <c r="H19" s="210">
        <v>94.0</v>
      </c>
      <c r="I19" s="265">
        <f t="shared" si="7"/>
        <v>278.4754255</v>
      </c>
      <c r="J19" s="363">
        <v>24.0</v>
      </c>
      <c r="K19" s="364">
        <f>4.5+46.5</f>
        <v>51</v>
      </c>
      <c r="L19" s="363">
        <v>59.0</v>
      </c>
      <c r="M19" s="364">
        <f t="shared" si="8"/>
        <v>134</v>
      </c>
      <c r="N19" s="350">
        <f t="shared" si="9"/>
        <v>46214</v>
      </c>
      <c r="O19" s="204" t="str">
        <f t="shared" si="10"/>
        <v>sáb.</v>
      </c>
      <c r="P19" s="351">
        <v>15000.0</v>
      </c>
      <c r="Q19" s="213">
        <f>17847.31-1292.66</f>
        <v>16554.65</v>
      </c>
      <c r="R19" s="51">
        <f t="shared" si="11"/>
        <v>1554.65</v>
      </c>
      <c r="S19" s="291">
        <f>93</f>
        <v>93</v>
      </c>
      <c r="T19" s="291">
        <f t="shared" si="12"/>
        <v>178.0069892</v>
      </c>
      <c r="U19" s="217">
        <v>29.0</v>
      </c>
      <c r="V19" s="291">
        <f>10.5+67.5</f>
        <v>78</v>
      </c>
      <c r="W19" s="217">
        <v>22.0</v>
      </c>
      <c r="X19" s="291">
        <f t="shared" si="13"/>
        <v>129</v>
      </c>
      <c r="AB19" s="70"/>
      <c r="AC19" s="71" t="s">
        <v>52</v>
      </c>
      <c r="AD19" s="72"/>
      <c r="AE19" s="73" t="s">
        <v>53</v>
      </c>
      <c r="AH19" s="384" t="s">
        <v>349</v>
      </c>
      <c r="AI19" s="229" t="s">
        <v>221</v>
      </c>
      <c r="AJ19" s="385" t="s">
        <v>219</v>
      </c>
      <c r="AK19" s="317"/>
      <c r="AL19" s="384" t="s">
        <v>338</v>
      </c>
      <c r="AM19" s="384" t="s">
        <v>290</v>
      </c>
      <c r="AN19" s="393" t="s">
        <v>339</v>
      </c>
    </row>
    <row r="20" ht="15.75" customHeight="1">
      <c r="A20" s="8"/>
      <c r="B20" s="8"/>
      <c r="C20" s="207">
        <v>46215.0</v>
      </c>
      <c r="D20" s="208" t="str">
        <f t="shared" si="5"/>
        <v>dom.</v>
      </c>
      <c r="E20" s="341">
        <v>25000.0</v>
      </c>
      <c r="F20" s="209">
        <f>27268.55</f>
        <v>27268.55</v>
      </c>
      <c r="G20" s="51">
        <f t="shared" si="6"/>
        <v>2268.55</v>
      </c>
      <c r="H20" s="210">
        <v>112.0</v>
      </c>
      <c r="I20" s="265">
        <f t="shared" si="7"/>
        <v>243.4691964</v>
      </c>
      <c r="J20" s="363">
        <v>33.0</v>
      </c>
      <c r="K20" s="364">
        <f>9+63</f>
        <v>72</v>
      </c>
      <c r="L20" s="363">
        <v>58.0</v>
      </c>
      <c r="M20" s="364">
        <f t="shared" si="8"/>
        <v>163</v>
      </c>
      <c r="N20" s="350">
        <f t="shared" si="9"/>
        <v>46215</v>
      </c>
      <c r="O20" s="204" t="str">
        <f t="shared" si="10"/>
        <v>dom.</v>
      </c>
      <c r="P20" s="351">
        <v>22000.0</v>
      </c>
      <c r="Q20" s="213">
        <f>22818.28-1864.09</f>
        <v>20954.19</v>
      </c>
      <c r="R20" s="51">
        <f t="shared" si="11"/>
        <v>-1045.81</v>
      </c>
      <c r="S20" s="217">
        <v>123.0</v>
      </c>
      <c r="T20" s="291">
        <f t="shared" si="12"/>
        <v>170.3592683</v>
      </c>
      <c r="U20" s="217">
        <v>38.0</v>
      </c>
      <c r="V20" s="291">
        <f>10.5+75.5</f>
        <v>86</v>
      </c>
      <c r="W20" s="217">
        <v>36.0</v>
      </c>
      <c r="X20" s="291">
        <f t="shared" si="13"/>
        <v>160</v>
      </c>
      <c r="AB20" s="74" t="s">
        <v>29</v>
      </c>
      <c r="AC20" s="386">
        <v>500000.0</v>
      </c>
      <c r="AD20" s="2" t="s">
        <v>29</v>
      </c>
      <c r="AE20" s="365">
        <v>314000.0</v>
      </c>
      <c r="AH20" s="387">
        <v>500000.0</v>
      </c>
      <c r="AI20" s="387">
        <v>529662.0</v>
      </c>
      <c r="AJ20" s="346">
        <f>AI20*0.008</f>
        <v>4237.296</v>
      </c>
      <c r="AK20" s="271"/>
      <c r="AL20" s="387">
        <v>1000.0</v>
      </c>
      <c r="AM20" s="387">
        <v>500.0</v>
      </c>
      <c r="AN20" s="346">
        <f>AL20+AM20</f>
        <v>1500</v>
      </c>
    </row>
    <row r="21" ht="15.75" customHeight="1">
      <c r="A21" s="8"/>
      <c r="B21" s="8"/>
      <c r="C21" s="207">
        <v>46216.0</v>
      </c>
      <c r="D21" s="208" t="str">
        <f t="shared" si="5"/>
        <v>seg.</v>
      </c>
      <c r="E21" s="341">
        <v>7500.0</v>
      </c>
      <c r="F21" s="209">
        <f>9274.5</f>
        <v>9274.5</v>
      </c>
      <c r="G21" s="51">
        <f t="shared" si="6"/>
        <v>1774.5</v>
      </c>
      <c r="H21" s="210">
        <v>41.0</v>
      </c>
      <c r="I21" s="265">
        <f t="shared" si="7"/>
        <v>226.2073171</v>
      </c>
      <c r="J21" s="363">
        <v>9.0</v>
      </c>
      <c r="K21" s="364">
        <f>3+20</f>
        <v>23</v>
      </c>
      <c r="L21" s="363">
        <v>16.0</v>
      </c>
      <c r="M21" s="364">
        <f t="shared" si="8"/>
        <v>48</v>
      </c>
      <c r="N21" s="350">
        <f t="shared" si="9"/>
        <v>46216</v>
      </c>
      <c r="O21" s="204" t="str">
        <f t="shared" si="10"/>
        <v>seg.</v>
      </c>
      <c r="P21" s="351">
        <v>5000.0</v>
      </c>
      <c r="Q21" s="213">
        <f>4946.08-387.89</f>
        <v>4558.19</v>
      </c>
      <c r="R21" s="51">
        <f t="shared" si="11"/>
        <v>-441.81</v>
      </c>
      <c r="S21" s="217">
        <v>31.0</v>
      </c>
      <c r="T21" s="291">
        <f t="shared" si="12"/>
        <v>147.0383871</v>
      </c>
      <c r="U21" s="217">
        <v>12.0</v>
      </c>
      <c r="V21" s="291">
        <f>4+15</f>
        <v>19</v>
      </c>
      <c r="W21" s="217">
        <v>6.0</v>
      </c>
      <c r="X21" s="291">
        <f t="shared" si="13"/>
        <v>37</v>
      </c>
      <c r="AB21" s="74"/>
      <c r="AC21" s="2"/>
      <c r="AD21" s="2"/>
      <c r="AE21" s="77"/>
      <c r="AH21" s="388" t="s">
        <v>284</v>
      </c>
      <c r="AI21" s="389">
        <f>AJ20*60%-AJ21</f>
        <v>1899.151794</v>
      </c>
      <c r="AJ21" s="390">
        <f>AI29+AI30+AI31+AI25</f>
        <v>643.2258065</v>
      </c>
      <c r="AK21" s="368"/>
      <c r="AL21" s="388" t="s">
        <v>296</v>
      </c>
      <c r="AM21" s="389"/>
      <c r="AN21" s="390"/>
    </row>
    <row r="22" ht="15.75" customHeight="1">
      <c r="A22" s="8"/>
      <c r="B22" s="8"/>
      <c r="C22" s="207">
        <v>46217.0</v>
      </c>
      <c r="D22" s="208" t="str">
        <f t="shared" si="5"/>
        <v>ter.</v>
      </c>
      <c r="E22" s="341">
        <v>7500.0</v>
      </c>
      <c r="F22" s="209">
        <f>17043</f>
        <v>17043</v>
      </c>
      <c r="G22" s="51">
        <f t="shared" si="6"/>
        <v>9543</v>
      </c>
      <c r="H22" s="210">
        <v>53.0</v>
      </c>
      <c r="I22" s="265">
        <f t="shared" si="7"/>
        <v>321.5660377</v>
      </c>
      <c r="J22" s="363">
        <v>13.0</v>
      </c>
      <c r="K22" s="364">
        <f>7+35</f>
        <v>42</v>
      </c>
      <c r="L22" s="363">
        <v>37.0</v>
      </c>
      <c r="M22" s="364">
        <f t="shared" si="8"/>
        <v>92</v>
      </c>
      <c r="N22" s="350">
        <f t="shared" si="9"/>
        <v>46217</v>
      </c>
      <c r="O22" s="204" t="str">
        <f t="shared" si="10"/>
        <v>ter.</v>
      </c>
      <c r="P22" s="351">
        <v>7000.0</v>
      </c>
      <c r="Q22" s="213">
        <f>6619.87-518.61</f>
        <v>6101.26</v>
      </c>
      <c r="R22" s="51">
        <f t="shared" si="11"/>
        <v>-898.74</v>
      </c>
      <c r="S22" s="217">
        <v>36.0</v>
      </c>
      <c r="T22" s="291">
        <f t="shared" si="12"/>
        <v>169.4794444</v>
      </c>
      <c r="U22" s="217">
        <v>7.0</v>
      </c>
      <c r="V22" s="291">
        <f>6.5+27.5</f>
        <v>34</v>
      </c>
      <c r="W22" s="217">
        <v>6.0</v>
      </c>
      <c r="X22" s="291">
        <f t="shared" si="13"/>
        <v>47</v>
      </c>
      <c r="AB22" s="74" t="s">
        <v>58</v>
      </c>
      <c r="AC22" s="75">
        <f>SUM(F9:F15)</f>
        <v>125426.2</v>
      </c>
      <c r="AD22" s="58" t="s">
        <v>58</v>
      </c>
      <c r="AE22" s="76">
        <f>SUM(Q9:Q15)</f>
        <v>58449.6</v>
      </c>
      <c r="AH22" s="339"/>
      <c r="AI22" s="229"/>
      <c r="AJ22" s="391"/>
      <c r="AK22" s="271"/>
      <c r="AL22" s="229"/>
      <c r="AM22" s="229"/>
      <c r="AN22" s="396"/>
    </row>
    <row r="23" ht="15.75" customHeight="1">
      <c r="A23" s="8"/>
      <c r="B23" s="409"/>
      <c r="C23" s="207">
        <v>46218.0</v>
      </c>
      <c r="D23" s="208" t="str">
        <f t="shared" si="5"/>
        <v>qua.</v>
      </c>
      <c r="E23" s="341">
        <v>10000.0</v>
      </c>
      <c r="F23" s="209">
        <f>14305.5</f>
        <v>14305.5</v>
      </c>
      <c r="G23" s="51">
        <f t="shared" si="6"/>
        <v>4305.5</v>
      </c>
      <c r="H23" s="210">
        <v>49.0</v>
      </c>
      <c r="I23" s="265">
        <f t="shared" si="7"/>
        <v>291.9489796</v>
      </c>
      <c r="J23" s="363">
        <v>9.0</v>
      </c>
      <c r="K23" s="364">
        <f>6+34</f>
        <v>40</v>
      </c>
      <c r="L23" s="363">
        <v>35.0</v>
      </c>
      <c r="M23" s="364">
        <f t="shared" si="8"/>
        <v>84</v>
      </c>
      <c r="N23" s="350">
        <f t="shared" si="9"/>
        <v>46218</v>
      </c>
      <c r="O23" s="204" t="str">
        <f t="shared" si="10"/>
        <v>qua.</v>
      </c>
      <c r="P23" s="351">
        <v>5500.0</v>
      </c>
      <c r="Q23" s="213">
        <f>5081.31-429.89</f>
        <v>4651.42</v>
      </c>
      <c r="R23" s="51">
        <f t="shared" si="11"/>
        <v>-848.58</v>
      </c>
      <c r="S23" s="217">
        <v>34.0</v>
      </c>
      <c r="T23" s="291">
        <f t="shared" si="12"/>
        <v>136.8064706</v>
      </c>
      <c r="U23" s="217">
        <v>11.0</v>
      </c>
      <c r="V23" s="291">
        <f>4.5+12.5</f>
        <v>17</v>
      </c>
      <c r="W23" s="217">
        <v>7.0</v>
      </c>
      <c r="X23" s="291">
        <f t="shared" si="13"/>
        <v>35</v>
      </c>
      <c r="AB23" s="74"/>
      <c r="AC23" s="79">
        <f>AC22/AC20</f>
        <v>0.2508524</v>
      </c>
      <c r="AE23" s="80">
        <f>AE22/AE20</f>
        <v>0.1861452229</v>
      </c>
      <c r="AF23" s="66"/>
      <c r="AH23" s="339" t="s">
        <v>285</v>
      </c>
      <c r="AI23" s="346">
        <f>AI21*AJ23</f>
        <v>482.3845556</v>
      </c>
      <c r="AJ23" s="391">
        <v>0.254</v>
      </c>
      <c r="AK23" s="271"/>
      <c r="AL23" s="397"/>
      <c r="AM23" s="387"/>
      <c r="AN23" s="391"/>
    </row>
    <row r="24" ht="15.75" customHeight="1">
      <c r="A24" s="8"/>
      <c r="B24" s="8"/>
      <c r="C24" s="207">
        <v>46219.0</v>
      </c>
      <c r="D24" s="208" t="str">
        <f t="shared" si="5"/>
        <v>qui.</v>
      </c>
      <c r="E24" s="341">
        <v>11500.0</v>
      </c>
      <c r="F24" s="209">
        <f>13683.4</f>
        <v>13683.4</v>
      </c>
      <c r="G24" s="51">
        <f t="shared" si="6"/>
        <v>2183.4</v>
      </c>
      <c r="H24" s="210">
        <v>45.0</v>
      </c>
      <c r="I24" s="265">
        <f t="shared" si="7"/>
        <v>304.0755556</v>
      </c>
      <c r="J24" s="363">
        <v>17.0</v>
      </c>
      <c r="K24" s="364">
        <f>1.5+23.5</f>
        <v>25</v>
      </c>
      <c r="L24" s="363">
        <v>35.0</v>
      </c>
      <c r="M24" s="364">
        <f t="shared" si="8"/>
        <v>77</v>
      </c>
      <c r="N24" s="350">
        <f t="shared" si="9"/>
        <v>46219</v>
      </c>
      <c r="O24" s="204" t="str">
        <f t="shared" si="10"/>
        <v>qui.</v>
      </c>
      <c r="P24" s="351">
        <v>6500.0</v>
      </c>
      <c r="Q24" s="213">
        <f>8595.39-421.92</f>
        <v>8173.47</v>
      </c>
      <c r="R24" s="51">
        <f t="shared" si="11"/>
        <v>1673.47</v>
      </c>
      <c r="S24" s="217">
        <v>32.0</v>
      </c>
      <c r="T24" s="291">
        <f t="shared" si="12"/>
        <v>255.4209375</v>
      </c>
      <c r="U24" s="217">
        <v>10.0</v>
      </c>
      <c r="V24" s="291">
        <f>3.5+21.5</f>
        <v>25</v>
      </c>
      <c r="W24" s="217">
        <v>27.0</v>
      </c>
      <c r="X24" s="291">
        <f t="shared" si="13"/>
        <v>62</v>
      </c>
      <c r="AB24" s="74"/>
      <c r="AC24" s="81"/>
      <c r="AE24" s="77"/>
      <c r="AH24" s="385" t="s">
        <v>227</v>
      </c>
      <c r="AI24" s="346">
        <f>AI21*AJ24</f>
        <v>426.9293232</v>
      </c>
      <c r="AJ24" s="391">
        <v>0.2248</v>
      </c>
      <c r="AK24" s="271"/>
      <c r="AL24" s="397" t="s">
        <v>302</v>
      </c>
      <c r="AM24" s="387">
        <v>250.0</v>
      </c>
      <c r="AN24" s="391"/>
    </row>
    <row r="25" ht="15.75" customHeight="1">
      <c r="A25" s="8"/>
      <c r="B25" s="8"/>
      <c r="C25" s="207">
        <v>46220.0</v>
      </c>
      <c r="D25" s="208" t="str">
        <f t="shared" si="5"/>
        <v>sex.</v>
      </c>
      <c r="E25" s="341">
        <v>21000.0</v>
      </c>
      <c r="F25" s="209">
        <f>19265.5-350</f>
        <v>18915.5</v>
      </c>
      <c r="G25" s="51">
        <f t="shared" si="6"/>
        <v>-2084.5</v>
      </c>
      <c r="H25" s="210">
        <v>59.0</v>
      </c>
      <c r="I25" s="265">
        <f t="shared" si="7"/>
        <v>320.6016949</v>
      </c>
      <c r="J25" s="363">
        <v>20.0</v>
      </c>
      <c r="K25" s="364">
        <f>5+33</f>
        <v>38</v>
      </c>
      <c r="L25" s="363">
        <v>44.0</v>
      </c>
      <c r="M25" s="364">
        <f t="shared" si="8"/>
        <v>102</v>
      </c>
      <c r="N25" s="350">
        <f t="shared" si="9"/>
        <v>46220</v>
      </c>
      <c r="O25" s="204" t="str">
        <f t="shared" si="10"/>
        <v>sex.</v>
      </c>
      <c r="P25" s="351">
        <v>9000.0</v>
      </c>
      <c r="Q25" s="213">
        <f>7709.95-328.35</f>
        <v>7381.6</v>
      </c>
      <c r="R25" s="51">
        <f t="shared" si="11"/>
        <v>-1618.4</v>
      </c>
      <c r="S25" s="217">
        <v>45.0</v>
      </c>
      <c r="T25" s="291">
        <f t="shared" si="12"/>
        <v>164.0355556</v>
      </c>
      <c r="U25" s="217">
        <v>14.0</v>
      </c>
      <c r="V25" s="291">
        <f>1.5+23.5</f>
        <v>25</v>
      </c>
      <c r="W25" s="217">
        <v>15.0</v>
      </c>
      <c r="X25" s="291">
        <f t="shared" si="13"/>
        <v>54</v>
      </c>
      <c r="AB25" s="74" t="s">
        <v>62</v>
      </c>
      <c r="AC25" s="75">
        <f>SUM(F16:F22)</f>
        <v>138551.45</v>
      </c>
      <c r="AD25" s="58" t="s">
        <v>62</v>
      </c>
      <c r="AE25" s="76">
        <f>SUM(Q16:Q22)</f>
        <v>73167.57</v>
      </c>
      <c r="AH25" s="393" t="s">
        <v>352</v>
      </c>
      <c r="AI25" s="387">
        <v>100.0</v>
      </c>
      <c r="AJ25" s="391"/>
      <c r="AK25" s="271"/>
      <c r="AL25" s="397" t="s">
        <v>329</v>
      </c>
      <c r="AM25" s="387">
        <v>300.0</v>
      </c>
      <c r="AN25" s="391"/>
    </row>
    <row r="26" ht="15.75" customHeight="1">
      <c r="A26" s="8"/>
      <c r="B26" s="8"/>
      <c r="C26" s="207">
        <v>46221.0</v>
      </c>
      <c r="D26" s="208" t="str">
        <f t="shared" si="5"/>
        <v>sáb.</v>
      </c>
      <c r="E26" s="341">
        <v>27000.0</v>
      </c>
      <c r="F26" s="209">
        <f>34339.5</f>
        <v>34339.5</v>
      </c>
      <c r="G26" s="51">
        <f t="shared" si="6"/>
        <v>7339.5</v>
      </c>
      <c r="H26" s="210">
        <v>116.0</v>
      </c>
      <c r="I26" s="265">
        <f t="shared" si="7"/>
        <v>296.0301724</v>
      </c>
      <c r="J26" s="363">
        <v>39.0</v>
      </c>
      <c r="K26" s="364">
        <f>14.5+58.5</f>
        <v>73</v>
      </c>
      <c r="L26" s="363">
        <v>80.0</v>
      </c>
      <c r="M26" s="364">
        <f t="shared" si="8"/>
        <v>192</v>
      </c>
      <c r="N26" s="350">
        <f t="shared" si="9"/>
        <v>46221</v>
      </c>
      <c r="O26" s="204" t="str">
        <f t="shared" si="10"/>
        <v>sáb.</v>
      </c>
      <c r="P26" s="351">
        <v>14200.0</v>
      </c>
      <c r="Q26" s="213">
        <f>12415.58-968.95</f>
        <v>11446.63</v>
      </c>
      <c r="R26" s="51">
        <f t="shared" si="11"/>
        <v>-2753.37</v>
      </c>
      <c r="S26" s="217">
        <v>69.0</v>
      </c>
      <c r="T26" s="291">
        <f t="shared" si="12"/>
        <v>165.8931884</v>
      </c>
      <c r="U26" s="217">
        <v>21.0</v>
      </c>
      <c r="V26" s="291">
        <f>7+34</f>
        <v>41</v>
      </c>
      <c r="W26" s="217">
        <v>23.0</v>
      </c>
      <c r="X26" s="291">
        <f t="shared" si="13"/>
        <v>85</v>
      </c>
      <c r="AB26" s="74"/>
      <c r="AC26" s="79">
        <f>AC25/AC20</f>
        <v>0.2771029</v>
      </c>
      <c r="AE26" s="80">
        <f>AE25/AE20</f>
        <v>0.2330177389</v>
      </c>
      <c r="AH26" s="385" t="s">
        <v>230</v>
      </c>
      <c r="AI26" s="346">
        <f>AI21*AJ26</f>
        <v>372.6135819</v>
      </c>
      <c r="AJ26" s="391">
        <v>0.1962</v>
      </c>
      <c r="AK26" s="271"/>
      <c r="AL26" s="397" t="s">
        <v>307</v>
      </c>
      <c r="AM26" s="387">
        <v>200.0</v>
      </c>
      <c r="AN26" s="391"/>
    </row>
    <row r="27" ht="15.75" customHeight="1">
      <c r="A27" s="8"/>
      <c r="B27" s="409"/>
      <c r="C27" s="207">
        <v>46222.0</v>
      </c>
      <c r="D27" s="208" t="str">
        <f t="shared" si="5"/>
        <v>dom.</v>
      </c>
      <c r="E27" s="341">
        <v>22000.0</v>
      </c>
      <c r="F27" s="209">
        <f>17463</f>
        <v>17463</v>
      </c>
      <c r="G27" s="51">
        <f t="shared" si="6"/>
        <v>-4537</v>
      </c>
      <c r="H27" s="210">
        <v>82.0</v>
      </c>
      <c r="I27" s="265">
        <f t="shared" si="7"/>
        <v>212.9634146</v>
      </c>
      <c r="J27" s="363">
        <v>18.0</v>
      </c>
      <c r="K27" s="364">
        <f>5.5+36.5</f>
        <v>42</v>
      </c>
      <c r="L27" s="363">
        <v>41.0</v>
      </c>
      <c r="M27" s="364">
        <f t="shared" si="8"/>
        <v>101</v>
      </c>
      <c r="N27" s="350">
        <f t="shared" si="9"/>
        <v>46222</v>
      </c>
      <c r="O27" s="204" t="str">
        <f t="shared" si="10"/>
        <v>dom.</v>
      </c>
      <c r="P27" s="351">
        <v>24000.0</v>
      </c>
      <c r="Q27" s="213">
        <f>20382.74-1523.55</f>
        <v>18859.19</v>
      </c>
      <c r="R27" s="51">
        <f t="shared" si="11"/>
        <v>-5140.81</v>
      </c>
      <c r="S27" s="217">
        <v>109.0</v>
      </c>
      <c r="T27" s="291">
        <f t="shared" si="12"/>
        <v>173.0200917</v>
      </c>
      <c r="U27" s="217">
        <v>37.0</v>
      </c>
      <c r="V27" s="291">
        <f>16.5+69.5</f>
        <v>86</v>
      </c>
      <c r="W27" s="217">
        <v>26.0</v>
      </c>
      <c r="X27" s="291">
        <f t="shared" si="13"/>
        <v>149</v>
      </c>
      <c r="AB27" s="74"/>
      <c r="AC27" s="81"/>
      <c r="AE27" s="77"/>
      <c r="AH27" s="385" t="s">
        <v>231</v>
      </c>
      <c r="AI27" s="346">
        <f>AI21*AJ27</f>
        <v>382.299256</v>
      </c>
      <c r="AJ27" s="391">
        <v>0.2013</v>
      </c>
      <c r="AK27" s="271"/>
      <c r="AL27" s="397" t="s">
        <v>309</v>
      </c>
      <c r="AM27" s="387">
        <v>180.0</v>
      </c>
      <c r="AN27" s="391"/>
    </row>
    <row r="28" ht="15.75" customHeight="1">
      <c r="A28" s="8"/>
      <c r="B28" s="8"/>
      <c r="C28" s="207">
        <v>46223.0</v>
      </c>
      <c r="D28" s="208" t="str">
        <f t="shared" si="5"/>
        <v>seg.</v>
      </c>
      <c r="E28" s="341">
        <v>7500.0</v>
      </c>
      <c r="F28" s="209">
        <f>9590.5</f>
        <v>9590.5</v>
      </c>
      <c r="G28" s="51">
        <f t="shared" si="6"/>
        <v>2090.5</v>
      </c>
      <c r="H28" s="210">
        <v>53.0</v>
      </c>
      <c r="I28" s="265">
        <f t="shared" si="7"/>
        <v>180.9528302</v>
      </c>
      <c r="J28" s="363">
        <v>12.0</v>
      </c>
      <c r="K28" s="364">
        <f>4.5+16.5</f>
        <v>21</v>
      </c>
      <c r="L28" s="363">
        <v>20.0</v>
      </c>
      <c r="M28" s="364">
        <f t="shared" si="8"/>
        <v>53</v>
      </c>
      <c r="N28" s="350">
        <f t="shared" si="9"/>
        <v>46223</v>
      </c>
      <c r="O28" s="204" t="str">
        <f t="shared" si="10"/>
        <v>seg.</v>
      </c>
      <c r="P28" s="351">
        <v>5000.0</v>
      </c>
      <c r="Q28" s="213">
        <f>4630.02-347.49</f>
        <v>4282.53</v>
      </c>
      <c r="R28" s="51">
        <f t="shared" si="11"/>
        <v>-717.47</v>
      </c>
      <c r="S28" s="217">
        <v>30.0</v>
      </c>
      <c r="T28" s="291">
        <f t="shared" si="12"/>
        <v>142.751</v>
      </c>
      <c r="U28" s="217">
        <v>10.0</v>
      </c>
      <c r="V28" s="217">
        <f>13+2</f>
        <v>15</v>
      </c>
      <c r="W28" s="217">
        <v>7.0</v>
      </c>
      <c r="X28" s="291">
        <f t="shared" si="13"/>
        <v>32</v>
      </c>
      <c r="AB28" s="74" t="s">
        <v>63</v>
      </c>
      <c r="AC28" s="75">
        <f>SUM(F23:F29)</f>
        <v>115011.7</v>
      </c>
      <c r="AD28" s="58" t="s">
        <v>63</v>
      </c>
      <c r="AE28" s="76">
        <f>SUM(Q23:Q29)</f>
        <v>58696.48</v>
      </c>
      <c r="AH28" s="339" t="s">
        <v>343</v>
      </c>
      <c r="AI28" s="346">
        <f>AI21*AJ28</f>
        <v>141.866639</v>
      </c>
      <c r="AJ28" s="391">
        <v>0.0747</v>
      </c>
      <c r="AK28" s="271">
        <f>4162-AK31</f>
        <v>93</v>
      </c>
      <c r="AL28" s="397" t="s">
        <v>312</v>
      </c>
      <c r="AM28" s="387">
        <v>180.0</v>
      </c>
      <c r="AN28" s="391"/>
    </row>
    <row r="29" ht="15.75" customHeight="1">
      <c r="A29" s="8"/>
      <c r="B29" s="8"/>
      <c r="C29" s="207">
        <v>46224.0</v>
      </c>
      <c r="D29" s="208" t="str">
        <f t="shared" si="5"/>
        <v>ter.</v>
      </c>
      <c r="E29" s="341">
        <v>7500.0</v>
      </c>
      <c r="F29" s="209">
        <f>6714.3</f>
        <v>6714.3</v>
      </c>
      <c r="G29" s="51">
        <f t="shared" si="6"/>
        <v>-785.7</v>
      </c>
      <c r="H29" s="210">
        <v>32.0</v>
      </c>
      <c r="I29" s="265">
        <f t="shared" si="7"/>
        <v>209.821875</v>
      </c>
      <c r="J29" s="363">
        <v>11.0</v>
      </c>
      <c r="K29" s="364">
        <f>1.5+16.5</f>
        <v>18</v>
      </c>
      <c r="L29" s="363">
        <v>12.0</v>
      </c>
      <c r="M29" s="364">
        <f t="shared" si="8"/>
        <v>41</v>
      </c>
      <c r="N29" s="350">
        <f t="shared" si="9"/>
        <v>46224</v>
      </c>
      <c r="O29" s="204" t="str">
        <f t="shared" si="10"/>
        <v>ter.</v>
      </c>
      <c r="P29" s="351">
        <v>7000.0</v>
      </c>
      <c r="Q29" s="213">
        <f>4319.83-418.19</f>
        <v>3901.64</v>
      </c>
      <c r="R29" s="51">
        <f t="shared" si="11"/>
        <v>-3098.36</v>
      </c>
      <c r="S29" s="217">
        <v>31.0</v>
      </c>
      <c r="T29" s="291">
        <f t="shared" si="12"/>
        <v>125.8593548</v>
      </c>
      <c r="U29" s="217">
        <v>5.0</v>
      </c>
      <c r="V29" s="291">
        <f>4+19</f>
        <v>23</v>
      </c>
      <c r="W29" s="217">
        <v>3.0</v>
      </c>
      <c r="X29" s="291">
        <f t="shared" si="13"/>
        <v>31</v>
      </c>
      <c r="AB29" s="74"/>
      <c r="AC29" s="79">
        <f>AC28/AC20</f>
        <v>0.2300234</v>
      </c>
      <c r="AE29" s="80">
        <f>AE28/AE20</f>
        <v>0.186931465</v>
      </c>
      <c r="AH29" s="339" t="s">
        <v>355</v>
      </c>
      <c r="AI29" s="387">
        <f>210/31*30</f>
        <v>203.2258065</v>
      </c>
      <c r="AJ29" s="385"/>
      <c r="AK29" s="317"/>
      <c r="AL29" s="397" t="s">
        <v>313</v>
      </c>
      <c r="AM29" s="387"/>
      <c r="AN29" s="385"/>
    </row>
    <row r="30" ht="15.75" customHeight="1">
      <c r="A30" s="8"/>
      <c r="B30" s="8"/>
      <c r="C30" s="207">
        <v>46225.0</v>
      </c>
      <c r="D30" s="208" t="str">
        <f t="shared" si="5"/>
        <v>qua.</v>
      </c>
      <c r="E30" s="341">
        <v>11500.0</v>
      </c>
      <c r="F30" s="209">
        <f>7493</f>
        <v>7493</v>
      </c>
      <c r="G30" s="51">
        <f t="shared" si="6"/>
        <v>-4007</v>
      </c>
      <c r="H30" s="210">
        <v>27.0</v>
      </c>
      <c r="I30" s="265">
        <f t="shared" si="7"/>
        <v>277.5185185</v>
      </c>
      <c r="J30" s="363">
        <v>9.0</v>
      </c>
      <c r="K30" s="364">
        <f>0.5+13.5</f>
        <v>14</v>
      </c>
      <c r="L30" s="363">
        <v>18.0</v>
      </c>
      <c r="M30" s="364">
        <f t="shared" si="8"/>
        <v>41</v>
      </c>
      <c r="N30" s="350">
        <f t="shared" si="9"/>
        <v>46225</v>
      </c>
      <c r="O30" s="204" t="str">
        <f t="shared" si="10"/>
        <v>qua.</v>
      </c>
      <c r="P30" s="351">
        <v>5500.0</v>
      </c>
      <c r="Q30" s="213">
        <f>6294.87-481.73</f>
        <v>5813.14</v>
      </c>
      <c r="R30" s="51">
        <f t="shared" si="11"/>
        <v>313.14</v>
      </c>
      <c r="S30" s="217">
        <v>33.0</v>
      </c>
      <c r="T30" s="291">
        <f t="shared" si="12"/>
        <v>176.1557576</v>
      </c>
      <c r="U30" s="217">
        <v>8.0</v>
      </c>
      <c r="V30" s="291">
        <f>4+16</f>
        <v>20</v>
      </c>
      <c r="W30" s="217">
        <v>12.0</v>
      </c>
      <c r="X30" s="291">
        <f t="shared" si="13"/>
        <v>40</v>
      </c>
      <c r="AB30" s="74"/>
      <c r="AE30" s="82"/>
      <c r="AH30" s="393" t="s">
        <v>294</v>
      </c>
      <c r="AI30" s="387">
        <v>170.0</v>
      </c>
      <c r="AJ30" s="385"/>
      <c r="AK30" s="317"/>
      <c r="AL30" s="393" t="s">
        <v>356</v>
      </c>
      <c r="AM30" s="346">
        <f>180</f>
        <v>180</v>
      </c>
      <c r="AN30" s="385"/>
    </row>
    <row r="31" ht="15.75" customHeight="1">
      <c r="A31" s="8"/>
      <c r="B31" s="8"/>
      <c r="C31" s="207">
        <v>46226.0</v>
      </c>
      <c r="D31" s="208" t="str">
        <f t="shared" si="5"/>
        <v>qui.</v>
      </c>
      <c r="E31" s="341">
        <v>11500.0</v>
      </c>
      <c r="F31" s="209">
        <f>12444</f>
        <v>12444</v>
      </c>
      <c r="G31" s="51">
        <f t="shared" si="6"/>
        <v>944</v>
      </c>
      <c r="H31" s="210">
        <v>49.0</v>
      </c>
      <c r="I31" s="265">
        <f t="shared" si="7"/>
        <v>253.9591837</v>
      </c>
      <c r="J31" s="363">
        <v>15.0</v>
      </c>
      <c r="K31" s="364">
        <f>4+16</f>
        <v>20</v>
      </c>
      <c r="L31" s="363">
        <v>31.0</v>
      </c>
      <c r="M31" s="364">
        <f t="shared" si="8"/>
        <v>66</v>
      </c>
      <c r="N31" s="350">
        <f t="shared" si="9"/>
        <v>46226</v>
      </c>
      <c r="O31" s="204" t="str">
        <f t="shared" si="10"/>
        <v>qui.</v>
      </c>
      <c r="P31" s="351">
        <v>6500.0</v>
      </c>
      <c r="Q31" s="213">
        <f>7270.22-554.23</f>
        <v>6715.99</v>
      </c>
      <c r="R31" s="51">
        <f t="shared" si="11"/>
        <v>215.99</v>
      </c>
      <c r="S31" s="217">
        <v>38.0</v>
      </c>
      <c r="T31" s="291">
        <f t="shared" si="12"/>
        <v>176.7365789</v>
      </c>
      <c r="U31" s="217">
        <v>13.0</v>
      </c>
      <c r="V31" s="291">
        <f>3.5+22.5</f>
        <v>26</v>
      </c>
      <c r="W31" s="217">
        <v>13.0</v>
      </c>
      <c r="X31" s="291">
        <f t="shared" si="13"/>
        <v>52</v>
      </c>
      <c r="AB31" s="74" t="s">
        <v>64</v>
      </c>
      <c r="AC31" s="61">
        <f>SUM(F30:F36)</f>
        <v>108118.8</v>
      </c>
      <c r="AD31" s="58" t="s">
        <v>64</v>
      </c>
      <c r="AE31" s="83">
        <f>SUM(Q30:Q36)</f>
        <v>61394.77</v>
      </c>
      <c r="AH31" s="393" t="s">
        <v>299</v>
      </c>
      <c r="AI31" s="387">
        <v>170.0</v>
      </c>
      <c r="AJ31" s="385"/>
      <c r="AK31" s="271">
        <f>325+1295+643+1806</f>
        <v>4069</v>
      </c>
      <c r="AL31" s="385"/>
      <c r="AM31" s="229"/>
      <c r="AN31" s="385"/>
    </row>
    <row r="32" ht="15.75" customHeight="1">
      <c r="A32" s="8"/>
      <c r="B32" s="409" t="s">
        <v>357</v>
      </c>
      <c r="C32" s="207">
        <v>46227.0</v>
      </c>
      <c r="D32" s="208" t="str">
        <f t="shared" si="5"/>
        <v>sex.</v>
      </c>
      <c r="E32" s="341">
        <f>22000+3000</f>
        <v>25000</v>
      </c>
      <c r="F32" s="209">
        <f>21481.5-360</f>
        <v>21121.5</v>
      </c>
      <c r="G32" s="51">
        <f t="shared" si="6"/>
        <v>-3878.5</v>
      </c>
      <c r="H32" s="210">
        <v>106.0</v>
      </c>
      <c r="I32" s="265">
        <f t="shared" si="7"/>
        <v>199.259434</v>
      </c>
      <c r="J32" s="363">
        <v>33.0</v>
      </c>
      <c r="K32" s="364">
        <f>18+59</f>
        <v>77</v>
      </c>
      <c r="L32" s="363">
        <v>22.0</v>
      </c>
      <c r="M32" s="364">
        <f t="shared" si="8"/>
        <v>132</v>
      </c>
      <c r="N32" s="350">
        <f t="shared" si="9"/>
        <v>46227</v>
      </c>
      <c r="O32" s="204" t="str">
        <f t="shared" si="10"/>
        <v>sex.</v>
      </c>
      <c r="P32" s="351">
        <f>9000*19%+9000-10</f>
        <v>10700</v>
      </c>
      <c r="Q32" s="213">
        <f>10389.01-629.48</f>
        <v>9759.53</v>
      </c>
      <c r="R32" s="51">
        <f t="shared" si="11"/>
        <v>-940.47</v>
      </c>
      <c r="S32" s="217">
        <v>48.0</v>
      </c>
      <c r="T32" s="291">
        <f t="shared" si="12"/>
        <v>203.3235417</v>
      </c>
      <c r="U32" s="217">
        <v>13.0</v>
      </c>
      <c r="V32" s="291">
        <f>7.5+24.5</f>
        <v>32</v>
      </c>
      <c r="W32" s="217">
        <v>25.0</v>
      </c>
      <c r="X32" s="291">
        <f t="shared" si="13"/>
        <v>70</v>
      </c>
      <c r="AB32" s="74"/>
      <c r="AC32" s="79">
        <f>AC31/AC20</f>
        <v>0.2162376</v>
      </c>
      <c r="AE32" s="80">
        <f>AE31/AE20</f>
        <v>0.1955247452</v>
      </c>
      <c r="AH32" s="388" t="s">
        <v>304</v>
      </c>
      <c r="AI32" s="389">
        <f>AJ20*40%-AJ32</f>
        <v>1294.9184</v>
      </c>
      <c r="AJ32" s="390">
        <f>AI35+AI36+AI37+AI38</f>
        <v>400</v>
      </c>
      <c r="AK32" s="317"/>
      <c r="AL32" s="388" t="s">
        <v>315</v>
      </c>
      <c r="AM32" s="400"/>
      <c r="AN32" s="401"/>
    </row>
    <row r="33" ht="15.75" customHeight="1">
      <c r="A33" s="8"/>
      <c r="B33" s="8"/>
      <c r="C33" s="207">
        <v>46228.0</v>
      </c>
      <c r="D33" s="208" t="str">
        <f t="shared" si="5"/>
        <v>sáb.</v>
      </c>
      <c r="E33" s="341">
        <v>27000.0</v>
      </c>
      <c r="F33" s="209">
        <f>26867</f>
        <v>26867</v>
      </c>
      <c r="G33" s="51">
        <f t="shared" si="6"/>
        <v>-133</v>
      </c>
      <c r="H33" s="210">
        <v>111.0</v>
      </c>
      <c r="I33" s="265">
        <f t="shared" si="7"/>
        <v>242.045045</v>
      </c>
      <c r="J33" s="363">
        <v>18.0</v>
      </c>
      <c r="K33" s="364">
        <f>8+61</f>
        <v>69</v>
      </c>
      <c r="L33" s="363">
        <v>56.0</v>
      </c>
      <c r="M33" s="364">
        <f t="shared" si="8"/>
        <v>143</v>
      </c>
      <c r="N33" s="350">
        <f t="shared" si="9"/>
        <v>46228</v>
      </c>
      <c r="O33" s="204" t="str">
        <f t="shared" si="10"/>
        <v>sáb.</v>
      </c>
      <c r="P33" s="351">
        <v>14200.0</v>
      </c>
      <c r="Q33" s="213">
        <f>14055.28-575.64</f>
        <v>13479.64</v>
      </c>
      <c r="R33" s="51">
        <f t="shared" si="11"/>
        <v>-720.36</v>
      </c>
      <c r="S33" s="217">
        <v>82.0</v>
      </c>
      <c r="T33" s="291">
        <f t="shared" si="12"/>
        <v>164.3858537</v>
      </c>
      <c r="U33" s="217">
        <v>23.0</v>
      </c>
      <c r="V33" s="291">
        <f>7+44</f>
        <v>51</v>
      </c>
      <c r="W33" s="217">
        <v>26.0</v>
      </c>
      <c r="X33" s="291">
        <f t="shared" si="13"/>
        <v>100</v>
      </c>
      <c r="AB33" s="74" t="s">
        <v>65</v>
      </c>
      <c r="AC33" s="61">
        <f>SUM(F37:F39)</f>
        <v>42553.5</v>
      </c>
      <c r="AD33" s="58" t="s">
        <v>65</v>
      </c>
      <c r="AE33" s="83">
        <f>SUM(Q37:Q39)</f>
        <v>19178.47</v>
      </c>
      <c r="AH33" s="393" t="s">
        <v>251</v>
      </c>
      <c r="AI33" s="346">
        <f>AI32*60%</f>
        <v>776.95104</v>
      </c>
      <c r="AJ33" s="385"/>
      <c r="AK33" s="317"/>
      <c r="AL33" s="393" t="s">
        <v>317</v>
      </c>
      <c r="AM33" s="387">
        <v>100.0</v>
      </c>
      <c r="AN33" s="385"/>
    </row>
    <row r="34" ht="15.75" customHeight="1">
      <c r="A34" s="8"/>
      <c r="B34" s="8"/>
      <c r="C34" s="207">
        <v>46229.0</v>
      </c>
      <c r="D34" s="208" t="str">
        <f t="shared" si="5"/>
        <v>dom.</v>
      </c>
      <c r="E34" s="341">
        <v>24000.0</v>
      </c>
      <c r="F34" s="209">
        <f>21517.5</f>
        <v>21517.5</v>
      </c>
      <c r="G34" s="51">
        <f t="shared" si="6"/>
        <v>-2482.5</v>
      </c>
      <c r="H34" s="210">
        <v>92.0</v>
      </c>
      <c r="I34" s="265">
        <f t="shared" si="7"/>
        <v>233.8858696</v>
      </c>
      <c r="J34" s="363">
        <v>26.0</v>
      </c>
      <c r="K34" s="364">
        <f>7+38</f>
        <v>45</v>
      </c>
      <c r="L34" s="363">
        <v>54.0</v>
      </c>
      <c r="M34" s="364">
        <f t="shared" si="8"/>
        <v>125</v>
      </c>
      <c r="N34" s="350">
        <f t="shared" si="9"/>
        <v>46229</v>
      </c>
      <c r="O34" s="204" t="str">
        <f t="shared" si="10"/>
        <v>dom.</v>
      </c>
      <c r="P34" s="351">
        <v>22000.0</v>
      </c>
      <c r="Q34" s="213">
        <f>19528.89-1709.5</f>
        <v>17819.39</v>
      </c>
      <c r="R34" s="51">
        <f t="shared" si="11"/>
        <v>-4180.61</v>
      </c>
      <c r="S34" s="217">
        <v>120.0</v>
      </c>
      <c r="T34" s="291">
        <f t="shared" si="12"/>
        <v>148.4949167</v>
      </c>
      <c r="U34" s="217">
        <v>41.0</v>
      </c>
      <c r="V34" s="291">
        <f>8.5+54.5</f>
        <v>63</v>
      </c>
      <c r="W34" s="217">
        <v>34.0</v>
      </c>
      <c r="X34" s="291">
        <f t="shared" si="13"/>
        <v>138</v>
      </c>
      <c r="AB34" s="84"/>
      <c r="AC34" s="85">
        <f>AC33/AC20</f>
        <v>0.085107</v>
      </c>
      <c r="AD34" s="84"/>
      <c r="AE34" s="87">
        <f>AE33/AE20</f>
        <v>0.06107792994</v>
      </c>
      <c r="AH34" s="393" t="s">
        <v>314</v>
      </c>
      <c r="AI34" s="346">
        <f>AI32*40%</f>
        <v>517.96736</v>
      </c>
      <c r="AJ34" s="385"/>
      <c r="AL34" s="393"/>
      <c r="AM34" s="346"/>
      <c r="AN34" s="385"/>
    </row>
    <row r="35" ht="15.75" customHeight="1">
      <c r="A35" s="8"/>
      <c r="B35" s="8"/>
      <c r="C35" s="207">
        <v>46230.0</v>
      </c>
      <c r="D35" s="208" t="str">
        <f t="shared" si="5"/>
        <v>seg.</v>
      </c>
      <c r="E35" s="341">
        <v>7500.0</v>
      </c>
      <c r="F35" s="209">
        <f>10875.8</f>
        <v>10875.8</v>
      </c>
      <c r="G35" s="51">
        <f t="shared" si="6"/>
        <v>3375.8</v>
      </c>
      <c r="H35" s="210">
        <v>41.0</v>
      </c>
      <c r="I35" s="265">
        <f t="shared" si="7"/>
        <v>265.2634146</v>
      </c>
      <c r="J35" s="363">
        <v>9.0</v>
      </c>
      <c r="K35" s="364">
        <f>3.5+31.5</f>
        <v>35</v>
      </c>
      <c r="L35" s="363">
        <v>16.0</v>
      </c>
      <c r="M35" s="364">
        <f t="shared" si="8"/>
        <v>60</v>
      </c>
      <c r="N35" s="350">
        <f t="shared" si="9"/>
        <v>46230</v>
      </c>
      <c r="O35" s="204" t="str">
        <f t="shared" si="10"/>
        <v>seg.</v>
      </c>
      <c r="P35" s="351">
        <v>5000.0</v>
      </c>
      <c r="Q35" s="213">
        <f>2984.45-165.82</f>
        <v>2818.63</v>
      </c>
      <c r="R35" s="51">
        <f t="shared" si="11"/>
        <v>-2181.37</v>
      </c>
      <c r="S35" s="217">
        <v>22.0</v>
      </c>
      <c r="T35" s="291">
        <f t="shared" si="12"/>
        <v>128.1195455</v>
      </c>
      <c r="U35" s="217">
        <v>7.0</v>
      </c>
      <c r="V35" s="291">
        <f>8.5+0.5</f>
        <v>9</v>
      </c>
      <c r="W35" s="217">
        <v>5.0</v>
      </c>
      <c r="X35" s="291">
        <f t="shared" si="13"/>
        <v>21</v>
      </c>
      <c r="AH35" s="393" t="s">
        <v>252</v>
      </c>
      <c r="AI35" s="387">
        <v>150.0</v>
      </c>
      <c r="AJ35" s="385"/>
      <c r="AK35" s="271"/>
      <c r="AL35" s="393"/>
      <c r="AM35" s="387"/>
      <c r="AN35" s="385"/>
    </row>
    <row r="36" ht="15.75" customHeight="1">
      <c r="A36" s="8"/>
      <c r="B36" s="8"/>
      <c r="C36" s="207">
        <v>46231.0</v>
      </c>
      <c r="D36" s="208" t="str">
        <f t="shared" si="5"/>
        <v>ter.</v>
      </c>
      <c r="E36" s="341">
        <v>7500.0</v>
      </c>
      <c r="F36" s="209">
        <f>7800</f>
        <v>7800</v>
      </c>
      <c r="G36" s="51">
        <f t="shared" si="6"/>
        <v>300</v>
      </c>
      <c r="H36" s="210">
        <v>45.0</v>
      </c>
      <c r="I36" s="265">
        <f t="shared" si="7"/>
        <v>173.3333333</v>
      </c>
      <c r="J36" s="363">
        <v>9.0</v>
      </c>
      <c r="K36" s="364">
        <f>2+12</f>
        <v>14</v>
      </c>
      <c r="L36" s="363">
        <v>19.0</v>
      </c>
      <c r="M36" s="364">
        <f t="shared" si="8"/>
        <v>42</v>
      </c>
      <c r="N36" s="350">
        <f t="shared" si="9"/>
        <v>46231</v>
      </c>
      <c r="O36" s="204" t="str">
        <f t="shared" si="10"/>
        <v>ter.</v>
      </c>
      <c r="P36" s="351">
        <v>7000.0</v>
      </c>
      <c r="Q36" s="213">
        <f>5405.06-416.61</f>
        <v>4988.45</v>
      </c>
      <c r="R36" s="51">
        <f t="shared" si="11"/>
        <v>-2011.55</v>
      </c>
      <c r="S36" s="217">
        <v>33.0</v>
      </c>
      <c r="T36" s="291">
        <f t="shared" si="12"/>
        <v>151.1651515</v>
      </c>
      <c r="U36" s="217">
        <v>9.0</v>
      </c>
      <c r="V36" s="291">
        <f>4.5+20.5</f>
        <v>25</v>
      </c>
      <c r="W36" s="217">
        <v>6.0</v>
      </c>
      <c r="X36" s="291">
        <f t="shared" si="13"/>
        <v>40</v>
      </c>
      <c r="AA36" s="92" t="s">
        <v>72</v>
      </c>
      <c r="AB36" s="93" t="s">
        <v>73</v>
      </c>
      <c r="AC36" s="94">
        <f>F40</f>
        <v>529661.65</v>
      </c>
      <c r="AD36" s="164" t="s">
        <v>74</v>
      </c>
      <c r="AE36" s="96">
        <f>Q40</f>
        <v>270886.89</v>
      </c>
      <c r="AF36" s="92" t="s">
        <v>72</v>
      </c>
      <c r="AH36" s="393" t="s">
        <v>358</v>
      </c>
      <c r="AI36" s="387">
        <v>150.0</v>
      </c>
      <c r="AJ36" s="393" t="s">
        <v>359</v>
      </c>
      <c r="AK36" s="271">
        <f>4237-75</f>
        <v>4162</v>
      </c>
      <c r="AL36" s="393"/>
      <c r="AM36" s="387"/>
      <c r="AN36" s="385"/>
    </row>
    <row r="37" ht="15.75" customHeight="1">
      <c r="A37" s="8"/>
      <c r="B37" s="409" t="s">
        <v>360</v>
      </c>
      <c r="C37" s="207">
        <v>46232.0</v>
      </c>
      <c r="D37" s="208" t="str">
        <f t="shared" si="5"/>
        <v>qua.</v>
      </c>
      <c r="E37" s="341">
        <v>12500.0</v>
      </c>
      <c r="F37" s="209">
        <f>7428.5</f>
        <v>7428.5</v>
      </c>
      <c r="G37" s="51">
        <f t="shared" si="6"/>
        <v>-5071.5</v>
      </c>
      <c r="H37" s="210">
        <v>33.0</v>
      </c>
      <c r="I37" s="265">
        <f t="shared" si="7"/>
        <v>225.1060606</v>
      </c>
      <c r="J37" s="363">
        <v>3.0</v>
      </c>
      <c r="K37" s="364">
        <f>1.5+13.5</f>
        <v>15</v>
      </c>
      <c r="L37" s="363">
        <v>20.0</v>
      </c>
      <c r="M37" s="364">
        <f t="shared" si="8"/>
        <v>38</v>
      </c>
      <c r="N37" s="350">
        <f t="shared" si="9"/>
        <v>46232</v>
      </c>
      <c r="O37" s="204" t="str">
        <f t="shared" si="10"/>
        <v>qua.</v>
      </c>
      <c r="P37" s="351">
        <v>5800.0</v>
      </c>
      <c r="Q37" s="213">
        <f>5179.61-371.38</f>
        <v>4808.23</v>
      </c>
      <c r="R37" s="51">
        <f t="shared" si="11"/>
        <v>-991.77</v>
      </c>
      <c r="S37" s="217">
        <v>37.0</v>
      </c>
      <c r="T37" s="291">
        <f t="shared" si="12"/>
        <v>129.9521622</v>
      </c>
      <c r="U37" s="217">
        <v>13.0</v>
      </c>
      <c r="V37" s="291">
        <f>4.5+11.5</f>
        <v>16</v>
      </c>
      <c r="W37" s="217">
        <v>8.0</v>
      </c>
      <c r="X37" s="291">
        <f t="shared" si="13"/>
        <v>37</v>
      </c>
      <c r="AA37" s="97">
        <f>AC37-AD37</f>
        <v>0.0593233</v>
      </c>
      <c r="AB37" s="98"/>
      <c r="AC37" s="99">
        <f>AC36/AC20</f>
        <v>1.0593233</v>
      </c>
      <c r="AD37" s="165">
        <f>31/31</f>
        <v>1</v>
      </c>
      <c r="AE37" s="100">
        <f>AE36/AE20</f>
        <v>0.8626971019</v>
      </c>
      <c r="AF37" s="97">
        <f>AE37-AD37</f>
        <v>-0.1373028981</v>
      </c>
      <c r="AH37" s="384" t="s">
        <v>321</v>
      </c>
      <c r="AI37" s="387">
        <v>100.0</v>
      </c>
      <c r="AJ37" s="385"/>
      <c r="AK37" s="61"/>
      <c r="AL37" s="384"/>
      <c r="AM37" s="387"/>
      <c r="AN37" s="385"/>
    </row>
    <row r="38" ht="15.75" customHeight="1">
      <c r="A38" s="8"/>
      <c r="B38" s="8"/>
      <c r="C38" s="207">
        <v>46233.0</v>
      </c>
      <c r="D38" s="208" t="str">
        <f t="shared" si="5"/>
        <v>qui.</v>
      </c>
      <c r="E38" s="341">
        <v>11500.0</v>
      </c>
      <c r="F38" s="209">
        <f>12680</f>
        <v>12680</v>
      </c>
      <c r="G38" s="51">
        <f t="shared" si="6"/>
        <v>1180</v>
      </c>
      <c r="H38" s="210">
        <v>58.0</v>
      </c>
      <c r="I38" s="265">
        <f t="shared" si="7"/>
        <v>218.6206897</v>
      </c>
      <c r="J38" s="363">
        <v>11.0</v>
      </c>
      <c r="K38" s="364">
        <f>7+37</f>
        <v>44</v>
      </c>
      <c r="L38" s="363">
        <v>19.0</v>
      </c>
      <c r="M38" s="364">
        <f t="shared" si="8"/>
        <v>74</v>
      </c>
      <c r="N38" s="350">
        <f t="shared" si="9"/>
        <v>46233</v>
      </c>
      <c r="O38" s="204" t="str">
        <f t="shared" si="10"/>
        <v>qui.</v>
      </c>
      <c r="P38" s="351">
        <v>6500.0</v>
      </c>
      <c r="Q38" s="213">
        <f>6143.58-371.96</f>
        <v>5771.62</v>
      </c>
      <c r="R38" s="51">
        <f t="shared" si="11"/>
        <v>-728.38</v>
      </c>
      <c r="S38" s="217">
        <v>34.0</v>
      </c>
      <c r="T38" s="291">
        <f t="shared" si="12"/>
        <v>169.7535294</v>
      </c>
      <c r="U38" s="217">
        <v>11.0</v>
      </c>
      <c r="V38" s="291">
        <f>2.5+22.5</f>
        <v>25</v>
      </c>
      <c r="W38" s="217">
        <v>8.0</v>
      </c>
      <c r="X38" s="291">
        <f t="shared" si="13"/>
        <v>44</v>
      </c>
      <c r="AB38" s="98" t="s">
        <v>76</v>
      </c>
      <c r="AC38" s="104">
        <f>AC20-AC36</f>
        <v>-29661.65</v>
      </c>
      <c r="AD38" s="99"/>
      <c r="AE38" s="106">
        <f>AE20-AE36</f>
        <v>43113.11</v>
      </c>
      <c r="AH38" s="393"/>
      <c r="AI38" s="387"/>
      <c r="AJ38" s="385"/>
    </row>
    <row r="39" ht="15.75" customHeight="1">
      <c r="A39" s="8"/>
      <c r="B39" s="8"/>
      <c r="C39" s="207">
        <v>46234.0</v>
      </c>
      <c r="D39" s="208" t="str">
        <f t="shared" si="5"/>
        <v>sex.</v>
      </c>
      <c r="E39" s="341">
        <v>21000.0</v>
      </c>
      <c r="F39" s="209">
        <f>22515-70</f>
        <v>22445</v>
      </c>
      <c r="G39" s="51">
        <f t="shared" si="6"/>
        <v>1445</v>
      </c>
      <c r="H39" s="210">
        <v>90.0</v>
      </c>
      <c r="I39" s="265">
        <f t="shared" si="7"/>
        <v>249.3888889</v>
      </c>
      <c r="J39" s="363">
        <v>20.0</v>
      </c>
      <c r="K39" s="364">
        <f>9.5+40.5</f>
        <v>50</v>
      </c>
      <c r="L39" s="363">
        <v>53.0</v>
      </c>
      <c r="M39" s="364">
        <f t="shared" si="8"/>
        <v>123</v>
      </c>
      <c r="N39" s="350">
        <f t="shared" si="9"/>
        <v>46234</v>
      </c>
      <c r="O39" s="204" t="str">
        <f t="shared" si="10"/>
        <v>sex.</v>
      </c>
      <c r="P39" s="351">
        <v>9000.0</v>
      </c>
      <c r="Q39" s="213">
        <f>9389.12-790.5</f>
        <v>8598.62</v>
      </c>
      <c r="R39" s="51">
        <f t="shared" si="11"/>
        <v>-401.38</v>
      </c>
      <c r="S39" s="217">
        <v>55.0</v>
      </c>
      <c r="T39" s="291">
        <f t="shared" si="12"/>
        <v>156.3385455</v>
      </c>
      <c r="U39" s="217">
        <v>12.0</v>
      </c>
      <c r="V39" s="291">
        <f>4.5+33.5</f>
        <v>38</v>
      </c>
      <c r="W39" s="217">
        <v>15.0</v>
      </c>
      <c r="X39" s="291">
        <f t="shared" si="13"/>
        <v>65</v>
      </c>
      <c r="AE39" s="61"/>
    </row>
    <row r="40" ht="15.75" customHeight="1">
      <c r="A40" s="8"/>
      <c r="B40" s="8"/>
      <c r="C40" s="218"/>
      <c r="D40" s="218"/>
      <c r="E40" s="219">
        <f t="shared" ref="E40:H40" si="18">SUM(E9:E39)</f>
        <v>500285.5</v>
      </c>
      <c r="F40" s="219">
        <f t="shared" si="18"/>
        <v>529661.65</v>
      </c>
      <c r="G40" s="105">
        <f t="shared" si="18"/>
        <v>29376.15</v>
      </c>
      <c r="H40" s="105">
        <f t="shared" si="18"/>
        <v>2134</v>
      </c>
      <c r="I40" s="105"/>
      <c r="J40" s="105">
        <f t="shared" ref="J40:M40" si="19">SUM(J9:J39)</f>
        <v>549</v>
      </c>
      <c r="K40" s="105">
        <f t="shared" si="19"/>
        <v>1280</v>
      </c>
      <c r="L40" s="105">
        <f t="shared" si="19"/>
        <v>1129</v>
      </c>
      <c r="M40" s="105">
        <f t="shared" si="19"/>
        <v>2958</v>
      </c>
      <c r="N40" s="286"/>
      <c r="O40" s="287"/>
      <c r="P40" s="222">
        <f t="shared" ref="P40:S40" si="20">SUM(P9:P39)</f>
        <v>314038.22</v>
      </c>
      <c r="Q40" s="222">
        <f t="shared" si="20"/>
        <v>270886.89</v>
      </c>
      <c r="R40" s="105">
        <f t="shared" si="20"/>
        <v>-43151.33</v>
      </c>
      <c r="S40" s="223">
        <f t="shared" si="20"/>
        <v>1664</v>
      </c>
      <c r="T40" s="223"/>
      <c r="U40" s="105">
        <f t="shared" ref="U40:X40" si="21">SUM(U9:U39)</f>
        <v>490</v>
      </c>
      <c r="V40" s="105">
        <f t="shared" si="21"/>
        <v>1132</v>
      </c>
      <c r="W40" s="105">
        <f t="shared" si="21"/>
        <v>454</v>
      </c>
      <c r="X40" s="105">
        <f t="shared" si="21"/>
        <v>2076</v>
      </c>
    </row>
    <row r="41" ht="15.75" customHeight="1">
      <c r="D41" s="61"/>
      <c r="E41" s="61"/>
      <c r="F41" s="225"/>
      <c r="G41" s="114"/>
      <c r="H41" s="356" t="s">
        <v>354</v>
      </c>
      <c r="I41" s="226"/>
      <c r="J41" s="226"/>
      <c r="K41" s="226"/>
      <c r="L41" s="226"/>
      <c r="M41" s="226"/>
      <c r="N41" s="61"/>
      <c r="P41" s="61"/>
      <c r="Q41" s="275"/>
      <c r="R41" s="114"/>
      <c r="S41" s="199"/>
      <c r="T41" s="199"/>
      <c r="U41" s="199"/>
      <c r="V41" s="199"/>
      <c r="W41" s="199"/>
      <c r="X41" s="199"/>
    </row>
    <row r="42" ht="15.75" customHeight="1">
      <c r="A42" s="2"/>
      <c r="B42" s="2"/>
      <c r="C42" s="2"/>
      <c r="D42" s="75"/>
      <c r="E42" s="75"/>
      <c r="F42" s="2"/>
      <c r="H42" s="226"/>
      <c r="I42" s="226"/>
      <c r="J42" s="226"/>
      <c r="K42" s="226"/>
      <c r="L42" s="226"/>
      <c r="M42" s="226"/>
      <c r="N42" s="75"/>
      <c r="P42" s="75"/>
      <c r="Q42" s="2"/>
      <c r="S42" s="199"/>
      <c r="T42" s="199"/>
      <c r="U42" s="199"/>
      <c r="V42" s="199"/>
      <c r="W42" s="199"/>
      <c r="X42" s="199"/>
    </row>
    <row r="43" ht="15.75" customHeight="1">
      <c r="A43" s="2"/>
      <c r="B43" s="2"/>
      <c r="C43" s="2"/>
      <c r="D43" s="2"/>
      <c r="E43" s="174" t="s">
        <v>77</v>
      </c>
      <c r="F43" s="118">
        <f>E40+G40</f>
        <v>529661.65</v>
      </c>
      <c r="P43" s="115" t="s">
        <v>77</v>
      </c>
      <c r="Q43" s="118">
        <f>P40+R40</f>
        <v>270886.89</v>
      </c>
      <c r="S43" s="199"/>
      <c r="T43" s="199"/>
      <c r="U43" s="199"/>
      <c r="V43" s="199"/>
      <c r="W43" s="199"/>
      <c r="X43" s="199"/>
    </row>
    <row r="44" ht="15.75" customHeight="1">
      <c r="A44" s="2"/>
      <c r="B44" s="2"/>
      <c r="C44" s="122" t="s">
        <v>29</v>
      </c>
      <c r="D44" s="394">
        <v>500000.0</v>
      </c>
      <c r="E44" s="75"/>
      <c r="F44" s="2"/>
      <c r="N44" s="126" t="s">
        <v>29</v>
      </c>
      <c r="O44" s="394">
        <v>314000.0</v>
      </c>
      <c r="P44" s="2"/>
      <c r="Q44" s="2"/>
      <c r="S44" s="199"/>
      <c r="T44" s="199"/>
      <c r="U44" s="199"/>
      <c r="V44" s="199"/>
      <c r="W44" s="199"/>
      <c r="X44" s="199"/>
    </row>
    <row r="45" ht="15.75" customHeight="1">
      <c r="A45" s="61"/>
      <c r="B45" s="61"/>
      <c r="C45" s="61"/>
      <c r="D45" s="175"/>
      <c r="N45" s="175"/>
      <c r="O45" s="61"/>
      <c r="S45" s="199"/>
      <c r="T45" s="199"/>
      <c r="U45" s="199"/>
      <c r="V45" s="199"/>
      <c r="W45" s="199"/>
      <c r="X45" s="199"/>
    </row>
    <row r="46" ht="15.75" customHeight="1">
      <c r="A46" s="61"/>
      <c r="B46" s="61"/>
      <c r="C46" s="61"/>
      <c r="O46" s="61"/>
      <c r="S46" s="199"/>
      <c r="T46" s="199"/>
      <c r="U46" s="199"/>
      <c r="V46" s="199"/>
      <c r="W46" s="199"/>
      <c r="X46" s="199"/>
    </row>
    <row r="47" ht="15.75" customHeight="1">
      <c r="A47" s="61"/>
      <c r="B47" s="61"/>
      <c r="C47" s="61"/>
      <c r="N47" s="61"/>
      <c r="S47" s="199"/>
      <c r="T47" s="199"/>
      <c r="U47" s="199"/>
      <c r="V47" s="199"/>
      <c r="W47" s="199"/>
      <c r="X47" s="199"/>
    </row>
    <row r="48" ht="15.75" customHeight="1">
      <c r="A48" s="61"/>
      <c r="B48" s="61"/>
      <c r="C48" s="61"/>
      <c r="N48" s="121"/>
      <c r="S48" s="199"/>
      <c r="T48" s="199"/>
      <c r="U48" s="199"/>
      <c r="V48" s="199"/>
      <c r="W48" s="199"/>
      <c r="X48" s="199"/>
    </row>
    <row r="49" ht="15.75" customHeight="1">
      <c r="A49" s="61"/>
      <c r="B49" s="61"/>
      <c r="C49" s="61"/>
      <c r="S49" s="199"/>
      <c r="T49" s="199"/>
      <c r="U49" s="199"/>
      <c r="V49" s="199"/>
      <c r="W49" s="199"/>
      <c r="X49" s="19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4:I6"/>
    <mergeCell ref="N4:T6"/>
    <mergeCell ref="AA4:AB4"/>
    <mergeCell ref="AD4:AE4"/>
    <mergeCell ref="AH4:AI4"/>
    <mergeCell ref="AK4:AL4"/>
    <mergeCell ref="C7:I7"/>
    <mergeCell ref="N7:T7"/>
  </mergeCells>
  <conditionalFormatting sqref="G9:G40 R9:R40 H40:M40">
    <cfRule type="cellIs" dxfId="0" priority="1" operator="greaterThanOrEqual">
      <formula>0</formula>
    </cfRule>
  </conditionalFormatting>
  <conditionalFormatting sqref="G9:G40 R9:R40 H40:M40">
    <cfRule type="cellIs" dxfId="1" priority="2" operator="lessThan">
      <formula>0</formula>
    </cfRule>
  </conditionalFormatting>
  <conditionalFormatting sqref="G9:G40 R9:R40 H40:M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4.33"/>
    <col customWidth="1" min="3" max="3" width="40.56"/>
    <col customWidth="1" min="4" max="4" width="32.44"/>
  </cols>
  <sheetData>
    <row r="3">
      <c r="B3" s="317"/>
      <c r="C3" s="271"/>
      <c r="D3" s="317"/>
      <c r="E3" s="318" t="s">
        <v>236</v>
      </c>
    </row>
    <row r="4">
      <c r="B4" s="317"/>
      <c r="C4" s="271"/>
      <c r="D4" s="271"/>
      <c r="E4" s="411">
        <v>0.25</v>
      </c>
    </row>
    <row r="5">
      <c r="B5" s="320" t="s">
        <v>242</v>
      </c>
      <c r="C5" s="321" t="s">
        <v>222</v>
      </c>
      <c r="D5" s="335" t="s">
        <v>341</v>
      </c>
      <c r="E5" s="323"/>
    </row>
    <row r="6">
      <c r="B6" s="338" t="s">
        <v>246</v>
      </c>
      <c r="C6" s="325" t="s">
        <v>226</v>
      </c>
      <c r="D6" s="349">
        <f>141489.9-70-200-300-13935.11</f>
        <v>126984.79</v>
      </c>
      <c r="E6" s="327">
        <f t="shared" ref="E6:E11" si="1">D6/500000</f>
        <v>0.25396958</v>
      </c>
    </row>
    <row r="7">
      <c r="B7" s="338" t="s">
        <v>245</v>
      </c>
      <c r="C7" s="336" t="s">
        <v>227</v>
      </c>
      <c r="D7" s="326">
        <f>126775-392-40-13935.1</f>
        <v>112407.9</v>
      </c>
      <c r="E7" s="327">
        <f t="shared" si="1"/>
        <v>0.2248158</v>
      </c>
    </row>
    <row r="8">
      <c r="B8" s="338"/>
      <c r="C8" s="336" t="s">
        <v>342</v>
      </c>
      <c r="D8" s="349"/>
      <c r="E8" s="327">
        <f t="shared" si="1"/>
        <v>0</v>
      </c>
    </row>
    <row r="9">
      <c r="B9" s="338" t="s">
        <v>244</v>
      </c>
      <c r="C9" s="336" t="s">
        <v>343</v>
      </c>
      <c r="D9" s="349">
        <f>37366.5</f>
        <v>37366.5</v>
      </c>
      <c r="E9" s="327">
        <f t="shared" si="1"/>
        <v>0.074733</v>
      </c>
      <c r="F9" s="339" t="s">
        <v>344</v>
      </c>
    </row>
    <row r="10">
      <c r="B10" s="338" t="s">
        <v>249</v>
      </c>
      <c r="C10" s="336" t="s">
        <v>345</v>
      </c>
      <c r="D10" s="349">
        <f>112616.5-238-350-13935.1</f>
        <v>98093.4</v>
      </c>
      <c r="E10" s="327">
        <f t="shared" si="1"/>
        <v>0.1961868</v>
      </c>
    </row>
    <row r="11">
      <c r="B11" s="338" t="s">
        <v>247</v>
      </c>
      <c r="C11" s="328" t="s">
        <v>231</v>
      </c>
      <c r="D11" s="326">
        <f>114568-13935.1</f>
        <v>100632.9</v>
      </c>
      <c r="E11" s="327">
        <f t="shared" si="1"/>
        <v>0.2012658</v>
      </c>
    </row>
    <row r="12">
      <c r="B12" s="338"/>
      <c r="C12" s="328"/>
      <c r="D12" s="329"/>
      <c r="E12" s="327"/>
    </row>
    <row r="13">
      <c r="B13" s="336"/>
      <c r="C13" s="317"/>
      <c r="D13" s="219">
        <f>SUM(D6:D11)+D16+70+392+238+350+200+300+40</f>
        <v>528938.99</v>
      </c>
      <c r="E13" s="327">
        <f>SUM(E6:E11)</f>
        <v>0.95097098</v>
      </c>
    </row>
    <row r="14">
      <c r="B14" s="325"/>
      <c r="C14" s="317"/>
      <c r="D14" s="317"/>
      <c r="E14" s="317"/>
    </row>
    <row r="15">
      <c r="B15" s="330"/>
      <c r="C15" s="317" t="s">
        <v>257</v>
      </c>
      <c r="D15" s="408">
        <v>3876.91</v>
      </c>
      <c r="E15" s="317"/>
    </row>
    <row r="16">
      <c r="B16" s="317"/>
      <c r="C16" s="317" t="s">
        <v>258</v>
      </c>
      <c r="D16" s="271">
        <f>21+126.5+159+51295+181+81</f>
        <v>51863.5</v>
      </c>
      <c r="E16" s="355" t="s">
        <v>347</v>
      </c>
    </row>
    <row r="17">
      <c r="B17" s="317"/>
      <c r="C17" s="317" t="s">
        <v>259</v>
      </c>
      <c r="D17" s="354">
        <f>SUM(D15:D16)</f>
        <v>55740.41</v>
      </c>
      <c r="E17" s="317"/>
    </row>
    <row r="18">
      <c r="B18" s="317"/>
      <c r="C18" s="317" t="s">
        <v>260</v>
      </c>
      <c r="D18" s="354">
        <f>D17/4</f>
        <v>13935.1025</v>
      </c>
      <c r="E18" s="317"/>
    </row>
    <row r="20">
      <c r="D20" s="219">
        <f>584679.4-D15-D16</f>
        <v>528938.99</v>
      </c>
    </row>
    <row r="21">
      <c r="C21" s="317" t="s">
        <v>261</v>
      </c>
      <c r="D21" s="271">
        <f>D20+D15+D16</f>
        <v>584679.4</v>
      </c>
      <c r="E21" s="355" t="s">
        <v>333</v>
      </c>
    </row>
    <row r="22">
      <c r="D22" s="61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8.33"/>
    <col customWidth="1" min="4" max="5" width="23.0"/>
    <col customWidth="1" min="6" max="6" width="12.67"/>
    <col customWidth="1" min="7" max="7" width="15.44"/>
    <col customWidth="1" min="8" max="8" width="10.56"/>
    <col customWidth="1" min="9" max="9" width="12.44"/>
    <col customWidth="1" min="10" max="10" width="11.22"/>
    <col customWidth="1" min="11" max="11" width="13.56"/>
    <col customWidth="1" min="12" max="12" width="14.78"/>
    <col customWidth="1" min="13" max="13" width="10.56"/>
    <col customWidth="1" min="14" max="14" width="18.33"/>
    <col customWidth="1" min="15" max="16" width="17.44"/>
    <col customWidth="1" min="17" max="17" width="10.56"/>
    <col customWidth="1" min="18" max="18" width="13.67"/>
    <col customWidth="1" min="19" max="20" width="12.67"/>
    <col customWidth="1" min="21" max="21" width="11.22"/>
    <col customWidth="1" min="22" max="22" width="13.56"/>
    <col customWidth="1" min="23" max="23" width="14.78"/>
    <col customWidth="1" min="24" max="25" width="10.56"/>
    <col customWidth="1" min="26" max="26" width="14.78"/>
    <col customWidth="1" min="27" max="27" width="27.22"/>
    <col customWidth="1" min="28" max="28" width="14.0"/>
    <col customWidth="1" min="29" max="29" width="13.0"/>
    <col customWidth="1" min="30" max="30" width="14.0"/>
    <col customWidth="1" min="31" max="31" width="26.33"/>
    <col customWidth="1" min="32" max="32" width="16.89"/>
    <col customWidth="1" min="33" max="33" width="12.67"/>
    <col customWidth="1" min="34" max="34" width="14.78"/>
    <col customWidth="1" min="35" max="35" width="10.56"/>
    <col customWidth="1" min="36" max="36" width="33.78"/>
    <col customWidth="1" min="37" max="37" width="14.78"/>
  </cols>
  <sheetData>
    <row r="1" ht="15.75" customHeight="1"/>
    <row r="2" ht="15.75" customHeight="1"/>
    <row r="3" ht="15.75" customHeight="1"/>
    <row r="4" ht="15.75" customHeight="1">
      <c r="A4" s="288"/>
      <c r="B4" s="17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19"/>
      <c r="M4" s="27" t="s">
        <v>22</v>
      </c>
      <c r="N4" s="18"/>
      <c r="O4" s="18"/>
      <c r="P4" s="18"/>
      <c r="Q4" s="18"/>
      <c r="R4" s="18"/>
      <c r="S4" s="18"/>
      <c r="T4" s="18"/>
      <c r="U4" s="18"/>
      <c r="V4" s="18"/>
      <c r="W4" s="19"/>
      <c r="Z4" s="46" t="s">
        <v>211</v>
      </c>
      <c r="AA4" s="6"/>
      <c r="AC4" s="46" t="s">
        <v>212</v>
      </c>
      <c r="AD4" s="6"/>
      <c r="AG4" s="46" t="s">
        <v>217</v>
      </c>
      <c r="AH4" s="6"/>
      <c r="AJ4" s="46" t="s">
        <v>218</v>
      </c>
      <c r="AK4" s="6"/>
    </row>
    <row r="5" ht="15.75" customHeight="1">
      <c r="A5" s="288"/>
      <c r="B5" s="31"/>
      <c r="L5" s="32"/>
      <c r="M5" s="31"/>
      <c r="W5" s="32"/>
      <c r="Z5" s="261">
        <v>45689.0</v>
      </c>
      <c r="AA5" s="261">
        <v>45717.0</v>
      </c>
      <c r="AC5" s="261">
        <v>45689.0</v>
      </c>
      <c r="AD5" s="261">
        <v>45717.0</v>
      </c>
      <c r="AG5" s="261">
        <v>46054.0</v>
      </c>
      <c r="AH5" s="261">
        <v>46082.0</v>
      </c>
      <c r="AJ5" s="261">
        <v>46054.0</v>
      </c>
      <c r="AK5" s="261">
        <v>46082.0</v>
      </c>
    </row>
    <row r="6" ht="15.75" customHeight="1">
      <c r="A6" s="288"/>
      <c r="B6" s="34"/>
      <c r="C6" s="35"/>
      <c r="D6" s="35"/>
      <c r="E6" s="35"/>
      <c r="F6" s="35"/>
      <c r="G6" s="35"/>
      <c r="H6" s="35"/>
      <c r="I6" s="35"/>
      <c r="J6" s="35"/>
      <c r="K6" s="35"/>
      <c r="L6" s="36"/>
      <c r="M6" s="34"/>
      <c r="N6" s="35"/>
      <c r="O6" s="35"/>
      <c r="P6" s="35"/>
      <c r="Q6" s="35"/>
      <c r="R6" s="35"/>
      <c r="S6" s="35"/>
      <c r="T6" s="35"/>
      <c r="U6" s="35"/>
      <c r="V6" s="35"/>
      <c r="W6" s="36"/>
      <c r="Y6" s="2" t="s">
        <v>45</v>
      </c>
      <c r="Z6" s="55">
        <v>3652.4075000000003</v>
      </c>
      <c r="AA6" s="55">
        <v>4545.63</v>
      </c>
      <c r="AB6" s="66">
        <f t="shared" ref="AB6:AB12" si="1">AA6/Z6-1</f>
        <v>0.2445571859</v>
      </c>
      <c r="AC6" s="229">
        <v>3812.5525000000002</v>
      </c>
      <c r="AD6" s="229">
        <v>5771.93</v>
      </c>
      <c r="AE6" s="66">
        <f t="shared" ref="AE6:AE12" si="2">AD6/AC6-1</f>
        <v>0.5139280049</v>
      </c>
      <c r="AF6" s="2" t="s">
        <v>45</v>
      </c>
      <c r="AG6" s="229">
        <v>4714.78</v>
      </c>
      <c r="AH6" s="274">
        <f t="shared" ref="AH6:AH12" si="3">AG6*AB6+AG6</f>
        <v>5867.813329</v>
      </c>
      <c r="AI6" s="75"/>
      <c r="AJ6" s="229">
        <v>3549.79</v>
      </c>
      <c r="AK6" s="274">
        <f t="shared" ref="AK6:AK12" si="4">AJ6*AE6+AJ6</f>
        <v>5374.126493</v>
      </c>
    </row>
    <row r="7" ht="15.75" customHeight="1">
      <c r="A7" s="289"/>
      <c r="B7" s="202" t="s">
        <v>28</v>
      </c>
      <c r="C7" s="35"/>
      <c r="D7" s="35"/>
      <c r="E7" s="35"/>
      <c r="F7" s="35"/>
      <c r="G7" s="35"/>
      <c r="H7" s="36"/>
      <c r="I7" s="202"/>
      <c r="J7" s="202"/>
      <c r="K7" s="202"/>
      <c r="L7" s="202"/>
      <c r="M7" s="202" t="s">
        <v>28</v>
      </c>
      <c r="N7" s="35"/>
      <c r="O7" s="35"/>
      <c r="P7" s="35"/>
      <c r="Q7" s="35"/>
      <c r="R7" s="35"/>
      <c r="S7" s="35"/>
      <c r="T7" s="289"/>
      <c r="U7" s="289"/>
      <c r="V7" s="289"/>
      <c r="W7" s="289"/>
      <c r="Y7" s="8" t="s">
        <v>46</v>
      </c>
      <c r="Z7" s="55">
        <v>3437.8125</v>
      </c>
      <c r="AA7" s="55">
        <v>5976.19</v>
      </c>
      <c r="AB7" s="66">
        <f t="shared" si="1"/>
        <v>0.7383699664</v>
      </c>
      <c r="AC7" s="229">
        <v>4137.565</v>
      </c>
      <c r="AD7" s="229">
        <v>7407.2</v>
      </c>
      <c r="AE7" s="66">
        <f t="shared" si="2"/>
        <v>0.7902316942</v>
      </c>
      <c r="AF7" s="8" t="s">
        <v>46</v>
      </c>
      <c r="AG7" s="229">
        <v>4782.03</v>
      </c>
      <c r="AH7" s="274">
        <f t="shared" si="3"/>
        <v>8312.93733</v>
      </c>
      <c r="AI7" s="75"/>
      <c r="AJ7" s="229">
        <v>4412.95</v>
      </c>
      <c r="AK7" s="274">
        <f t="shared" si="4"/>
        <v>7900.202955</v>
      </c>
    </row>
    <row r="8" ht="15.75" customHeight="1">
      <c r="A8" s="8"/>
      <c r="B8" s="147" t="s">
        <v>32</v>
      </c>
      <c r="C8" s="147" t="s">
        <v>33</v>
      </c>
      <c r="D8" s="203" t="s">
        <v>36</v>
      </c>
      <c r="E8" s="147" t="s">
        <v>37</v>
      </c>
      <c r="F8" s="44" t="s">
        <v>38</v>
      </c>
      <c r="G8" s="47" t="s">
        <v>161</v>
      </c>
      <c r="H8" s="47" t="s">
        <v>162</v>
      </c>
      <c r="I8" s="44" t="s">
        <v>163</v>
      </c>
      <c r="J8" s="44" t="s">
        <v>164</v>
      </c>
      <c r="K8" s="44" t="s">
        <v>254</v>
      </c>
      <c r="L8" s="44" t="s">
        <v>166</v>
      </c>
      <c r="M8" s="204" t="s">
        <v>32</v>
      </c>
      <c r="N8" s="204" t="s">
        <v>33</v>
      </c>
      <c r="O8" s="204" t="s">
        <v>36</v>
      </c>
      <c r="P8" s="204" t="s">
        <v>37</v>
      </c>
      <c r="Q8" s="44" t="s">
        <v>38</v>
      </c>
      <c r="R8" s="205" t="s">
        <v>161</v>
      </c>
      <c r="S8" s="47" t="s">
        <v>255</v>
      </c>
      <c r="T8" s="44" t="s">
        <v>163</v>
      </c>
      <c r="U8" s="44" t="s">
        <v>164</v>
      </c>
      <c r="V8" s="44" t="s">
        <v>254</v>
      </c>
      <c r="W8" s="44" t="s">
        <v>166</v>
      </c>
      <c r="Y8" s="2" t="s">
        <v>40</v>
      </c>
      <c r="Z8" s="55">
        <v>6062.825000000001</v>
      </c>
      <c r="AA8" s="55">
        <v>5450.1</v>
      </c>
      <c r="AB8" s="66">
        <f t="shared" si="1"/>
        <v>-0.1010626234</v>
      </c>
      <c r="AC8" s="229">
        <v>4168.594999999999</v>
      </c>
      <c r="AD8" s="229">
        <v>6082.42</v>
      </c>
      <c r="AE8" s="66">
        <f t="shared" si="2"/>
        <v>0.459105526</v>
      </c>
      <c r="AF8" s="2" t="s">
        <v>40</v>
      </c>
      <c r="AG8" s="229">
        <v>5010.82</v>
      </c>
      <c r="AH8" s="274">
        <f t="shared" si="3"/>
        <v>4504.413385</v>
      </c>
      <c r="AI8" s="75"/>
      <c r="AJ8" s="229">
        <v>5423.01</v>
      </c>
      <c r="AK8" s="274">
        <f t="shared" si="4"/>
        <v>7912.743858</v>
      </c>
    </row>
    <row r="9" ht="15.75" customHeight="1">
      <c r="A9" s="8"/>
      <c r="B9" s="207">
        <v>46235.0</v>
      </c>
      <c r="C9" s="208" t="str">
        <f t="shared" ref="C9:C39" si="6">TEXT(B9,"ddd")</f>
        <v>sáb.</v>
      </c>
      <c r="D9" s="341">
        <v>29000.0</v>
      </c>
      <c r="E9" s="209">
        <f>28964</f>
        <v>28964</v>
      </c>
      <c r="F9" s="412">
        <f t="shared" ref="F9:F39" si="7">E9-D9</f>
        <v>-36</v>
      </c>
      <c r="G9" s="210">
        <v>99.0</v>
      </c>
      <c r="H9" s="265">
        <f t="shared" ref="H9:H39" si="8">E9/G9</f>
        <v>292.5656566</v>
      </c>
      <c r="I9" s="363">
        <v>28.0</v>
      </c>
      <c r="J9" s="413">
        <f>8.5+68.5</f>
        <v>77</v>
      </c>
      <c r="K9" s="363">
        <v>55.0</v>
      </c>
      <c r="L9" s="364">
        <f t="shared" ref="L9:L39" si="9">I9+J9+K9</f>
        <v>160</v>
      </c>
      <c r="M9" s="350">
        <f t="shared" ref="M9:N9" si="5">B9</f>
        <v>46235</v>
      </c>
      <c r="N9" s="204" t="str">
        <f t="shared" si="5"/>
        <v>sáb.</v>
      </c>
      <c r="O9" s="351">
        <v>12500.0</v>
      </c>
      <c r="P9" s="213">
        <f>13461.7-969.17</f>
        <v>12492.53</v>
      </c>
      <c r="Q9" s="51">
        <f t="shared" ref="Q9:Q39" si="11">P9-O9</f>
        <v>-7.47</v>
      </c>
      <c r="R9" s="217">
        <v>67.0</v>
      </c>
      <c r="S9" s="414">
        <f t="shared" ref="S9:S23" si="12">P9/R9</f>
        <v>186.4556716</v>
      </c>
      <c r="T9" s="217">
        <v>24.0</v>
      </c>
      <c r="U9" s="291">
        <f>6+36</f>
        <v>42</v>
      </c>
      <c r="V9" s="217">
        <v>28.0</v>
      </c>
      <c r="W9" s="291">
        <f t="shared" ref="W9:W39" si="13">T9+U9+V9</f>
        <v>94</v>
      </c>
      <c r="Y9" s="2" t="s">
        <v>47</v>
      </c>
      <c r="Z9" s="55">
        <v>6195.1050000000005</v>
      </c>
      <c r="AA9" s="55">
        <v>5434.13</v>
      </c>
      <c r="AB9" s="66">
        <f t="shared" si="1"/>
        <v>-0.1228348833</v>
      </c>
      <c r="AC9" s="229">
        <v>5183.4375</v>
      </c>
      <c r="AD9" s="229">
        <v>5086.32</v>
      </c>
      <c r="AE9" s="66">
        <f t="shared" si="2"/>
        <v>-0.01873611865</v>
      </c>
      <c r="AF9" s="2" t="s">
        <v>47</v>
      </c>
      <c r="AG9" s="229">
        <v>4491.8</v>
      </c>
      <c r="AH9" s="274">
        <f t="shared" si="3"/>
        <v>3940.050271</v>
      </c>
      <c r="AI9" s="75"/>
      <c r="AJ9" s="229">
        <v>4676.16</v>
      </c>
      <c r="AK9" s="274">
        <f t="shared" si="4"/>
        <v>4588.546911</v>
      </c>
    </row>
    <row r="10" ht="15.75" customHeight="1">
      <c r="A10" s="8"/>
      <c r="B10" s="207">
        <v>46236.0</v>
      </c>
      <c r="C10" s="208" t="str">
        <f t="shared" si="6"/>
        <v>dom.</v>
      </c>
      <c r="D10" s="341">
        <v>24000.0</v>
      </c>
      <c r="E10" s="209">
        <f>25934</f>
        <v>25934</v>
      </c>
      <c r="F10" s="412">
        <f t="shared" si="7"/>
        <v>1934</v>
      </c>
      <c r="G10" s="210">
        <v>94.0</v>
      </c>
      <c r="H10" s="265">
        <f t="shared" si="8"/>
        <v>275.893617</v>
      </c>
      <c r="I10" s="363">
        <f>26</f>
        <v>26</v>
      </c>
      <c r="J10" s="413">
        <f>6.5+53.5</f>
        <v>60</v>
      </c>
      <c r="K10" s="364">
        <f>65</f>
        <v>65</v>
      </c>
      <c r="L10" s="364">
        <f t="shared" si="9"/>
        <v>151</v>
      </c>
      <c r="M10" s="350">
        <f t="shared" ref="M10:N10" si="10">B10</f>
        <v>46236</v>
      </c>
      <c r="N10" s="204" t="str">
        <f t="shared" si="10"/>
        <v>dom.</v>
      </c>
      <c r="O10" s="351">
        <v>19700.0</v>
      </c>
      <c r="P10" s="213">
        <f>21511.44-1731.82</f>
        <v>19779.62</v>
      </c>
      <c r="Q10" s="51">
        <f t="shared" si="11"/>
        <v>79.62</v>
      </c>
      <c r="R10" s="217">
        <v>128.0</v>
      </c>
      <c r="S10" s="414">
        <f t="shared" si="12"/>
        <v>154.5282813</v>
      </c>
      <c r="T10" s="291">
        <f>42</f>
        <v>42</v>
      </c>
      <c r="U10" s="291">
        <f>8+80</f>
        <v>88</v>
      </c>
      <c r="V10" s="291">
        <f>27</f>
        <v>27</v>
      </c>
      <c r="W10" s="291">
        <f t="shared" si="13"/>
        <v>157</v>
      </c>
      <c r="Y10" s="2" t="s">
        <v>48</v>
      </c>
      <c r="Z10" s="55">
        <v>10387.4</v>
      </c>
      <c r="AA10" s="55">
        <v>10944.55</v>
      </c>
      <c r="AB10" s="66">
        <f t="shared" si="1"/>
        <v>0.05363709879</v>
      </c>
      <c r="AC10" s="229">
        <v>10702.8325</v>
      </c>
      <c r="AD10" s="229">
        <v>11651.22</v>
      </c>
      <c r="AE10" s="66">
        <f t="shared" si="2"/>
        <v>0.08861088875</v>
      </c>
      <c r="AF10" s="2" t="s">
        <v>48</v>
      </c>
      <c r="AG10" s="229">
        <v>12402.16</v>
      </c>
      <c r="AH10" s="274">
        <f t="shared" si="3"/>
        <v>13067.37588</v>
      </c>
      <c r="AI10" s="75"/>
      <c r="AJ10" s="229">
        <v>8692.46</v>
      </c>
      <c r="AK10" s="274">
        <f t="shared" si="4"/>
        <v>9462.706606</v>
      </c>
    </row>
    <row r="11" ht="15.75" customHeight="1">
      <c r="A11" s="8"/>
      <c r="B11" s="207">
        <v>46237.0</v>
      </c>
      <c r="C11" s="208" t="str">
        <f t="shared" si="6"/>
        <v>seg.</v>
      </c>
      <c r="D11" s="341">
        <v>9000.0</v>
      </c>
      <c r="E11" s="209">
        <f>9146.6</f>
        <v>9146.6</v>
      </c>
      <c r="F11" s="412">
        <f t="shared" si="7"/>
        <v>146.6</v>
      </c>
      <c r="G11" s="210">
        <v>34.0</v>
      </c>
      <c r="H11" s="265">
        <f t="shared" si="8"/>
        <v>269.0176471</v>
      </c>
      <c r="I11" s="363">
        <v>7.0</v>
      </c>
      <c r="J11" s="413">
        <f>3.5+25.5</f>
        <v>29</v>
      </c>
      <c r="K11" s="363">
        <v>17.0</v>
      </c>
      <c r="L11" s="364">
        <f t="shared" si="9"/>
        <v>53</v>
      </c>
      <c r="M11" s="350">
        <f t="shared" ref="M11:N11" si="14">B11</f>
        <v>46237</v>
      </c>
      <c r="N11" s="204" t="str">
        <f t="shared" si="14"/>
        <v>seg.</v>
      </c>
      <c r="O11" s="351">
        <v>4000.0</v>
      </c>
      <c r="P11" s="213">
        <f>3921.48-153.39</f>
        <v>3768.09</v>
      </c>
      <c r="Q11" s="51">
        <f t="shared" si="11"/>
        <v>-231.91</v>
      </c>
      <c r="R11" s="217">
        <v>26.0</v>
      </c>
      <c r="S11" s="414">
        <f t="shared" si="12"/>
        <v>144.9265385</v>
      </c>
      <c r="T11" s="217">
        <v>9.0</v>
      </c>
      <c r="U11" s="291">
        <f>2+16</f>
        <v>18</v>
      </c>
      <c r="V11" s="217">
        <v>2.0</v>
      </c>
      <c r="W11" s="291">
        <f t="shared" si="13"/>
        <v>29</v>
      </c>
      <c r="Y11" s="2" t="s">
        <v>171</v>
      </c>
      <c r="Z11" s="55">
        <v>16307.732500000002</v>
      </c>
      <c r="AA11" s="55">
        <v>18139.43</v>
      </c>
      <c r="AB11" s="66">
        <f t="shared" si="1"/>
        <v>0.1123207963</v>
      </c>
      <c r="AC11" s="229">
        <v>13893.575</v>
      </c>
      <c r="AD11" s="229">
        <v>13900.58</v>
      </c>
      <c r="AE11" s="66">
        <f t="shared" si="2"/>
        <v>0.0005041898863</v>
      </c>
      <c r="AF11" s="2" t="s">
        <v>171</v>
      </c>
      <c r="AG11" s="229">
        <v>21497.4</v>
      </c>
      <c r="AH11" s="274">
        <f t="shared" si="3"/>
        <v>23912.00509</v>
      </c>
      <c r="AI11" s="75"/>
      <c r="AJ11" s="229">
        <v>12983.64</v>
      </c>
      <c r="AK11" s="274">
        <f t="shared" si="4"/>
        <v>12990.18622</v>
      </c>
    </row>
    <row r="12" ht="15.75" customHeight="1">
      <c r="A12" s="8"/>
      <c r="B12" s="207">
        <v>46238.0</v>
      </c>
      <c r="C12" s="208" t="str">
        <f t="shared" si="6"/>
        <v>ter.</v>
      </c>
      <c r="D12" s="341">
        <v>16000.0</v>
      </c>
      <c r="E12" s="209">
        <f>15064</f>
        <v>15064</v>
      </c>
      <c r="F12" s="412">
        <f t="shared" si="7"/>
        <v>-936</v>
      </c>
      <c r="G12" s="210">
        <v>63.0</v>
      </c>
      <c r="H12" s="265">
        <f t="shared" si="8"/>
        <v>239.1111111</v>
      </c>
      <c r="I12" s="363">
        <v>16.0</v>
      </c>
      <c r="J12" s="413">
        <f>4.5+38.5</f>
        <v>43</v>
      </c>
      <c r="K12" s="363">
        <v>25.0</v>
      </c>
      <c r="L12" s="364">
        <f t="shared" si="9"/>
        <v>84</v>
      </c>
      <c r="M12" s="350">
        <f t="shared" ref="M12:N12" si="15">B12</f>
        <v>46238</v>
      </c>
      <c r="N12" s="204" t="str">
        <f t="shared" si="15"/>
        <v>ter.</v>
      </c>
      <c r="O12" s="351">
        <v>5100.0</v>
      </c>
      <c r="P12" s="213">
        <f>7205.03-537.96</f>
        <v>6667.07</v>
      </c>
      <c r="Q12" s="51">
        <f t="shared" si="11"/>
        <v>1567.07</v>
      </c>
      <c r="R12" s="217">
        <v>42.0</v>
      </c>
      <c r="S12" s="414">
        <f t="shared" si="12"/>
        <v>158.7397619</v>
      </c>
      <c r="T12" s="217">
        <v>7.0</v>
      </c>
      <c r="U12" s="291">
        <f>9+30</f>
        <v>39</v>
      </c>
      <c r="V12" s="217">
        <v>7.0</v>
      </c>
      <c r="W12" s="291">
        <f t="shared" si="13"/>
        <v>53</v>
      </c>
      <c r="Y12" s="2" t="s">
        <v>44</v>
      </c>
      <c r="Z12" s="55">
        <v>14307.8</v>
      </c>
      <c r="AA12" s="55">
        <v>18056.14</v>
      </c>
      <c r="AB12" s="66">
        <f t="shared" si="1"/>
        <v>0.2619787808</v>
      </c>
      <c r="AC12" s="229">
        <v>20893.4225</v>
      </c>
      <c r="AD12" s="229">
        <v>19750.29</v>
      </c>
      <c r="AE12" s="66">
        <f t="shared" si="2"/>
        <v>-0.05471255368</v>
      </c>
      <c r="AF12" s="2" t="s">
        <v>44</v>
      </c>
      <c r="AG12" s="229">
        <v>19314.34</v>
      </c>
      <c r="AH12" s="274">
        <f t="shared" si="3"/>
        <v>24374.28725</v>
      </c>
      <c r="AI12" s="75"/>
      <c r="AJ12" s="229">
        <v>16807.18</v>
      </c>
      <c r="AK12" s="274">
        <f t="shared" si="4"/>
        <v>15887.61626</v>
      </c>
    </row>
    <row r="13" ht="15.75" customHeight="1">
      <c r="A13" s="8"/>
      <c r="B13" s="207">
        <v>46239.0</v>
      </c>
      <c r="C13" s="208" t="str">
        <f t="shared" si="6"/>
        <v>qua.</v>
      </c>
      <c r="D13" s="341">
        <v>7000.0</v>
      </c>
      <c r="E13" s="209">
        <f>15796.4</f>
        <v>15796.4</v>
      </c>
      <c r="F13" s="412">
        <f t="shared" si="7"/>
        <v>8796.4</v>
      </c>
      <c r="G13" s="210">
        <v>61.0</v>
      </c>
      <c r="H13" s="265">
        <f t="shared" si="8"/>
        <v>258.957377</v>
      </c>
      <c r="I13" s="363">
        <v>28.0</v>
      </c>
      <c r="J13" s="413">
        <f>3.5+21.5</f>
        <v>25</v>
      </c>
      <c r="K13" s="363">
        <v>41.0</v>
      </c>
      <c r="L13" s="364">
        <f t="shared" si="9"/>
        <v>94</v>
      </c>
      <c r="M13" s="350">
        <f t="shared" ref="M13:N13" si="16">B13</f>
        <v>46239</v>
      </c>
      <c r="N13" s="204" t="str">
        <f t="shared" si="16"/>
        <v>qua.</v>
      </c>
      <c r="O13" s="351">
        <v>4500.0</v>
      </c>
      <c r="P13" s="213">
        <f>3854.62-168.28</f>
        <v>3686.34</v>
      </c>
      <c r="Q13" s="51">
        <f t="shared" si="11"/>
        <v>-813.66</v>
      </c>
      <c r="R13" s="217">
        <v>31.0</v>
      </c>
      <c r="S13" s="414">
        <f t="shared" si="12"/>
        <v>118.9141935</v>
      </c>
      <c r="T13" s="217">
        <v>8.0</v>
      </c>
      <c r="U13" s="291">
        <f>3+12</f>
        <v>15</v>
      </c>
      <c r="V13" s="217">
        <v>4.0</v>
      </c>
      <c r="W13" s="291">
        <f t="shared" si="13"/>
        <v>27</v>
      </c>
      <c r="Z13" s="167">
        <f t="shared" ref="Z13:AA13" si="17">SUM(Z6:Z12)</f>
        <v>60351.0825</v>
      </c>
      <c r="AA13" s="167">
        <f t="shared" si="17"/>
        <v>68546.17</v>
      </c>
      <c r="AB13" s="61"/>
      <c r="AC13" s="167">
        <f t="shared" ref="AC13:AD13" si="18">SUM(AC6:AC12)</f>
        <v>62791.98</v>
      </c>
      <c r="AD13" s="167">
        <f t="shared" si="18"/>
        <v>69649.96</v>
      </c>
      <c r="AE13" s="61"/>
      <c r="AG13" s="167">
        <f t="shared" ref="AG13:AH13" si="19">SUM(AG6:AG12)</f>
        <v>72213.33</v>
      </c>
      <c r="AH13" s="167">
        <f t="shared" si="19"/>
        <v>83978.88253</v>
      </c>
      <c r="AI13" s="61"/>
      <c r="AJ13" s="167">
        <f t="shared" ref="AJ13:AK13" si="20">SUM(AJ6:AJ12)</f>
        <v>56545.19</v>
      </c>
      <c r="AK13" s="167">
        <f t="shared" si="20"/>
        <v>64116.12931</v>
      </c>
    </row>
    <row r="14" ht="15.75" customHeight="1">
      <c r="A14" s="8"/>
      <c r="B14" s="207">
        <v>46240.0</v>
      </c>
      <c r="C14" s="208" t="str">
        <f t="shared" si="6"/>
        <v>qui.</v>
      </c>
      <c r="D14" s="341">
        <v>13000.0</v>
      </c>
      <c r="E14" s="209">
        <f>10772.5</f>
        <v>10772.5</v>
      </c>
      <c r="F14" s="412">
        <f t="shared" si="7"/>
        <v>-2227.5</v>
      </c>
      <c r="G14" s="210">
        <v>39.0</v>
      </c>
      <c r="H14" s="265">
        <f t="shared" si="8"/>
        <v>276.2179487</v>
      </c>
      <c r="I14" s="363">
        <v>7.0</v>
      </c>
      <c r="J14" s="413">
        <f>2.5+25.5</f>
        <v>28</v>
      </c>
      <c r="K14" s="363">
        <v>22.0</v>
      </c>
      <c r="L14" s="364">
        <f t="shared" si="9"/>
        <v>57</v>
      </c>
      <c r="M14" s="350">
        <f t="shared" ref="M14:N14" si="21">B14</f>
        <v>46240</v>
      </c>
      <c r="N14" s="204" t="str">
        <f t="shared" si="21"/>
        <v>qui.</v>
      </c>
      <c r="O14" s="351">
        <v>6600.0</v>
      </c>
      <c r="P14" s="213">
        <f>4624.31-226.25</f>
        <v>4398.06</v>
      </c>
      <c r="Q14" s="51">
        <f t="shared" si="11"/>
        <v>-2201.94</v>
      </c>
      <c r="R14" s="217">
        <v>36.0</v>
      </c>
      <c r="S14" s="414">
        <f t="shared" si="12"/>
        <v>122.1683333</v>
      </c>
      <c r="T14" s="217">
        <v>12.0</v>
      </c>
      <c r="U14" s="291">
        <f>1.5+14.5</f>
        <v>16</v>
      </c>
      <c r="V14" s="217">
        <v>7.0</v>
      </c>
      <c r="W14" s="291">
        <f t="shared" si="13"/>
        <v>35</v>
      </c>
      <c r="AA14" s="66">
        <f>AA13/Z13-1</f>
        <v>0.1357902321</v>
      </c>
      <c r="AD14" s="66">
        <f>AD13/AC13-1</f>
        <v>0.109217451</v>
      </c>
      <c r="AH14" s="66">
        <f>AH13/AG13-1</f>
        <v>0.1629277105</v>
      </c>
      <c r="AK14" s="66">
        <f>AK13/AJ13-1</f>
        <v>0.133891836</v>
      </c>
    </row>
    <row r="15" ht="15.75" customHeight="1">
      <c r="A15" s="8"/>
      <c r="B15" s="207">
        <v>46241.0</v>
      </c>
      <c r="C15" s="208" t="str">
        <f t="shared" si="6"/>
        <v>sex.</v>
      </c>
      <c r="D15" s="341">
        <v>20000.0</v>
      </c>
      <c r="E15" s="209">
        <f>15949.6-301</f>
        <v>15648.6</v>
      </c>
      <c r="F15" s="412">
        <f t="shared" si="7"/>
        <v>-4351.4</v>
      </c>
      <c r="G15" s="210">
        <v>81.0</v>
      </c>
      <c r="H15" s="265">
        <f t="shared" si="8"/>
        <v>193.1925926</v>
      </c>
      <c r="I15" s="363">
        <v>19.0</v>
      </c>
      <c r="J15" s="413">
        <f>3+36</f>
        <v>39</v>
      </c>
      <c r="K15" s="363">
        <v>30.0</v>
      </c>
      <c r="L15" s="364">
        <f t="shared" si="9"/>
        <v>88</v>
      </c>
      <c r="M15" s="350">
        <f t="shared" ref="M15:N15" si="22">B15</f>
        <v>46241</v>
      </c>
      <c r="N15" s="204" t="str">
        <f t="shared" si="22"/>
        <v>sex.</v>
      </c>
      <c r="O15" s="351">
        <v>8700.0</v>
      </c>
      <c r="P15" s="213">
        <f>10899.92-802.05</f>
        <v>10097.87</v>
      </c>
      <c r="Q15" s="51">
        <f t="shared" si="11"/>
        <v>1397.87</v>
      </c>
      <c r="R15" s="217">
        <v>60.0</v>
      </c>
      <c r="S15" s="414">
        <f t="shared" si="12"/>
        <v>168.2978333</v>
      </c>
      <c r="T15" s="217">
        <v>13.0</v>
      </c>
      <c r="U15" s="291">
        <f>6+38</f>
        <v>44</v>
      </c>
      <c r="V15" s="217">
        <v>18.0</v>
      </c>
      <c r="W15" s="291">
        <f t="shared" si="13"/>
        <v>75</v>
      </c>
    </row>
    <row r="16" ht="15.75" customHeight="1">
      <c r="A16" s="8"/>
      <c r="B16" s="207">
        <v>46242.0</v>
      </c>
      <c r="C16" s="208" t="str">
        <f t="shared" si="6"/>
        <v>sáb.</v>
      </c>
      <c r="D16" s="341">
        <f>29000*10%+29000</f>
        <v>31900</v>
      </c>
      <c r="E16" s="209">
        <f>29483.04-3320</f>
        <v>26163.04</v>
      </c>
      <c r="F16" s="412">
        <f t="shared" si="7"/>
        <v>-5736.96</v>
      </c>
      <c r="G16" s="210">
        <v>113.0</v>
      </c>
      <c r="H16" s="265">
        <f t="shared" si="8"/>
        <v>231.5313274</v>
      </c>
      <c r="I16" s="363">
        <v>29.0</v>
      </c>
      <c r="J16" s="413">
        <f>11.5+56.5</f>
        <v>68</v>
      </c>
      <c r="K16" s="363">
        <v>57.0</v>
      </c>
      <c r="L16" s="364">
        <f t="shared" si="9"/>
        <v>154</v>
      </c>
      <c r="M16" s="350">
        <f t="shared" ref="M16:N16" si="23">B16</f>
        <v>46242</v>
      </c>
      <c r="N16" s="204" t="str">
        <f t="shared" si="23"/>
        <v>sáb.</v>
      </c>
      <c r="O16" s="351">
        <f>12500*15%+12500</f>
        <v>14375</v>
      </c>
      <c r="P16" s="213">
        <f>12993.53-814.53</f>
        <v>12179</v>
      </c>
      <c r="Q16" s="51">
        <f t="shared" si="11"/>
        <v>-2196</v>
      </c>
      <c r="R16" s="217">
        <v>70.0</v>
      </c>
      <c r="S16" s="414">
        <f t="shared" si="12"/>
        <v>173.9857143</v>
      </c>
      <c r="T16" s="217">
        <v>17.0</v>
      </c>
      <c r="U16" s="291">
        <f>6.5+43.5</f>
        <v>50</v>
      </c>
      <c r="V16" s="217">
        <v>19.0</v>
      </c>
      <c r="W16" s="291">
        <f t="shared" si="13"/>
        <v>86</v>
      </c>
    </row>
    <row r="17" ht="15.75" customHeight="1">
      <c r="A17" s="8"/>
      <c r="B17" s="207">
        <v>46243.0</v>
      </c>
      <c r="C17" s="208" t="str">
        <f t="shared" si="6"/>
        <v>dom.</v>
      </c>
      <c r="D17" s="341">
        <f>24000*10%+24000</f>
        <v>26400</v>
      </c>
      <c r="E17" s="209">
        <f>25228.1</f>
        <v>25228.1</v>
      </c>
      <c r="F17" s="412">
        <f t="shared" si="7"/>
        <v>-1171.9</v>
      </c>
      <c r="G17" s="210">
        <v>107.0</v>
      </c>
      <c r="H17" s="265">
        <f t="shared" si="8"/>
        <v>235.7766355</v>
      </c>
      <c r="I17" s="363">
        <v>23.0</v>
      </c>
      <c r="J17" s="413">
        <f>7.5+61.5</f>
        <v>69</v>
      </c>
      <c r="K17" s="363">
        <v>52.0</v>
      </c>
      <c r="L17" s="364">
        <f t="shared" si="9"/>
        <v>144</v>
      </c>
      <c r="M17" s="350">
        <f t="shared" ref="M17:N17" si="24">B17</f>
        <v>46243</v>
      </c>
      <c r="N17" s="204" t="str">
        <f t="shared" si="24"/>
        <v>dom.</v>
      </c>
      <c r="O17" s="351">
        <f>19700*15%+19700</f>
        <v>22655</v>
      </c>
      <c r="P17" s="213">
        <f>26920.3-1897.2</f>
        <v>25023.1</v>
      </c>
      <c r="Q17" s="51">
        <f t="shared" si="11"/>
        <v>2368.1</v>
      </c>
      <c r="R17" s="217">
        <v>142.0</v>
      </c>
      <c r="S17" s="414">
        <f t="shared" si="12"/>
        <v>176.2190141</v>
      </c>
      <c r="T17" s="217">
        <v>47.0</v>
      </c>
      <c r="U17" s="291">
        <f>15.5+70.5</f>
        <v>86</v>
      </c>
      <c r="V17" s="217">
        <v>56.0</v>
      </c>
      <c r="W17" s="291">
        <f t="shared" si="13"/>
        <v>189</v>
      </c>
    </row>
    <row r="18" ht="15.75" customHeight="1">
      <c r="A18" s="8"/>
      <c r="B18" s="207">
        <v>46244.0</v>
      </c>
      <c r="C18" s="208" t="str">
        <f t="shared" si="6"/>
        <v>seg.</v>
      </c>
      <c r="D18" s="341">
        <v>9000.0</v>
      </c>
      <c r="E18" s="209">
        <f>8567</f>
        <v>8567</v>
      </c>
      <c r="F18" s="412">
        <f t="shared" si="7"/>
        <v>-433</v>
      </c>
      <c r="G18" s="210">
        <v>32.0</v>
      </c>
      <c r="H18" s="265">
        <f t="shared" si="8"/>
        <v>267.71875</v>
      </c>
      <c r="I18" s="363">
        <v>7.0</v>
      </c>
      <c r="J18" s="413">
        <f>4.5+19.5</f>
        <v>24</v>
      </c>
      <c r="K18" s="363">
        <v>16.0</v>
      </c>
      <c r="L18" s="364">
        <f t="shared" si="9"/>
        <v>47</v>
      </c>
      <c r="M18" s="350">
        <f t="shared" ref="M18:N18" si="25">B18</f>
        <v>46244</v>
      </c>
      <c r="N18" s="204" t="str">
        <f t="shared" si="25"/>
        <v>seg.</v>
      </c>
      <c r="O18" s="351">
        <v>4000.0</v>
      </c>
      <c r="P18" s="213">
        <f>4624.81-239.79</f>
        <v>4385.02</v>
      </c>
      <c r="Q18" s="51">
        <f t="shared" si="11"/>
        <v>385.02</v>
      </c>
      <c r="R18" s="217">
        <v>31.0</v>
      </c>
      <c r="S18" s="414">
        <f t="shared" si="12"/>
        <v>141.4522581</v>
      </c>
      <c r="T18" s="217">
        <v>7.0</v>
      </c>
      <c r="U18" s="291">
        <f>6.5+9.5</f>
        <v>16</v>
      </c>
      <c r="V18" s="217">
        <v>11.0</v>
      </c>
      <c r="W18" s="291">
        <f t="shared" si="13"/>
        <v>34</v>
      </c>
    </row>
    <row r="19" ht="15.75" customHeight="1">
      <c r="A19" s="8"/>
      <c r="B19" s="207">
        <v>46245.0</v>
      </c>
      <c r="C19" s="208" t="str">
        <f t="shared" si="6"/>
        <v>ter.</v>
      </c>
      <c r="D19" s="341">
        <v>10500.0</v>
      </c>
      <c r="E19" s="341">
        <v>10922.5</v>
      </c>
      <c r="F19" s="51">
        <f t="shared" si="7"/>
        <v>422.5</v>
      </c>
      <c r="G19" s="210">
        <v>39.0</v>
      </c>
      <c r="H19" s="265">
        <f t="shared" si="8"/>
        <v>280.0641026</v>
      </c>
      <c r="I19" s="363">
        <v>7.0</v>
      </c>
      <c r="J19" s="413">
        <f>5.5+19.5</f>
        <v>25</v>
      </c>
      <c r="K19" s="363">
        <v>29.0</v>
      </c>
      <c r="L19" s="364">
        <f t="shared" si="9"/>
        <v>61</v>
      </c>
      <c r="M19" s="350">
        <f t="shared" ref="M19:N19" si="26">B19</f>
        <v>46245</v>
      </c>
      <c r="N19" s="204" t="str">
        <f t="shared" si="26"/>
        <v>ter.</v>
      </c>
      <c r="O19" s="351">
        <v>5100.0</v>
      </c>
      <c r="P19" s="213">
        <f>7893.07-604.37</f>
        <v>7288.7</v>
      </c>
      <c r="Q19" s="51">
        <f t="shared" si="11"/>
        <v>2188.7</v>
      </c>
      <c r="R19" s="217">
        <v>50.0</v>
      </c>
      <c r="S19" s="414">
        <f t="shared" si="12"/>
        <v>145.774</v>
      </c>
      <c r="T19" s="217">
        <v>12.0</v>
      </c>
      <c r="U19" s="291">
        <f>13.5+33.5</f>
        <v>47</v>
      </c>
      <c r="V19" s="217">
        <v>4.0</v>
      </c>
      <c r="W19" s="291">
        <f t="shared" si="13"/>
        <v>63</v>
      </c>
      <c r="AA19" s="70"/>
      <c r="AB19" s="71" t="s">
        <v>52</v>
      </c>
      <c r="AC19" s="72"/>
      <c r="AD19" s="73" t="s">
        <v>53</v>
      </c>
      <c r="AH19" s="317"/>
      <c r="AI19" s="271"/>
      <c r="AJ19" s="317"/>
      <c r="AK19" s="317"/>
    </row>
    <row r="20" ht="15.75" customHeight="1">
      <c r="A20" s="8"/>
      <c r="B20" s="207">
        <v>46246.0</v>
      </c>
      <c r="C20" s="208" t="str">
        <f t="shared" si="6"/>
        <v>qua.</v>
      </c>
      <c r="D20" s="341">
        <v>7000.0</v>
      </c>
      <c r="E20" s="341">
        <v>5666.5</v>
      </c>
      <c r="F20" s="51">
        <f t="shared" si="7"/>
        <v>-1333.5</v>
      </c>
      <c r="G20" s="210">
        <v>24.0</v>
      </c>
      <c r="H20" s="265">
        <f t="shared" si="8"/>
        <v>236.1041667</v>
      </c>
      <c r="I20" s="363">
        <v>6.0</v>
      </c>
      <c r="J20" s="413">
        <f>14.5+1.5</f>
        <v>16</v>
      </c>
      <c r="K20" s="363">
        <v>10.0</v>
      </c>
      <c r="L20" s="364">
        <f t="shared" si="9"/>
        <v>32</v>
      </c>
      <c r="M20" s="350">
        <f t="shared" ref="M20:N20" si="27">B20</f>
        <v>46246</v>
      </c>
      <c r="N20" s="204" t="str">
        <f t="shared" si="27"/>
        <v>qua.</v>
      </c>
      <c r="O20" s="351">
        <v>4500.0</v>
      </c>
      <c r="P20" s="351">
        <f>5077.62-366.23</f>
        <v>4711.39</v>
      </c>
      <c r="Q20" s="51">
        <f t="shared" si="11"/>
        <v>211.39</v>
      </c>
      <c r="R20" s="217">
        <v>32.0</v>
      </c>
      <c r="S20" s="414">
        <f t="shared" si="12"/>
        <v>147.2309375</v>
      </c>
      <c r="T20" s="217">
        <v>9.0</v>
      </c>
      <c r="U20" s="217">
        <f>17+4</f>
        <v>21</v>
      </c>
      <c r="V20" s="217">
        <v>6.0</v>
      </c>
      <c r="W20" s="291">
        <f t="shared" si="13"/>
        <v>36</v>
      </c>
      <c r="AA20" s="74" t="s">
        <v>29</v>
      </c>
      <c r="AB20" s="386">
        <v>525000.0</v>
      </c>
      <c r="AC20" s="2" t="s">
        <v>29</v>
      </c>
      <c r="AD20" s="365">
        <v>285000.0</v>
      </c>
      <c r="AH20" s="317"/>
      <c r="AI20" s="271"/>
      <c r="AJ20" s="271"/>
      <c r="AK20" s="366"/>
    </row>
    <row r="21" ht="15.75" customHeight="1">
      <c r="A21" s="8"/>
      <c r="B21" s="207">
        <v>46247.0</v>
      </c>
      <c r="C21" s="208" t="str">
        <f t="shared" si="6"/>
        <v>qui.</v>
      </c>
      <c r="D21" s="341">
        <v>13000.0</v>
      </c>
      <c r="E21" s="341">
        <v>6285.5</v>
      </c>
      <c r="F21" s="51">
        <f t="shared" si="7"/>
        <v>-6714.5</v>
      </c>
      <c r="G21" s="210">
        <v>28.0</v>
      </c>
      <c r="H21" s="265">
        <f t="shared" si="8"/>
        <v>224.4821429</v>
      </c>
      <c r="I21" s="363">
        <v>12.0</v>
      </c>
      <c r="J21" s="413">
        <f>15+2</f>
        <v>17</v>
      </c>
      <c r="K21" s="363">
        <v>8.0</v>
      </c>
      <c r="L21" s="364">
        <f t="shared" si="9"/>
        <v>37</v>
      </c>
      <c r="M21" s="350">
        <f t="shared" ref="M21:N21" si="28">B21</f>
        <v>46247</v>
      </c>
      <c r="N21" s="204" t="str">
        <f t="shared" si="28"/>
        <v>qui.</v>
      </c>
      <c r="O21" s="351">
        <v>6600.0</v>
      </c>
      <c r="P21" s="351">
        <f>4429.39-313.47</f>
        <v>4115.92</v>
      </c>
      <c r="Q21" s="51">
        <f t="shared" si="11"/>
        <v>-2484.08</v>
      </c>
      <c r="R21" s="217">
        <v>31.0</v>
      </c>
      <c r="S21" s="414">
        <f t="shared" si="12"/>
        <v>132.7716129</v>
      </c>
      <c r="T21" s="363">
        <v>7.0</v>
      </c>
      <c r="U21" s="364">
        <f>6+14</f>
        <v>20</v>
      </c>
      <c r="V21" s="363">
        <v>6.0</v>
      </c>
      <c r="W21" s="291">
        <f t="shared" si="13"/>
        <v>33</v>
      </c>
      <c r="AA21" s="74"/>
      <c r="AB21" s="2"/>
      <c r="AC21" s="2"/>
      <c r="AD21" s="77"/>
      <c r="AH21" s="367"/>
      <c r="AI21" s="367"/>
      <c r="AJ21" s="368"/>
      <c r="AK21" s="368"/>
    </row>
    <row r="22" ht="15.75" customHeight="1">
      <c r="A22" s="8"/>
      <c r="B22" s="207">
        <v>46248.0</v>
      </c>
      <c r="C22" s="208" t="str">
        <f t="shared" si="6"/>
        <v>sex.</v>
      </c>
      <c r="D22" s="341">
        <v>20000.0</v>
      </c>
      <c r="E22" s="341">
        <f>18227-441</f>
        <v>17786</v>
      </c>
      <c r="F22" s="51">
        <f t="shared" si="7"/>
        <v>-2214</v>
      </c>
      <c r="G22" s="210">
        <v>83.0</v>
      </c>
      <c r="H22" s="265">
        <f t="shared" si="8"/>
        <v>214.2891566</v>
      </c>
      <c r="I22" s="363">
        <v>17.0</v>
      </c>
      <c r="J22" s="413">
        <f>8+45</f>
        <v>53</v>
      </c>
      <c r="K22" s="363">
        <v>31.0</v>
      </c>
      <c r="L22" s="364">
        <f t="shared" si="9"/>
        <v>101</v>
      </c>
      <c r="M22" s="350">
        <f t="shared" ref="M22:N22" si="29">B22</f>
        <v>46248</v>
      </c>
      <c r="N22" s="204" t="str">
        <f t="shared" si="29"/>
        <v>sex.</v>
      </c>
      <c r="O22" s="351">
        <v>8700.0</v>
      </c>
      <c r="P22" s="351">
        <f>10934.86-880.62</f>
        <v>10054.24</v>
      </c>
      <c r="Q22" s="51">
        <f t="shared" si="11"/>
        <v>1354.24</v>
      </c>
      <c r="R22" s="217">
        <v>68.0</v>
      </c>
      <c r="S22" s="414">
        <f t="shared" si="12"/>
        <v>147.8564706</v>
      </c>
      <c r="T22" s="217">
        <v>22.0</v>
      </c>
      <c r="U22" s="291">
        <f>10.5+28.5</f>
        <v>39</v>
      </c>
      <c r="V22" s="217">
        <v>18.0</v>
      </c>
      <c r="W22" s="291">
        <f t="shared" si="13"/>
        <v>79</v>
      </c>
      <c r="AA22" s="74" t="s">
        <v>58</v>
      </c>
      <c r="AB22" s="75">
        <f>SUM(E9:E15)</f>
        <v>121326.1</v>
      </c>
      <c r="AC22" s="58" t="s">
        <v>58</v>
      </c>
      <c r="AD22" s="76">
        <f>SUM(P9:P15)</f>
        <v>60889.58</v>
      </c>
      <c r="AH22" s="369"/>
      <c r="AI22" s="317"/>
      <c r="AJ22" s="271"/>
      <c r="AK22" s="370"/>
    </row>
    <row r="23" ht="15.75" customHeight="1">
      <c r="A23" s="8"/>
      <c r="B23" s="207">
        <v>46249.0</v>
      </c>
      <c r="C23" s="208" t="str">
        <f t="shared" si="6"/>
        <v>sáb.</v>
      </c>
      <c r="D23" s="341">
        <v>29000.0</v>
      </c>
      <c r="E23" s="341">
        <f>22353.21-20</f>
        <v>22333.21</v>
      </c>
      <c r="F23" s="51">
        <f t="shared" si="7"/>
        <v>-6666.79</v>
      </c>
      <c r="G23" s="210">
        <v>104.0</v>
      </c>
      <c r="H23" s="265">
        <f t="shared" si="8"/>
        <v>214.7424038</v>
      </c>
      <c r="I23" s="363">
        <v>23.0</v>
      </c>
      <c r="J23" s="413">
        <f>8.5+49.5</f>
        <v>58</v>
      </c>
      <c r="K23" s="363">
        <v>44.0</v>
      </c>
      <c r="L23" s="364">
        <f t="shared" si="9"/>
        <v>125</v>
      </c>
      <c r="M23" s="350">
        <f t="shared" ref="M23:N23" si="30">B23</f>
        <v>46249</v>
      </c>
      <c r="N23" s="204" t="str">
        <f t="shared" si="30"/>
        <v>sáb.</v>
      </c>
      <c r="O23" s="351">
        <v>12500.0</v>
      </c>
      <c r="P23" s="213">
        <f>14277.46-1130.13</f>
        <v>13147.33</v>
      </c>
      <c r="Q23" s="51">
        <f t="shared" si="11"/>
        <v>647.33</v>
      </c>
      <c r="R23" s="217">
        <v>84.0</v>
      </c>
      <c r="S23" s="414">
        <f t="shared" si="12"/>
        <v>156.5158333</v>
      </c>
      <c r="T23" s="363">
        <v>20.0</v>
      </c>
      <c r="U23" s="413">
        <f>12.5+47.5</f>
        <v>60</v>
      </c>
      <c r="V23" s="363">
        <v>21.0</v>
      </c>
      <c r="W23" s="291">
        <f t="shared" si="13"/>
        <v>101</v>
      </c>
      <c r="AA23" s="74"/>
      <c r="AB23" s="79">
        <f>AB22/AB20</f>
        <v>0.2310973333</v>
      </c>
      <c r="AD23" s="80">
        <f>AD22/AD20</f>
        <v>0.2136476491</v>
      </c>
      <c r="AE23" s="66"/>
      <c r="AH23" s="317"/>
      <c r="AI23" s="317"/>
      <c r="AJ23" s="271"/>
      <c r="AK23" s="370"/>
    </row>
    <row r="24" ht="15.75" customHeight="1">
      <c r="A24" s="8"/>
      <c r="B24" s="207">
        <v>46250.0</v>
      </c>
      <c r="C24" s="208" t="str">
        <f t="shared" si="6"/>
        <v>dom.</v>
      </c>
      <c r="D24" s="341">
        <v>24000.0</v>
      </c>
      <c r="E24" s="341">
        <v>24106.5</v>
      </c>
      <c r="F24" s="51">
        <f t="shared" si="7"/>
        <v>106.5</v>
      </c>
      <c r="G24" s="210">
        <v>94.0</v>
      </c>
      <c r="H24" s="265">
        <f t="shared" si="8"/>
        <v>256.4521277</v>
      </c>
      <c r="I24" s="363">
        <v>27.0</v>
      </c>
      <c r="J24" s="363">
        <v>46.5</v>
      </c>
      <c r="K24" s="363">
        <v>54.0</v>
      </c>
      <c r="L24" s="364">
        <f t="shared" si="9"/>
        <v>127.5</v>
      </c>
      <c r="M24" s="350">
        <f t="shared" ref="M24:N24" si="31">B24</f>
        <v>46250</v>
      </c>
      <c r="N24" s="204" t="str">
        <f t="shared" si="31"/>
        <v>dom.</v>
      </c>
      <c r="O24" s="351">
        <v>19700.0</v>
      </c>
      <c r="P24" s="213">
        <f>21456.28-1719.68</f>
        <v>19736.6</v>
      </c>
      <c r="Q24" s="51">
        <f t="shared" si="11"/>
        <v>36.6</v>
      </c>
      <c r="R24" s="217">
        <v>119.0</v>
      </c>
      <c r="S24" s="414">
        <f>R24-Q24</f>
        <v>82.4</v>
      </c>
      <c r="T24" s="363">
        <v>36.0</v>
      </c>
      <c r="U24" s="364">
        <f>56+13</f>
        <v>69</v>
      </c>
      <c r="V24" s="363">
        <v>43.0</v>
      </c>
      <c r="W24" s="291">
        <f t="shared" si="13"/>
        <v>148</v>
      </c>
      <c r="AA24" s="74"/>
      <c r="AB24" s="81"/>
      <c r="AD24" s="77"/>
      <c r="AH24" s="369"/>
      <c r="AI24" s="317"/>
      <c r="AJ24" s="271"/>
      <c r="AK24" s="370"/>
    </row>
    <row r="25" ht="15.75" customHeight="1">
      <c r="A25" s="8"/>
      <c r="B25" s="207">
        <v>46251.0</v>
      </c>
      <c r="C25" s="208" t="str">
        <f t="shared" si="6"/>
        <v>seg.</v>
      </c>
      <c r="D25" s="341">
        <v>9000.0</v>
      </c>
      <c r="E25" s="341">
        <v>6789.07</v>
      </c>
      <c r="F25" s="51">
        <f t="shared" si="7"/>
        <v>-2210.93</v>
      </c>
      <c r="G25" s="210">
        <v>28.0</v>
      </c>
      <c r="H25" s="265">
        <f t="shared" si="8"/>
        <v>242.4667857</v>
      </c>
      <c r="I25" s="363">
        <v>11.0</v>
      </c>
      <c r="J25" s="363">
        <v>13.5</v>
      </c>
      <c r="K25" s="363">
        <v>13.0</v>
      </c>
      <c r="L25" s="364">
        <f t="shared" si="9"/>
        <v>37.5</v>
      </c>
      <c r="M25" s="350">
        <f t="shared" ref="M25:N25" si="32">B25</f>
        <v>46251</v>
      </c>
      <c r="N25" s="204" t="str">
        <f t="shared" si="32"/>
        <v>seg.</v>
      </c>
      <c r="O25" s="351">
        <v>4000.0</v>
      </c>
      <c r="P25" s="213">
        <f>4241.71-337.02</f>
        <v>3904.69</v>
      </c>
      <c r="Q25" s="51">
        <f t="shared" si="11"/>
        <v>-95.31</v>
      </c>
      <c r="R25" s="217">
        <v>25.0</v>
      </c>
      <c r="S25" s="414">
        <f t="shared" ref="S25:S39" si="34">P25/R25</f>
        <v>156.1876</v>
      </c>
      <c r="T25" s="217">
        <v>13.0</v>
      </c>
      <c r="U25" s="291">
        <f>4+11</f>
        <v>15</v>
      </c>
      <c r="V25" s="217">
        <v>6.0</v>
      </c>
      <c r="W25" s="291">
        <f t="shared" si="13"/>
        <v>34</v>
      </c>
      <c r="AA25" s="74" t="s">
        <v>62</v>
      </c>
      <c r="AB25" s="75">
        <f>SUM(E16:E22)</f>
        <v>100618.64</v>
      </c>
      <c r="AC25" s="58" t="s">
        <v>62</v>
      </c>
      <c r="AD25" s="76">
        <f>SUM(P16:P22)</f>
        <v>67757.37</v>
      </c>
      <c r="AH25" s="317"/>
      <c r="AI25" s="317"/>
      <c r="AJ25" s="271"/>
      <c r="AK25" s="370"/>
    </row>
    <row r="26" ht="15.75" customHeight="1">
      <c r="A26" s="8"/>
      <c r="B26" s="207">
        <v>46252.0</v>
      </c>
      <c r="C26" s="208" t="str">
        <f t="shared" si="6"/>
        <v>ter.</v>
      </c>
      <c r="D26" s="341">
        <v>10500.0</v>
      </c>
      <c r="E26" s="341">
        <v>6658.0</v>
      </c>
      <c r="F26" s="51">
        <f t="shared" si="7"/>
        <v>-3842</v>
      </c>
      <c r="G26" s="210">
        <v>21.0</v>
      </c>
      <c r="H26" s="265">
        <f t="shared" si="8"/>
        <v>317.047619</v>
      </c>
      <c r="I26" s="363">
        <v>6.0</v>
      </c>
      <c r="J26" s="413">
        <f>6+2</f>
        <v>8</v>
      </c>
      <c r="K26" s="363">
        <v>19.0</v>
      </c>
      <c r="L26" s="364">
        <f t="shared" si="9"/>
        <v>33</v>
      </c>
      <c r="M26" s="350">
        <f t="shared" ref="M26:N26" si="33">B26</f>
        <v>46252</v>
      </c>
      <c r="N26" s="204" t="str">
        <f t="shared" si="33"/>
        <v>ter.</v>
      </c>
      <c r="O26" s="351">
        <v>5100.0</v>
      </c>
      <c r="P26" s="351">
        <f>6044.2-532.95</f>
        <v>5511.25</v>
      </c>
      <c r="Q26" s="51">
        <f t="shared" si="11"/>
        <v>411.25</v>
      </c>
      <c r="R26" s="217">
        <v>38.0</v>
      </c>
      <c r="S26" s="414">
        <f t="shared" si="34"/>
        <v>145.0328947</v>
      </c>
      <c r="T26" s="217">
        <v>7.0</v>
      </c>
      <c r="U26" s="291">
        <f>14+22</f>
        <v>36</v>
      </c>
      <c r="V26" s="217">
        <v>5.0</v>
      </c>
      <c r="W26" s="291">
        <f t="shared" si="13"/>
        <v>48</v>
      </c>
      <c r="AA26" s="74"/>
      <c r="AB26" s="79">
        <f>AB25/AB20</f>
        <v>0.1916545524</v>
      </c>
      <c r="AD26" s="80">
        <f>AD25/AD20</f>
        <v>0.2377451579</v>
      </c>
      <c r="AH26" s="369"/>
      <c r="AI26" s="317"/>
      <c r="AJ26" s="271"/>
      <c r="AK26" s="370"/>
    </row>
    <row r="27" ht="15.75" customHeight="1">
      <c r="A27" s="8"/>
      <c r="B27" s="207">
        <v>46253.0</v>
      </c>
      <c r="C27" s="208" t="str">
        <f t="shared" si="6"/>
        <v>qua.</v>
      </c>
      <c r="D27" s="341">
        <v>7000.0</v>
      </c>
      <c r="E27" s="341">
        <v>5126.0</v>
      </c>
      <c r="F27" s="51">
        <f t="shared" si="7"/>
        <v>-1874</v>
      </c>
      <c r="G27" s="210">
        <v>27.0</v>
      </c>
      <c r="H27" s="265">
        <f t="shared" si="8"/>
        <v>189.8518519</v>
      </c>
      <c r="I27" s="363">
        <v>2.0</v>
      </c>
      <c r="J27" s="413">
        <f>1.5+10.5</f>
        <v>12</v>
      </c>
      <c r="K27" s="363">
        <v>11.0</v>
      </c>
      <c r="L27" s="364">
        <f t="shared" si="9"/>
        <v>25</v>
      </c>
      <c r="M27" s="350">
        <f t="shared" ref="M27:N27" si="35">B27</f>
        <v>46253</v>
      </c>
      <c r="N27" s="204" t="str">
        <f t="shared" si="35"/>
        <v>qua.</v>
      </c>
      <c r="O27" s="351">
        <v>4500.0</v>
      </c>
      <c r="P27" s="351">
        <f>4191.33-295.13</f>
        <v>3896.2</v>
      </c>
      <c r="Q27" s="51">
        <f t="shared" si="11"/>
        <v>-603.8</v>
      </c>
      <c r="R27" s="217">
        <v>27.0</v>
      </c>
      <c r="S27" s="414">
        <f t="shared" si="34"/>
        <v>144.3037037</v>
      </c>
      <c r="T27" s="217">
        <v>6.0</v>
      </c>
      <c r="U27" s="291">
        <f>0.5+12.5</f>
        <v>13</v>
      </c>
      <c r="V27" s="217">
        <v>9.0</v>
      </c>
      <c r="W27" s="291">
        <f t="shared" si="13"/>
        <v>28</v>
      </c>
      <c r="AA27" s="74"/>
      <c r="AB27" s="81"/>
      <c r="AD27" s="77"/>
      <c r="AH27" s="317"/>
      <c r="AI27" s="317"/>
      <c r="AJ27" s="271"/>
      <c r="AK27" s="370"/>
    </row>
    <row r="28" ht="15.75" customHeight="1">
      <c r="A28" s="8"/>
      <c r="B28" s="207">
        <v>46254.0</v>
      </c>
      <c r="C28" s="208" t="str">
        <f t="shared" si="6"/>
        <v>qui.</v>
      </c>
      <c r="D28" s="341">
        <v>13000.0</v>
      </c>
      <c r="E28" s="341">
        <v>8613.0</v>
      </c>
      <c r="F28" s="51">
        <f t="shared" si="7"/>
        <v>-4387</v>
      </c>
      <c r="G28" s="210">
        <v>33.0</v>
      </c>
      <c r="H28" s="265">
        <f t="shared" si="8"/>
        <v>261</v>
      </c>
      <c r="I28" s="363">
        <v>9.0</v>
      </c>
      <c r="J28" s="413">
        <f>2+19</f>
        <v>21</v>
      </c>
      <c r="K28" s="363">
        <v>16.0</v>
      </c>
      <c r="L28" s="364">
        <f t="shared" si="9"/>
        <v>46</v>
      </c>
      <c r="M28" s="350">
        <f t="shared" ref="M28:N28" si="36">B28</f>
        <v>46254</v>
      </c>
      <c r="N28" s="204" t="str">
        <f t="shared" si="36"/>
        <v>qui.</v>
      </c>
      <c r="O28" s="351">
        <v>6600.0</v>
      </c>
      <c r="P28" s="213">
        <f>5161.53-388.55</f>
        <v>4772.98</v>
      </c>
      <c r="Q28" s="51">
        <f t="shared" si="11"/>
        <v>-1827.02</v>
      </c>
      <c r="R28" s="217">
        <v>30.0</v>
      </c>
      <c r="S28" s="414">
        <f t="shared" si="34"/>
        <v>159.0993333</v>
      </c>
      <c r="T28" s="217">
        <v>11.0</v>
      </c>
      <c r="U28" s="291">
        <f>2.5+16.5</f>
        <v>19</v>
      </c>
      <c r="V28" s="217">
        <v>8.0</v>
      </c>
      <c r="W28" s="291">
        <f t="shared" si="13"/>
        <v>38</v>
      </c>
      <c r="AA28" s="74" t="s">
        <v>63</v>
      </c>
      <c r="AB28" s="75">
        <f>SUM(E23:E29)</f>
        <v>87848.78</v>
      </c>
      <c r="AC28" s="58" t="s">
        <v>63</v>
      </c>
      <c r="AD28" s="76">
        <f>SUM(P23:P29)</f>
        <v>63845.04</v>
      </c>
      <c r="AH28" s="317"/>
      <c r="AI28" s="317"/>
      <c r="AJ28" s="271"/>
      <c r="AK28" s="317"/>
    </row>
    <row r="29" ht="15.75" customHeight="1">
      <c r="A29" s="8"/>
      <c r="B29" s="207">
        <v>46255.0</v>
      </c>
      <c r="C29" s="208" t="str">
        <f t="shared" si="6"/>
        <v>sex.</v>
      </c>
      <c r="D29" s="341">
        <v>20000.0</v>
      </c>
      <c r="E29" s="341">
        <v>14223.0</v>
      </c>
      <c r="F29" s="51">
        <f t="shared" si="7"/>
        <v>-5777</v>
      </c>
      <c r="G29" s="210">
        <v>59.0</v>
      </c>
      <c r="H29" s="265">
        <f t="shared" si="8"/>
        <v>241.0677966</v>
      </c>
      <c r="I29" s="363">
        <v>18.0</v>
      </c>
      <c r="J29" s="413">
        <f>5.5+36.5</f>
        <v>42</v>
      </c>
      <c r="K29" s="363">
        <v>25.0</v>
      </c>
      <c r="L29" s="364">
        <f t="shared" si="9"/>
        <v>85</v>
      </c>
      <c r="M29" s="350">
        <f t="shared" ref="M29:N29" si="37">B29</f>
        <v>46255</v>
      </c>
      <c r="N29" s="204" t="str">
        <f t="shared" si="37"/>
        <v>sex.</v>
      </c>
      <c r="O29" s="351">
        <v>8700.0</v>
      </c>
      <c r="P29" s="213">
        <f>13836.51-960.52</f>
        <v>12875.99</v>
      </c>
      <c r="Q29" s="51">
        <f t="shared" si="11"/>
        <v>4175.99</v>
      </c>
      <c r="R29" s="217">
        <v>70.0</v>
      </c>
      <c r="S29" s="414">
        <f t="shared" si="34"/>
        <v>183.9427143</v>
      </c>
      <c r="T29" s="217">
        <v>16.0</v>
      </c>
      <c r="U29" s="291">
        <f>5+53</f>
        <v>58</v>
      </c>
      <c r="V29" s="217">
        <v>22.0</v>
      </c>
      <c r="W29" s="291">
        <f t="shared" si="13"/>
        <v>96</v>
      </c>
      <c r="AA29" s="74"/>
      <c r="AB29" s="79">
        <f>AB28/AB20</f>
        <v>0.1673310095</v>
      </c>
      <c r="AD29" s="80">
        <f>AD28/AD20</f>
        <v>0.2240176842</v>
      </c>
      <c r="AH29" s="317"/>
      <c r="AI29" s="317"/>
      <c r="AJ29" s="317"/>
      <c r="AK29" s="317"/>
    </row>
    <row r="30" ht="15.75" customHeight="1">
      <c r="A30" s="8"/>
      <c r="B30" s="207">
        <v>46256.0</v>
      </c>
      <c r="C30" s="208" t="str">
        <f t="shared" si="6"/>
        <v>sáb.</v>
      </c>
      <c r="D30" s="341">
        <v>29000.0</v>
      </c>
      <c r="E30" s="341">
        <v>23214.9</v>
      </c>
      <c r="F30" s="51">
        <f t="shared" si="7"/>
        <v>-5785.1</v>
      </c>
      <c r="G30" s="210">
        <v>77.0</v>
      </c>
      <c r="H30" s="265">
        <f t="shared" si="8"/>
        <v>301.4922078</v>
      </c>
      <c r="I30" s="363">
        <v>17.0</v>
      </c>
      <c r="J30" s="413">
        <f>13+64</f>
        <v>77</v>
      </c>
      <c r="K30" s="363">
        <v>36.0</v>
      </c>
      <c r="L30" s="364">
        <f t="shared" si="9"/>
        <v>130</v>
      </c>
      <c r="M30" s="350">
        <f t="shared" ref="M30:N30" si="38">B30</f>
        <v>46256</v>
      </c>
      <c r="N30" s="204" t="str">
        <f t="shared" si="38"/>
        <v>sáb.</v>
      </c>
      <c r="O30" s="351">
        <v>12500.0</v>
      </c>
      <c r="P30" s="213">
        <f>18257.73-1364.58-9.94</f>
        <v>16883.21</v>
      </c>
      <c r="Q30" s="51">
        <f t="shared" si="11"/>
        <v>4383.21</v>
      </c>
      <c r="R30" s="217">
        <v>96.0</v>
      </c>
      <c r="S30" s="414">
        <f t="shared" si="34"/>
        <v>175.8667708</v>
      </c>
      <c r="T30" s="217">
        <v>27.0</v>
      </c>
      <c r="U30" s="291">
        <f>13.5+61.5</f>
        <v>75</v>
      </c>
      <c r="V30" s="217">
        <v>26.0</v>
      </c>
      <c r="W30" s="291">
        <f t="shared" si="13"/>
        <v>128</v>
      </c>
      <c r="AA30" s="74"/>
      <c r="AD30" s="82"/>
      <c r="AH30" s="369"/>
      <c r="AI30" s="317"/>
      <c r="AJ30" s="317"/>
      <c r="AK30" s="317"/>
    </row>
    <row r="31" ht="15.75" customHeight="1">
      <c r="A31" s="8"/>
      <c r="B31" s="207">
        <v>46257.0</v>
      </c>
      <c r="C31" s="208" t="str">
        <f t="shared" si="6"/>
        <v>dom.</v>
      </c>
      <c r="D31" s="341">
        <f>24000*10%+24000</f>
        <v>26400</v>
      </c>
      <c r="E31" s="341">
        <v>23284.5</v>
      </c>
      <c r="F31" s="51">
        <f t="shared" si="7"/>
        <v>-3115.5</v>
      </c>
      <c r="G31" s="210">
        <v>104.0</v>
      </c>
      <c r="H31" s="265">
        <f t="shared" si="8"/>
        <v>223.8894231</v>
      </c>
      <c r="I31" s="363">
        <v>28.0</v>
      </c>
      <c r="J31" s="413">
        <f>10.5+55.5</f>
        <v>66</v>
      </c>
      <c r="K31" s="363">
        <v>43.0</v>
      </c>
      <c r="L31" s="364">
        <f t="shared" si="9"/>
        <v>137</v>
      </c>
      <c r="M31" s="350">
        <f t="shared" ref="M31:N31" si="39">B31</f>
        <v>46257</v>
      </c>
      <c r="N31" s="204" t="str">
        <f t="shared" si="39"/>
        <v>dom.</v>
      </c>
      <c r="O31" s="351">
        <v>19700.0</v>
      </c>
      <c r="P31" s="213">
        <f>22838.85-1634.26-9.5</f>
        <v>21195.09</v>
      </c>
      <c r="Q31" s="51">
        <f t="shared" si="11"/>
        <v>1495.09</v>
      </c>
      <c r="R31" s="217">
        <v>126.0</v>
      </c>
      <c r="S31" s="414">
        <f t="shared" si="34"/>
        <v>168.215</v>
      </c>
      <c r="T31" s="217">
        <v>41.0</v>
      </c>
      <c r="U31" s="291">
        <f>10.5+80.5</f>
        <v>91</v>
      </c>
      <c r="V31" s="217">
        <v>30.0</v>
      </c>
      <c r="W31" s="291">
        <f t="shared" si="13"/>
        <v>162</v>
      </c>
      <c r="AA31" s="74" t="s">
        <v>64</v>
      </c>
      <c r="AB31" s="61">
        <f>SUM(E30:E36)</f>
        <v>94939.8</v>
      </c>
      <c r="AC31" s="58" t="s">
        <v>64</v>
      </c>
      <c r="AD31" s="83">
        <f>SUM(P30:P36)</f>
        <v>65277.07</v>
      </c>
      <c r="AH31" s="317"/>
      <c r="AI31" s="317"/>
      <c r="AJ31" s="271"/>
      <c r="AK31" s="317"/>
    </row>
    <row r="32" ht="15.75" customHeight="1">
      <c r="A32" s="8"/>
      <c r="B32" s="207">
        <v>46258.0</v>
      </c>
      <c r="C32" s="208" t="str">
        <f t="shared" si="6"/>
        <v>seg.</v>
      </c>
      <c r="D32" s="341">
        <v>9000.0</v>
      </c>
      <c r="E32" s="341">
        <v>11207.4</v>
      </c>
      <c r="F32" s="51">
        <f t="shared" si="7"/>
        <v>2207.4</v>
      </c>
      <c r="G32" s="210">
        <v>47.0</v>
      </c>
      <c r="H32" s="265">
        <f t="shared" si="8"/>
        <v>238.4553191</v>
      </c>
      <c r="I32" s="363">
        <v>13.0</v>
      </c>
      <c r="J32" s="413">
        <f>3+26</f>
        <v>29</v>
      </c>
      <c r="K32" s="363">
        <v>27.0</v>
      </c>
      <c r="L32" s="364">
        <f t="shared" si="9"/>
        <v>69</v>
      </c>
      <c r="M32" s="350">
        <f t="shared" ref="M32:N32" si="40">B32</f>
        <v>46258</v>
      </c>
      <c r="N32" s="204" t="str">
        <f t="shared" si="40"/>
        <v>seg.</v>
      </c>
      <c r="O32" s="351">
        <v>4000.0</v>
      </c>
      <c r="P32" s="213">
        <f>4020.45-266.31</f>
        <v>3754.14</v>
      </c>
      <c r="Q32" s="415">
        <f t="shared" si="11"/>
        <v>-245.86</v>
      </c>
      <c r="R32" s="217">
        <v>20.0</v>
      </c>
      <c r="S32" s="414">
        <f t="shared" si="34"/>
        <v>187.707</v>
      </c>
      <c r="T32" s="217">
        <v>10.0</v>
      </c>
      <c r="U32" s="291">
        <f>3.5+16.5</f>
        <v>20</v>
      </c>
      <c r="V32" s="217">
        <v>4.0</v>
      </c>
      <c r="W32" s="291">
        <f t="shared" si="13"/>
        <v>34</v>
      </c>
      <c r="AA32" s="74"/>
      <c r="AB32" s="79">
        <f>AB31/AB20</f>
        <v>0.1808377143</v>
      </c>
      <c r="AD32" s="80">
        <f>AD31/AD20</f>
        <v>0.2290423509</v>
      </c>
      <c r="AH32" s="317"/>
      <c r="AI32" s="317"/>
      <c r="AJ32" s="317"/>
      <c r="AK32" s="317"/>
    </row>
    <row r="33" ht="15.75" customHeight="1">
      <c r="A33" s="8"/>
      <c r="B33" s="207">
        <v>46259.0</v>
      </c>
      <c r="C33" s="208" t="str">
        <f t="shared" si="6"/>
        <v>ter.</v>
      </c>
      <c r="D33" s="341">
        <v>10500.0</v>
      </c>
      <c r="E33" s="341">
        <v>6727.0</v>
      </c>
      <c r="F33" s="51">
        <f t="shared" si="7"/>
        <v>-3773</v>
      </c>
      <c r="G33" s="210">
        <v>36.0</v>
      </c>
      <c r="H33" s="265">
        <f t="shared" si="8"/>
        <v>186.8611111</v>
      </c>
      <c r="I33" s="363">
        <v>8.0</v>
      </c>
      <c r="J33" s="416">
        <v>12.5</v>
      </c>
      <c r="K33" s="363">
        <v>15.0</v>
      </c>
      <c r="L33" s="364">
        <f t="shared" si="9"/>
        <v>35.5</v>
      </c>
      <c r="M33" s="350">
        <f t="shared" ref="M33:N33" si="41">B33</f>
        <v>46259</v>
      </c>
      <c r="N33" s="204" t="str">
        <f t="shared" si="41"/>
        <v>ter.</v>
      </c>
      <c r="O33" s="351">
        <v>5100.0</v>
      </c>
      <c r="P33" s="213">
        <f>6656.99-725.19</f>
        <v>5931.8</v>
      </c>
      <c r="Q33" s="51">
        <f t="shared" si="11"/>
        <v>831.8</v>
      </c>
      <c r="R33" s="217">
        <v>57.0</v>
      </c>
      <c r="S33" s="414">
        <f t="shared" si="34"/>
        <v>104.0666667</v>
      </c>
      <c r="T33" s="217">
        <v>9.0</v>
      </c>
      <c r="U33" s="291">
        <f>8.5+29.5</f>
        <v>38</v>
      </c>
      <c r="V33" s="217">
        <v>3.0</v>
      </c>
      <c r="W33" s="291">
        <f t="shared" si="13"/>
        <v>50</v>
      </c>
      <c r="AA33" s="74" t="s">
        <v>65</v>
      </c>
      <c r="AB33" s="61">
        <f>SUM(E37:E39)</f>
        <v>60880.99</v>
      </c>
      <c r="AC33" s="58" t="s">
        <v>65</v>
      </c>
      <c r="AD33" s="83">
        <f>SUM(P37:P39)</f>
        <v>37419.88</v>
      </c>
      <c r="AH33" s="317"/>
      <c r="AI33" s="317"/>
      <c r="AJ33" s="317"/>
      <c r="AK33" s="317"/>
    </row>
    <row r="34" ht="15.75" customHeight="1">
      <c r="A34" s="8"/>
      <c r="B34" s="207">
        <v>46260.0</v>
      </c>
      <c r="C34" s="208" t="str">
        <f t="shared" si="6"/>
        <v>qua.</v>
      </c>
      <c r="D34" s="341">
        <v>7000.0</v>
      </c>
      <c r="E34" s="209">
        <f>9636.4</f>
        <v>9636.4</v>
      </c>
      <c r="F34" s="51">
        <f t="shared" si="7"/>
        <v>2636.4</v>
      </c>
      <c r="G34" s="210">
        <v>38.0</v>
      </c>
      <c r="H34" s="265">
        <f t="shared" si="8"/>
        <v>253.5894737</v>
      </c>
      <c r="I34" s="363">
        <v>8.0</v>
      </c>
      <c r="J34" s="413">
        <f>2+14</f>
        <v>16</v>
      </c>
      <c r="K34" s="363">
        <v>26.0</v>
      </c>
      <c r="L34" s="364">
        <f t="shared" si="9"/>
        <v>50</v>
      </c>
      <c r="M34" s="350">
        <f t="shared" ref="M34:N34" si="42">B34</f>
        <v>46260</v>
      </c>
      <c r="N34" s="204" t="str">
        <f t="shared" si="42"/>
        <v>qua.</v>
      </c>
      <c r="O34" s="351">
        <v>4500.0</v>
      </c>
      <c r="P34" s="213">
        <f>4362.2-371.11</f>
        <v>3991.09</v>
      </c>
      <c r="Q34" s="51">
        <f t="shared" si="11"/>
        <v>-508.91</v>
      </c>
      <c r="R34" s="217">
        <v>28.0</v>
      </c>
      <c r="S34" s="414">
        <f t="shared" si="34"/>
        <v>142.5389286</v>
      </c>
      <c r="T34" s="217">
        <v>8.0</v>
      </c>
      <c r="U34" s="291">
        <f>3+13</f>
        <v>16</v>
      </c>
      <c r="V34" s="217">
        <v>6.0</v>
      </c>
      <c r="W34" s="291">
        <f t="shared" si="13"/>
        <v>30</v>
      </c>
      <c r="AA34" s="84"/>
      <c r="AB34" s="85">
        <f>AB33/AB20</f>
        <v>0.1159637905</v>
      </c>
      <c r="AC34" s="84"/>
      <c r="AD34" s="87">
        <f>AD33/AD20</f>
        <v>0.1312978246</v>
      </c>
    </row>
    <row r="35" ht="15.75" customHeight="1">
      <c r="A35" s="8"/>
      <c r="B35" s="207">
        <v>46261.0</v>
      </c>
      <c r="C35" s="208" t="str">
        <f t="shared" si="6"/>
        <v>qui.</v>
      </c>
      <c r="D35" s="341">
        <v>13000.0</v>
      </c>
      <c r="E35" s="341">
        <v>6450.5</v>
      </c>
      <c r="F35" s="51">
        <f t="shared" si="7"/>
        <v>-6549.5</v>
      </c>
      <c r="G35" s="210">
        <v>35.0</v>
      </c>
      <c r="H35" s="265">
        <f t="shared" si="8"/>
        <v>184.3</v>
      </c>
      <c r="I35" s="363">
        <v>6.0</v>
      </c>
      <c r="J35" s="413">
        <f>2+13</f>
        <v>15</v>
      </c>
      <c r="K35" s="363">
        <v>13.0</v>
      </c>
      <c r="L35" s="364">
        <f t="shared" si="9"/>
        <v>34</v>
      </c>
      <c r="M35" s="350">
        <f t="shared" ref="M35:N35" si="43">B35</f>
        <v>46261</v>
      </c>
      <c r="N35" s="204" t="str">
        <f t="shared" si="43"/>
        <v>qui.</v>
      </c>
      <c r="O35" s="351">
        <v>6600.0</v>
      </c>
      <c r="P35" s="213">
        <f>4156.78-314.58</f>
        <v>3842.2</v>
      </c>
      <c r="Q35" s="51">
        <f t="shared" si="11"/>
        <v>-2757.8</v>
      </c>
      <c r="R35" s="217">
        <v>31.0</v>
      </c>
      <c r="S35" s="414">
        <f t="shared" si="34"/>
        <v>123.9419355</v>
      </c>
      <c r="T35" s="217">
        <v>6.0</v>
      </c>
      <c r="U35" s="291">
        <f>2.5+15.5</f>
        <v>18</v>
      </c>
      <c r="V35" s="217">
        <v>6.0</v>
      </c>
      <c r="W35" s="291">
        <f t="shared" si="13"/>
        <v>30</v>
      </c>
      <c r="AJ35" s="271"/>
    </row>
    <row r="36" ht="15.75" customHeight="1">
      <c r="A36" s="8"/>
      <c r="B36" s="207">
        <v>46262.0</v>
      </c>
      <c r="C36" s="208" t="str">
        <f t="shared" si="6"/>
        <v>sex.</v>
      </c>
      <c r="D36" s="341">
        <v>20000.0</v>
      </c>
      <c r="E36" s="209">
        <f>14601.1-182</f>
        <v>14419.1</v>
      </c>
      <c r="F36" s="51">
        <f t="shared" si="7"/>
        <v>-5580.9</v>
      </c>
      <c r="G36" s="210">
        <v>61.0</v>
      </c>
      <c r="H36" s="265">
        <f t="shared" si="8"/>
        <v>236.3786885</v>
      </c>
      <c r="I36" s="363">
        <v>19.0</v>
      </c>
      <c r="J36" s="413">
        <f>4.5+33.5</f>
        <v>38</v>
      </c>
      <c r="K36" s="363">
        <v>24.0</v>
      </c>
      <c r="L36" s="364">
        <f t="shared" si="9"/>
        <v>81</v>
      </c>
      <c r="M36" s="350">
        <f t="shared" ref="M36:N36" si="44">B36</f>
        <v>46262</v>
      </c>
      <c r="N36" s="204" t="str">
        <f t="shared" si="44"/>
        <v>sex.</v>
      </c>
      <c r="O36" s="351">
        <v>8700.0</v>
      </c>
      <c r="P36" s="213">
        <f>10527.35-847.81</f>
        <v>9679.54</v>
      </c>
      <c r="Q36" s="51">
        <f t="shared" si="11"/>
        <v>979.54</v>
      </c>
      <c r="R36" s="217">
        <v>57.0</v>
      </c>
      <c r="S36" s="414">
        <f t="shared" si="34"/>
        <v>169.8164912</v>
      </c>
      <c r="T36" s="217">
        <v>19.0</v>
      </c>
      <c r="U36" s="291">
        <f>4.5+33.5</f>
        <v>38</v>
      </c>
      <c r="V36" s="217">
        <v>24.0</v>
      </c>
      <c r="W36" s="291">
        <f t="shared" si="13"/>
        <v>81</v>
      </c>
      <c r="Z36" s="92" t="s">
        <v>72</v>
      </c>
      <c r="AA36" s="93" t="s">
        <v>73</v>
      </c>
      <c r="AB36" s="94">
        <f>E40</f>
        <v>465614.31</v>
      </c>
      <c r="AC36" s="164" t="s">
        <v>74</v>
      </c>
      <c r="AD36" s="96">
        <f>P40</f>
        <v>295188.94</v>
      </c>
      <c r="AE36" s="92" t="s">
        <v>72</v>
      </c>
      <c r="AI36" s="317"/>
      <c r="AJ36" s="271"/>
      <c r="AK36" s="317"/>
    </row>
    <row r="37" ht="15.75" customHeight="1">
      <c r="A37" s="8"/>
      <c r="B37" s="207">
        <v>46263.0</v>
      </c>
      <c r="C37" s="208" t="str">
        <f t="shared" si="6"/>
        <v>sáb.</v>
      </c>
      <c r="D37" s="341">
        <v>29000.0</v>
      </c>
      <c r="E37" s="209">
        <f>26821.9</f>
        <v>26821.9</v>
      </c>
      <c r="F37" s="51">
        <f t="shared" si="7"/>
        <v>-2178.1</v>
      </c>
      <c r="G37" s="210">
        <v>83.0</v>
      </c>
      <c r="H37" s="265">
        <f t="shared" si="8"/>
        <v>323.1554217</v>
      </c>
      <c r="I37" s="363">
        <v>36.0</v>
      </c>
      <c r="J37" s="413">
        <f>8+59</f>
        <v>67</v>
      </c>
      <c r="K37" s="363">
        <v>56.0</v>
      </c>
      <c r="L37" s="364">
        <f t="shared" si="9"/>
        <v>159</v>
      </c>
      <c r="M37" s="350">
        <f t="shared" ref="M37:N37" si="45">B37</f>
        <v>46263</v>
      </c>
      <c r="N37" s="204" t="str">
        <f t="shared" si="45"/>
        <v>sáb.</v>
      </c>
      <c r="O37" s="351">
        <v>12500.0</v>
      </c>
      <c r="P37" s="213">
        <f>14416.13-1119.1</f>
        <v>13297.03</v>
      </c>
      <c r="Q37" s="51">
        <f t="shared" si="11"/>
        <v>797.03</v>
      </c>
      <c r="R37" s="217">
        <v>106.0</v>
      </c>
      <c r="S37" s="414">
        <f t="shared" si="34"/>
        <v>125.4436792</v>
      </c>
      <c r="T37" s="217">
        <v>36.0</v>
      </c>
      <c r="U37" s="291">
        <f>8+59</f>
        <v>67</v>
      </c>
      <c r="V37" s="217">
        <v>56.0</v>
      </c>
      <c r="W37" s="291">
        <f t="shared" si="13"/>
        <v>159</v>
      </c>
      <c r="Z37" s="97">
        <f>AB37-AC37</f>
        <v>-0.1131156</v>
      </c>
      <c r="AA37" s="98"/>
      <c r="AB37" s="99">
        <f>AB36/AB20</f>
        <v>0.8868844</v>
      </c>
      <c r="AC37" s="165">
        <f>31/31</f>
        <v>1</v>
      </c>
      <c r="AD37" s="100">
        <f>AD36/AD20</f>
        <v>1.035750667</v>
      </c>
      <c r="AE37" s="97">
        <f>AD37-AC37</f>
        <v>0.03575066667</v>
      </c>
      <c r="AJ37" s="61"/>
    </row>
    <row r="38" ht="15.75" customHeight="1">
      <c r="A38" s="8"/>
      <c r="B38" s="207">
        <v>46264.0</v>
      </c>
      <c r="C38" s="208" t="str">
        <f t="shared" si="6"/>
        <v>dom.</v>
      </c>
      <c r="D38" s="341">
        <v>24000.0</v>
      </c>
      <c r="E38" s="209">
        <f>28114.6</f>
        <v>28114.6</v>
      </c>
      <c r="F38" s="51">
        <f t="shared" si="7"/>
        <v>4114.6</v>
      </c>
      <c r="G38" s="210">
        <v>120.0</v>
      </c>
      <c r="H38" s="265">
        <f t="shared" si="8"/>
        <v>234.2883333</v>
      </c>
      <c r="I38" s="363">
        <v>31.0</v>
      </c>
      <c r="J38" s="413">
        <f>9.5+58.5</f>
        <v>68</v>
      </c>
      <c r="K38" s="363">
        <v>64.0</v>
      </c>
      <c r="L38" s="364">
        <f t="shared" si="9"/>
        <v>163</v>
      </c>
      <c r="M38" s="350">
        <f t="shared" ref="M38:N38" si="46">B38</f>
        <v>46264</v>
      </c>
      <c r="N38" s="204" t="str">
        <f t="shared" si="46"/>
        <v>dom.</v>
      </c>
      <c r="O38" s="351">
        <v>19700.0</v>
      </c>
      <c r="P38" s="213">
        <f>12348.63+9712.94-1640.87</f>
        <v>20420.7</v>
      </c>
      <c r="Q38" s="51">
        <f t="shared" si="11"/>
        <v>720.7</v>
      </c>
      <c r="R38" s="217">
        <v>116.0</v>
      </c>
      <c r="S38" s="414">
        <f t="shared" si="34"/>
        <v>176.0405172</v>
      </c>
      <c r="T38" s="217">
        <v>31.0</v>
      </c>
      <c r="U38" s="291">
        <f>9.5+58.5</f>
        <v>68</v>
      </c>
      <c r="V38" s="217">
        <v>64.0</v>
      </c>
      <c r="W38" s="291">
        <f t="shared" si="13"/>
        <v>163</v>
      </c>
      <c r="AA38" s="98" t="s">
        <v>76</v>
      </c>
      <c r="AB38" s="104">
        <f>AB20-AB36</f>
        <v>59385.69</v>
      </c>
      <c r="AC38" s="99"/>
      <c r="AD38" s="106">
        <f>AD20-AD36</f>
        <v>-10188.94</v>
      </c>
    </row>
    <row r="39" ht="15.75" customHeight="1">
      <c r="A39" s="8"/>
      <c r="B39" s="207">
        <v>46265.0</v>
      </c>
      <c r="C39" s="208" t="str">
        <f t="shared" si="6"/>
        <v>seg.</v>
      </c>
      <c r="D39" s="341">
        <v>9000.0</v>
      </c>
      <c r="E39" s="209">
        <f>5944.49</f>
        <v>5944.49</v>
      </c>
      <c r="F39" s="51">
        <f t="shared" si="7"/>
        <v>-3055.51</v>
      </c>
      <c r="G39" s="210">
        <v>26.0</v>
      </c>
      <c r="H39" s="265">
        <f t="shared" si="8"/>
        <v>228.6342308</v>
      </c>
      <c r="I39" s="363">
        <v>5.0</v>
      </c>
      <c r="J39" s="413">
        <f>2+14</f>
        <v>16</v>
      </c>
      <c r="K39" s="363">
        <v>11.0</v>
      </c>
      <c r="L39" s="364">
        <f t="shared" si="9"/>
        <v>32</v>
      </c>
      <c r="M39" s="350">
        <f t="shared" ref="M39:N39" si="47">B39</f>
        <v>46265</v>
      </c>
      <c r="N39" s="204" t="str">
        <f t="shared" si="47"/>
        <v>seg.</v>
      </c>
      <c r="O39" s="351">
        <v>4000.0</v>
      </c>
      <c r="P39" s="213">
        <f>3901.76-199.61</f>
        <v>3702.15</v>
      </c>
      <c r="Q39" s="51">
        <f t="shared" si="11"/>
        <v>-297.85</v>
      </c>
      <c r="R39" s="217">
        <v>26.0</v>
      </c>
      <c r="S39" s="414">
        <f t="shared" si="34"/>
        <v>142.3903846</v>
      </c>
      <c r="T39" s="217">
        <v>5.0</v>
      </c>
      <c r="U39" s="291">
        <f>2+14</f>
        <v>16</v>
      </c>
      <c r="V39" s="217">
        <v>11.0</v>
      </c>
      <c r="W39" s="291">
        <f t="shared" si="13"/>
        <v>32</v>
      </c>
      <c r="AD39" s="61"/>
    </row>
    <row r="40" ht="15.75" customHeight="1">
      <c r="A40" s="8"/>
      <c r="B40" s="218"/>
      <c r="C40" s="218"/>
      <c r="D40" s="219">
        <f t="shared" ref="D40:G40" si="48">SUM(D9:D39)</f>
        <v>525200</v>
      </c>
      <c r="E40" s="219">
        <f t="shared" si="48"/>
        <v>465614.31</v>
      </c>
      <c r="F40" s="105">
        <f t="shared" si="48"/>
        <v>-59585.69</v>
      </c>
      <c r="G40" s="105">
        <f t="shared" si="48"/>
        <v>1890</v>
      </c>
      <c r="H40" s="105"/>
      <c r="I40" s="105">
        <f t="shared" ref="I40:L40" si="49">SUM(I9:I39)</f>
        <v>499</v>
      </c>
      <c r="J40" s="105">
        <f t="shared" si="49"/>
        <v>1178.5</v>
      </c>
      <c r="K40" s="105">
        <f t="shared" si="49"/>
        <v>955</v>
      </c>
      <c r="L40" s="105">
        <f t="shared" si="49"/>
        <v>2632.5</v>
      </c>
      <c r="M40" s="286" t="str">
        <f>IFERROR(__xludf.DUMMYFUNCTION("AI(""Preencha com um valor adequado para esta célula com base no contexto da tabela"")")," Total")</f>
        <v>Total</v>
      </c>
      <c r="N40" s="287" t="str">
        <f>"Total"</f>
        <v>Total</v>
      </c>
      <c r="O40" s="222">
        <f t="shared" ref="O40:R40" si="50">SUM(O9:O39)</f>
        <v>285430</v>
      </c>
      <c r="P40" s="222">
        <f t="shared" si="50"/>
        <v>295188.94</v>
      </c>
      <c r="Q40" s="105">
        <f t="shared" si="50"/>
        <v>9758.94</v>
      </c>
      <c r="R40" s="223">
        <f t="shared" si="50"/>
        <v>1870</v>
      </c>
      <c r="S40" s="223"/>
      <c r="T40" s="105">
        <f t="shared" ref="T40:W40" si="51">SUM(T9:T39)</f>
        <v>537</v>
      </c>
      <c r="U40" s="105">
        <f t="shared" si="51"/>
        <v>1258</v>
      </c>
      <c r="V40" s="105">
        <f t="shared" si="51"/>
        <v>557</v>
      </c>
      <c r="W40" s="105">
        <f t="shared" si="51"/>
        <v>2352</v>
      </c>
    </row>
    <row r="41" ht="15.75" customHeight="1">
      <c r="C41" s="61"/>
      <c r="D41" s="61"/>
      <c r="E41" s="225"/>
      <c r="F41" s="114"/>
      <c r="G41" s="392" t="s">
        <v>365</v>
      </c>
      <c r="H41" s="226"/>
      <c r="I41" s="226"/>
      <c r="J41" s="226"/>
      <c r="K41" s="226"/>
      <c r="L41" s="226"/>
      <c r="M41" s="61"/>
      <c r="O41" s="61"/>
      <c r="P41" s="275"/>
      <c r="Q41" s="114"/>
      <c r="R41" s="199"/>
      <c r="S41" s="199"/>
      <c r="T41" s="199"/>
      <c r="U41" s="199"/>
      <c r="V41" s="199"/>
      <c r="W41" s="199"/>
    </row>
    <row r="42" ht="15.75" customHeight="1">
      <c r="A42" s="2"/>
      <c r="B42" s="2"/>
      <c r="C42" s="75"/>
      <c r="D42" s="75"/>
      <c r="E42" s="2"/>
      <c r="G42" s="226"/>
      <c r="H42" s="226"/>
      <c r="I42" s="226"/>
      <c r="J42" s="226"/>
      <c r="K42" s="226"/>
      <c r="L42" s="226"/>
      <c r="M42" s="75"/>
      <c r="O42" s="75"/>
      <c r="P42" s="2"/>
      <c r="R42" s="199"/>
      <c r="S42" s="199"/>
      <c r="T42" s="199"/>
      <c r="U42" s="199"/>
      <c r="V42" s="199"/>
      <c r="W42" s="199"/>
      <c r="AA42" s="384" t="s">
        <v>338</v>
      </c>
      <c r="AB42" s="384" t="s">
        <v>290</v>
      </c>
      <c r="AC42" s="393" t="s">
        <v>339</v>
      </c>
      <c r="AE42" s="384" t="s">
        <v>366</v>
      </c>
      <c r="AF42" s="229" t="s">
        <v>221</v>
      </c>
      <c r="AG42" s="385" t="s">
        <v>219</v>
      </c>
    </row>
    <row r="43" ht="15.75" customHeight="1">
      <c r="A43" s="2"/>
      <c r="B43" s="2"/>
      <c r="C43" s="2"/>
      <c r="D43" s="174" t="s">
        <v>77</v>
      </c>
      <c r="E43" s="118">
        <f>D40+F40</f>
        <v>465614.31</v>
      </c>
      <c r="O43" s="115" t="s">
        <v>77</v>
      </c>
      <c r="P43" s="118">
        <f>O40+Q40</f>
        <v>295188.94</v>
      </c>
      <c r="R43" s="199"/>
      <c r="S43" s="199"/>
      <c r="T43" s="199"/>
      <c r="U43" s="199"/>
      <c r="V43" s="199"/>
      <c r="W43" s="199"/>
      <c r="AA43" s="387">
        <v>1000.0</v>
      </c>
      <c r="AB43" s="387">
        <v>500.0</v>
      </c>
      <c r="AC43" s="346">
        <f>AA43+AB43</f>
        <v>1500</v>
      </c>
      <c r="AE43" s="387">
        <v>285000.0</v>
      </c>
      <c r="AF43" s="387">
        <v>295188.94</v>
      </c>
      <c r="AG43" s="346">
        <f>AF43*0.006</f>
        <v>1771.13364</v>
      </c>
    </row>
    <row r="44" ht="15.75" customHeight="1">
      <c r="A44" s="2"/>
      <c r="B44" s="122" t="s">
        <v>29</v>
      </c>
      <c r="C44" s="394">
        <v>525000.0</v>
      </c>
      <c r="D44" s="75"/>
      <c r="E44" s="2"/>
      <c r="M44" s="126" t="s">
        <v>29</v>
      </c>
      <c r="N44" s="394">
        <v>285000.0</v>
      </c>
      <c r="O44" s="2"/>
      <c r="P44" s="2"/>
      <c r="R44" s="199"/>
      <c r="S44" s="199"/>
      <c r="T44" s="199"/>
      <c r="U44" s="199"/>
      <c r="V44" s="199"/>
      <c r="W44" s="199"/>
      <c r="AA44" s="388" t="s">
        <v>296</v>
      </c>
      <c r="AB44" s="389"/>
      <c r="AC44" s="390"/>
      <c r="AE44" s="388" t="s">
        <v>295</v>
      </c>
      <c r="AF44" s="389">
        <f>AG43*50%</f>
        <v>885.56682</v>
      </c>
      <c r="AG44" s="390"/>
    </row>
    <row r="45" ht="15.75" customHeight="1">
      <c r="A45" s="61"/>
      <c r="B45" s="61"/>
      <c r="C45" s="175"/>
      <c r="M45" s="175"/>
      <c r="N45" s="61"/>
      <c r="R45" s="199"/>
      <c r="S45" s="199"/>
      <c r="T45" s="199"/>
      <c r="U45" s="199"/>
      <c r="V45" s="199"/>
      <c r="W45" s="199"/>
      <c r="AA45" s="229"/>
      <c r="AB45" s="229"/>
      <c r="AC45" s="396"/>
      <c r="AE45" s="397"/>
      <c r="AF45" s="229"/>
      <c r="AG45" s="396"/>
    </row>
    <row r="46" ht="15.75" customHeight="1">
      <c r="A46" s="61"/>
      <c r="B46" s="61"/>
      <c r="N46" s="61"/>
      <c r="R46" s="199"/>
      <c r="S46" s="199"/>
      <c r="T46" s="199"/>
      <c r="U46" s="199"/>
      <c r="V46" s="199"/>
      <c r="W46" s="199"/>
      <c r="AA46" s="397"/>
      <c r="AB46" s="387"/>
      <c r="AC46" s="391"/>
      <c r="AE46" s="397"/>
      <c r="AF46" s="346"/>
      <c r="AG46" s="391"/>
    </row>
    <row r="47" ht="15.75" customHeight="1">
      <c r="A47" s="61"/>
      <c r="B47" s="61"/>
      <c r="M47" s="61"/>
      <c r="R47" s="199"/>
      <c r="S47" s="199"/>
      <c r="T47" s="199"/>
      <c r="U47" s="199"/>
      <c r="V47" s="199"/>
      <c r="W47" s="199"/>
      <c r="AA47" s="397" t="s">
        <v>302</v>
      </c>
      <c r="AB47" s="387">
        <v>250.0</v>
      </c>
      <c r="AC47" s="391"/>
      <c r="AE47" s="397" t="s">
        <v>301</v>
      </c>
      <c r="AF47" s="346">
        <f>AF44*26%</f>
        <v>230.2473732</v>
      </c>
      <c r="AG47" s="391"/>
    </row>
    <row r="48" ht="15.75" customHeight="1">
      <c r="A48" s="61"/>
      <c r="B48" s="61"/>
      <c r="M48" s="121"/>
      <c r="R48" s="199"/>
      <c r="S48" s="199"/>
      <c r="T48" s="199"/>
      <c r="U48" s="199"/>
      <c r="V48" s="199"/>
      <c r="W48" s="199"/>
      <c r="AA48" s="397" t="s">
        <v>329</v>
      </c>
      <c r="AB48" s="387">
        <v>300.0</v>
      </c>
      <c r="AC48" s="391"/>
      <c r="AE48" s="397" t="s">
        <v>303</v>
      </c>
      <c r="AF48" s="346">
        <f>AF44*26%</f>
        <v>230.2473732</v>
      </c>
      <c r="AG48" s="391"/>
    </row>
    <row r="49" ht="15.75" customHeight="1">
      <c r="A49" s="61"/>
      <c r="B49" s="61"/>
      <c r="R49" s="199"/>
      <c r="S49" s="199"/>
      <c r="T49" s="199"/>
      <c r="U49" s="199"/>
      <c r="V49" s="199"/>
      <c r="W49" s="199"/>
      <c r="AA49" s="397" t="s">
        <v>307</v>
      </c>
      <c r="AB49" s="387">
        <v>200.0</v>
      </c>
      <c r="AC49" s="391"/>
      <c r="AE49" s="397" t="s">
        <v>330</v>
      </c>
      <c r="AF49" s="346">
        <f>AF44*26%</f>
        <v>230.2473732</v>
      </c>
      <c r="AG49" s="391"/>
    </row>
    <row r="50" ht="15.75" customHeight="1">
      <c r="AA50" s="397" t="s">
        <v>309</v>
      </c>
      <c r="AB50" s="387">
        <f>180/30*27</f>
        <v>162</v>
      </c>
      <c r="AC50" s="391"/>
      <c r="AE50" s="397" t="s">
        <v>308</v>
      </c>
      <c r="AF50" s="346">
        <f>AF44*15%</f>
        <v>132.835023</v>
      </c>
      <c r="AG50" s="391"/>
    </row>
    <row r="51" ht="15.75" customHeight="1">
      <c r="AA51" s="397" t="s">
        <v>312</v>
      </c>
      <c r="AB51" s="387"/>
      <c r="AC51" s="214" t="s">
        <v>367</v>
      </c>
      <c r="AE51" s="395" t="s">
        <v>368</v>
      </c>
      <c r="AF51" s="346">
        <f>AF44*7%</f>
        <v>61.9896774</v>
      </c>
      <c r="AG51" s="391"/>
    </row>
    <row r="52" ht="15.75" customHeight="1">
      <c r="AA52" s="397" t="s">
        <v>313</v>
      </c>
      <c r="AB52" s="387">
        <f>180/30*28</f>
        <v>168</v>
      </c>
      <c r="AC52" s="385"/>
      <c r="AE52" s="397"/>
      <c r="AF52" s="346"/>
      <c r="AG52" s="385"/>
    </row>
    <row r="53" ht="15.75" customHeight="1">
      <c r="AA53" s="393" t="s">
        <v>356</v>
      </c>
      <c r="AB53" s="346">
        <f>180</f>
        <v>180</v>
      </c>
      <c r="AC53" s="385"/>
      <c r="AE53" s="385"/>
      <c r="AF53" s="229"/>
      <c r="AG53" s="385"/>
    </row>
    <row r="54" ht="15.75" customHeight="1">
      <c r="AA54" s="385"/>
      <c r="AB54" s="229"/>
      <c r="AC54" s="385"/>
      <c r="AE54" s="385"/>
      <c r="AF54" s="229"/>
      <c r="AG54" s="385"/>
    </row>
    <row r="55" ht="15.75" customHeight="1">
      <c r="AA55" s="388" t="s">
        <v>315</v>
      </c>
      <c r="AB55" s="400"/>
      <c r="AC55" s="401"/>
      <c r="AE55" s="388" t="s">
        <v>304</v>
      </c>
      <c r="AF55" s="389">
        <f>AG43*50%-AG55</f>
        <v>705.56682</v>
      </c>
      <c r="AG55" s="390">
        <f>AF58+AF59+AF60</f>
        <v>180</v>
      </c>
    </row>
    <row r="56" ht="15.75" customHeight="1">
      <c r="AA56" s="393" t="s">
        <v>317</v>
      </c>
      <c r="AB56" s="387">
        <f>100/30*29</f>
        <v>96.66666667</v>
      </c>
      <c r="AC56" s="385"/>
      <c r="AE56" s="393" t="s">
        <v>251</v>
      </c>
      <c r="AF56" s="346">
        <f>AF55/2</f>
        <v>352.78341</v>
      </c>
      <c r="AG56" s="385"/>
    </row>
    <row r="57" ht="15.75" customHeight="1">
      <c r="AA57" s="393"/>
      <c r="AB57" s="346"/>
      <c r="AC57" s="385"/>
      <c r="AE57" s="393" t="s">
        <v>318</v>
      </c>
      <c r="AF57" s="346">
        <f>AF55/2</f>
        <v>352.78341</v>
      </c>
      <c r="AG57" s="385"/>
    </row>
    <row r="58" ht="15.75" customHeight="1">
      <c r="AA58" s="393"/>
      <c r="AB58" s="387"/>
      <c r="AC58" s="385"/>
      <c r="AE58" s="393" t="s">
        <v>252</v>
      </c>
      <c r="AF58" s="387">
        <v>70.0</v>
      </c>
      <c r="AG58" s="385"/>
    </row>
    <row r="59" ht="15.75" customHeight="1">
      <c r="AA59" s="393"/>
      <c r="AB59" s="387"/>
      <c r="AC59" s="385"/>
      <c r="AE59" s="393" t="s">
        <v>320</v>
      </c>
      <c r="AF59" s="387">
        <v>70.0</v>
      </c>
      <c r="AG59" s="385"/>
    </row>
    <row r="60" ht="15.75" customHeight="1">
      <c r="AA60" s="384"/>
      <c r="AB60" s="387"/>
      <c r="AC60" s="385"/>
      <c r="AE60" s="384" t="s">
        <v>321</v>
      </c>
      <c r="AF60" s="387">
        <v>40.0</v>
      </c>
      <c r="AG60" s="385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L6"/>
    <mergeCell ref="M4:W6"/>
    <mergeCell ref="Z4:AA4"/>
    <mergeCell ref="AC4:AD4"/>
    <mergeCell ref="AG4:AH4"/>
    <mergeCell ref="AJ4:AK4"/>
    <mergeCell ref="B7:H7"/>
    <mergeCell ref="M7:S7"/>
  </mergeCells>
  <conditionalFormatting sqref="F9:F40 Q9:Q40 G40:L40 T40:W40">
    <cfRule type="cellIs" dxfId="0" priority="1" operator="greaterThanOrEqual">
      <formula>0</formula>
    </cfRule>
  </conditionalFormatting>
  <conditionalFormatting sqref="F9:F40 Q9:Q40 G40:L40 T40:W40">
    <cfRule type="cellIs" dxfId="1" priority="2" operator="lessThan">
      <formula>0</formula>
    </cfRule>
  </conditionalFormatting>
  <conditionalFormatting sqref="F9:F40 Q9:Q40 G40:L40 T40:W40">
    <cfRule type="cellIs" dxfId="2" priority="3" operator="lessThan">
      <formula>0</formula>
    </cfRule>
  </conditionalFormatting>
  <conditionalFormatting sqref="R40:W40">
    <cfRule type="cellIs" dxfId="0" priority="4" operator="greaterThanOrEqual">
      <formula>0</formula>
    </cfRule>
  </conditionalFormatting>
  <conditionalFormatting sqref="R40:W40">
    <cfRule type="cellIs" dxfId="1" priority="5" operator="lessThan">
      <formula>0</formula>
    </cfRule>
  </conditionalFormatting>
  <conditionalFormatting sqref="R40:W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89"/>
    <col customWidth="1" min="3" max="3" width="13.78"/>
    <col customWidth="1" min="4" max="4" width="16.44"/>
    <col customWidth="1" min="5" max="5" width="21.22"/>
    <col customWidth="1" min="6" max="6" width="24.67"/>
  </cols>
  <sheetData>
    <row r="5">
      <c r="B5" s="147" t="s">
        <v>32</v>
      </c>
      <c r="C5" s="147" t="s">
        <v>33</v>
      </c>
      <c r="D5" s="208" t="s">
        <v>325</v>
      </c>
      <c r="E5" s="339" t="s">
        <v>326</v>
      </c>
      <c r="F5" s="339" t="s">
        <v>327</v>
      </c>
      <c r="G5" s="339" t="s">
        <v>328</v>
      </c>
    </row>
    <row r="6">
      <c r="B6" s="207">
        <v>46235.0</v>
      </c>
      <c r="C6" s="208" t="str">
        <f t="shared" ref="C6:C36" si="1">TEXT(B6,"ddd")</f>
        <v>sáb.</v>
      </c>
      <c r="D6" s="209">
        <f>28964</f>
        <v>28964</v>
      </c>
      <c r="E6" s="404">
        <f>80+115</f>
        <v>195</v>
      </c>
      <c r="F6" s="404">
        <f>1480+240+230</f>
        <v>1950</v>
      </c>
      <c r="G6" s="406">
        <f t="shared" ref="G6:G36" si="2">(E6+F6)/D6</f>
        <v>0.07405745063</v>
      </c>
    </row>
    <row r="7">
      <c r="B7" s="207">
        <v>46236.0</v>
      </c>
      <c r="C7" s="208" t="str">
        <f t="shared" si="1"/>
        <v>dom.</v>
      </c>
      <c r="D7" s="209">
        <f>25934</f>
        <v>25934</v>
      </c>
      <c r="E7" s="404">
        <f>290+80+115</f>
        <v>485</v>
      </c>
      <c r="F7" s="404">
        <f>1030+240+345</f>
        <v>1615</v>
      </c>
      <c r="G7" s="406">
        <f t="shared" si="2"/>
        <v>0.08097478214</v>
      </c>
    </row>
    <row r="8">
      <c r="B8" s="207">
        <v>46237.0</v>
      </c>
      <c r="C8" s="208" t="str">
        <f t="shared" si="1"/>
        <v>seg.</v>
      </c>
      <c r="D8" s="209">
        <f>9146.6</f>
        <v>9146.6</v>
      </c>
      <c r="E8" s="404">
        <f>280</f>
        <v>280</v>
      </c>
      <c r="F8" s="404">
        <f>160+230</f>
        <v>390</v>
      </c>
      <c r="G8" s="406">
        <f t="shared" si="2"/>
        <v>0.07325126276</v>
      </c>
    </row>
    <row r="9">
      <c r="B9" s="207">
        <v>46238.0</v>
      </c>
      <c r="C9" s="208" t="str">
        <f t="shared" si="1"/>
        <v>ter.</v>
      </c>
      <c r="D9" s="209">
        <f>15064</f>
        <v>15064</v>
      </c>
      <c r="E9" s="404">
        <f>400+160+115</f>
        <v>675</v>
      </c>
      <c r="F9" s="404">
        <f>1100+240+115</f>
        <v>1455</v>
      </c>
      <c r="G9" s="406">
        <f t="shared" si="2"/>
        <v>0.1413967074</v>
      </c>
    </row>
    <row r="10">
      <c r="B10" s="207">
        <v>46239.0</v>
      </c>
      <c r="C10" s="208" t="str">
        <f t="shared" si="1"/>
        <v>qua.</v>
      </c>
      <c r="D10" s="209">
        <f>15796.4</f>
        <v>15796.4</v>
      </c>
      <c r="E10" s="404">
        <f>520+160+115</f>
        <v>795</v>
      </c>
      <c r="F10" s="404">
        <f>440+80+230</f>
        <v>750</v>
      </c>
      <c r="G10" s="406">
        <f t="shared" si="2"/>
        <v>0.09780709529</v>
      </c>
    </row>
    <row r="11">
      <c r="B11" s="207">
        <v>46240.0</v>
      </c>
      <c r="C11" s="208" t="str">
        <f t="shared" si="1"/>
        <v>qui.</v>
      </c>
      <c r="D11" s="209">
        <f>10772.5</f>
        <v>10772.5</v>
      </c>
      <c r="E11" s="404">
        <f>200</f>
        <v>200</v>
      </c>
      <c r="F11" s="404">
        <f>560+160+215</f>
        <v>935</v>
      </c>
      <c r="G11" s="406">
        <f t="shared" si="2"/>
        <v>0.1053608726</v>
      </c>
    </row>
    <row r="12">
      <c r="B12" s="207">
        <v>46241.0</v>
      </c>
      <c r="C12" s="208" t="str">
        <f t="shared" si="1"/>
        <v>sex.</v>
      </c>
      <c r="D12" s="209">
        <f>15949.6-301</f>
        <v>15648.6</v>
      </c>
      <c r="E12" s="404">
        <f>80</f>
        <v>80</v>
      </c>
      <c r="F12" s="404">
        <f>1240+240+445</f>
        <v>1925</v>
      </c>
      <c r="G12" s="406">
        <f t="shared" si="2"/>
        <v>0.1281264778</v>
      </c>
    </row>
    <row r="13">
      <c r="B13" s="207">
        <v>46242.0</v>
      </c>
      <c r="C13" s="208" t="str">
        <f t="shared" si="1"/>
        <v>sáb.</v>
      </c>
      <c r="D13" s="209">
        <f>29483.04-3320</f>
        <v>26163.04</v>
      </c>
      <c r="E13" s="405">
        <v>115.0</v>
      </c>
      <c r="F13" s="404">
        <f>1370+320+345</f>
        <v>2035</v>
      </c>
      <c r="G13" s="406">
        <f t="shared" si="2"/>
        <v>0.08217699472</v>
      </c>
    </row>
    <row r="14">
      <c r="B14" s="207">
        <v>46243.0</v>
      </c>
      <c r="C14" s="208" t="str">
        <f t="shared" si="1"/>
        <v>dom.</v>
      </c>
      <c r="D14" s="209">
        <f>25228.1</f>
        <v>25228.1</v>
      </c>
      <c r="E14" s="405">
        <v>110.0</v>
      </c>
      <c r="F14" s="404">
        <f>1470+320+345</f>
        <v>2135</v>
      </c>
      <c r="G14" s="406">
        <f t="shared" si="2"/>
        <v>0.08898807282</v>
      </c>
    </row>
    <row r="15">
      <c r="B15" s="207">
        <v>46244.0</v>
      </c>
      <c r="C15" s="208" t="str">
        <f t="shared" si="1"/>
        <v>seg.</v>
      </c>
      <c r="D15" s="209">
        <f>8567</f>
        <v>8567</v>
      </c>
      <c r="E15" s="404">
        <f>510+115</f>
        <v>625</v>
      </c>
      <c r="F15" s="405">
        <v>0.0</v>
      </c>
      <c r="G15" s="406">
        <f t="shared" si="2"/>
        <v>0.07295435975</v>
      </c>
    </row>
    <row r="16">
      <c r="B16" s="207">
        <v>46245.0</v>
      </c>
      <c r="C16" s="208" t="str">
        <f t="shared" si="1"/>
        <v>ter.</v>
      </c>
      <c r="D16" s="341">
        <v>10922.5</v>
      </c>
      <c r="E16" s="404">
        <f>280+240+230</f>
        <v>750</v>
      </c>
      <c r="F16" s="404">
        <f>500+140</f>
        <v>640</v>
      </c>
      <c r="G16" s="406">
        <f t="shared" si="2"/>
        <v>0.1272602426</v>
      </c>
    </row>
    <row r="17">
      <c r="B17" s="207">
        <v>46246.0</v>
      </c>
      <c r="C17" s="208" t="str">
        <f t="shared" si="1"/>
        <v>qua.</v>
      </c>
      <c r="D17" s="341">
        <v>5666.5</v>
      </c>
      <c r="E17" s="404">
        <f>290+160+230</f>
        <v>680</v>
      </c>
      <c r="F17" s="404">
        <f>240+100</f>
        <v>340</v>
      </c>
      <c r="G17" s="406">
        <f t="shared" si="2"/>
        <v>0.1800052943</v>
      </c>
    </row>
    <row r="18">
      <c r="B18" s="207">
        <v>46247.0</v>
      </c>
      <c r="C18" s="208" t="str">
        <f t="shared" si="1"/>
        <v>qui.</v>
      </c>
      <c r="D18" s="341">
        <v>6285.5</v>
      </c>
      <c r="E18" s="404">
        <f>80+115</f>
        <v>195</v>
      </c>
      <c r="F18" s="404">
        <f>240+115</f>
        <v>355</v>
      </c>
      <c r="G18" s="406">
        <f t="shared" si="2"/>
        <v>0.08750298306</v>
      </c>
    </row>
    <row r="19">
      <c r="B19" s="207">
        <v>46248.0</v>
      </c>
      <c r="C19" s="208" t="str">
        <f t="shared" si="1"/>
        <v>sex.</v>
      </c>
      <c r="D19" s="341">
        <f>18227-441</f>
        <v>17786</v>
      </c>
      <c r="E19" s="404">
        <f>200+80+115</f>
        <v>395</v>
      </c>
      <c r="F19" s="404">
        <f>650+160+115</f>
        <v>925</v>
      </c>
      <c r="G19" s="406">
        <f t="shared" si="2"/>
        <v>0.07421567525</v>
      </c>
    </row>
    <row r="20">
      <c r="B20" s="207">
        <v>46249.0</v>
      </c>
      <c r="C20" s="208" t="str">
        <f t="shared" si="1"/>
        <v>sáb.</v>
      </c>
      <c r="D20" s="341">
        <f>22353.21-20</f>
        <v>22333.21</v>
      </c>
      <c r="E20" s="404">
        <f>80+115</f>
        <v>195</v>
      </c>
      <c r="F20" s="405">
        <f>1370+240+230</f>
        <v>1840</v>
      </c>
      <c r="G20" s="406">
        <f t="shared" si="2"/>
        <v>0.09111990618</v>
      </c>
    </row>
    <row r="21">
      <c r="B21" s="207">
        <v>46250.0</v>
      </c>
      <c r="C21" s="208" t="str">
        <f t="shared" si="1"/>
        <v>dom.</v>
      </c>
      <c r="D21" s="341">
        <v>24106.5</v>
      </c>
      <c r="E21" s="404">
        <f>90+80+115</f>
        <v>285</v>
      </c>
      <c r="F21" s="404">
        <f>1340+240+230</f>
        <v>1810</v>
      </c>
      <c r="G21" s="406">
        <f t="shared" si="2"/>
        <v>0.0869060212</v>
      </c>
    </row>
    <row r="22">
      <c r="B22" s="207">
        <v>46251.0</v>
      </c>
      <c r="C22" s="208" t="str">
        <f t="shared" si="1"/>
        <v>seg.</v>
      </c>
      <c r="D22" s="341">
        <v>6789.07</v>
      </c>
      <c r="E22" s="404">
        <f>270+160+115</f>
        <v>545</v>
      </c>
      <c r="F22" s="405">
        <v>100.0</v>
      </c>
      <c r="G22" s="406">
        <f t="shared" si="2"/>
        <v>0.09500564879</v>
      </c>
    </row>
    <row r="23">
      <c r="B23" s="207">
        <v>46252.0</v>
      </c>
      <c r="C23" s="208" t="str">
        <f t="shared" si="1"/>
        <v>ter.</v>
      </c>
      <c r="D23" s="341">
        <v>6658.0</v>
      </c>
      <c r="E23" s="404">
        <f>180+160+115</f>
        <v>455</v>
      </c>
      <c r="F23" s="405">
        <v>0.0</v>
      </c>
      <c r="G23" s="406">
        <f t="shared" si="2"/>
        <v>0.06833884049</v>
      </c>
    </row>
    <row r="24">
      <c r="B24" s="207">
        <v>46253.0</v>
      </c>
      <c r="C24" s="208" t="str">
        <f t="shared" si="1"/>
        <v>qua.</v>
      </c>
      <c r="D24" s="341">
        <v>5126.0</v>
      </c>
      <c r="E24" s="404">
        <f>195</f>
        <v>195</v>
      </c>
      <c r="F24" s="405">
        <v>0.0</v>
      </c>
      <c r="G24" s="406">
        <f t="shared" si="2"/>
        <v>0.03804135778</v>
      </c>
    </row>
    <row r="25">
      <c r="B25" s="207">
        <v>46254.0</v>
      </c>
      <c r="C25" s="208" t="str">
        <f t="shared" si="1"/>
        <v>qui.</v>
      </c>
      <c r="D25" s="341">
        <v>8613.0</v>
      </c>
      <c r="E25" s="404">
        <f>220+115</f>
        <v>335</v>
      </c>
      <c r="F25" s="404">
        <f>400+100</f>
        <v>500</v>
      </c>
      <c r="G25" s="406">
        <f t="shared" si="2"/>
        <v>0.09694647626</v>
      </c>
    </row>
    <row r="26">
      <c r="B26" s="207">
        <v>46255.0</v>
      </c>
      <c r="C26" s="208" t="str">
        <f t="shared" si="1"/>
        <v>sex.</v>
      </c>
      <c r="D26" s="341">
        <v>14223.0</v>
      </c>
      <c r="E26" s="405">
        <v>0.0</v>
      </c>
      <c r="F26" s="405">
        <v>1350.0</v>
      </c>
      <c r="G26" s="406">
        <f t="shared" si="2"/>
        <v>0.09491668424</v>
      </c>
    </row>
    <row r="27">
      <c r="B27" s="207">
        <v>46256.0</v>
      </c>
      <c r="C27" s="208" t="str">
        <f t="shared" si="1"/>
        <v>sáb.</v>
      </c>
      <c r="D27" s="341">
        <v>23214.9</v>
      </c>
      <c r="E27" s="405">
        <v>115.0</v>
      </c>
      <c r="F27" s="405">
        <v>2020.0</v>
      </c>
      <c r="G27" s="406">
        <f t="shared" si="2"/>
        <v>0.09196679719</v>
      </c>
    </row>
    <row r="28">
      <c r="B28" s="207">
        <v>46257.0</v>
      </c>
      <c r="C28" s="208" t="str">
        <f t="shared" si="1"/>
        <v>dom.</v>
      </c>
      <c r="D28" s="341">
        <v>23284.5</v>
      </c>
      <c r="E28" s="404">
        <f>390+115</f>
        <v>505</v>
      </c>
      <c r="F28" s="404">
        <f>870+240+205</f>
        <v>1315</v>
      </c>
      <c r="G28" s="406">
        <f t="shared" si="2"/>
        <v>0.07816358522</v>
      </c>
    </row>
    <row r="29">
      <c r="B29" s="207">
        <v>46258.0</v>
      </c>
      <c r="C29" s="208" t="str">
        <f t="shared" si="1"/>
        <v>seg.</v>
      </c>
      <c r="D29" s="341">
        <v>11207.4</v>
      </c>
      <c r="E29" s="404">
        <f>400+80+90</f>
        <v>570</v>
      </c>
      <c r="F29" s="404">
        <f>940+240+215</f>
        <v>1395</v>
      </c>
      <c r="G29" s="406">
        <f t="shared" si="2"/>
        <v>0.1753305851</v>
      </c>
    </row>
    <row r="30">
      <c r="B30" s="207">
        <v>46259.0</v>
      </c>
      <c r="C30" s="208" t="str">
        <f t="shared" si="1"/>
        <v>ter.</v>
      </c>
      <c r="D30" s="341">
        <v>6727.0</v>
      </c>
      <c r="E30" s="404">
        <f>380+115</f>
        <v>495</v>
      </c>
      <c r="F30" s="404">
        <f>480+90</f>
        <v>570</v>
      </c>
      <c r="G30" s="406">
        <f t="shared" si="2"/>
        <v>0.1583172291</v>
      </c>
    </row>
    <row r="31">
      <c r="B31" s="207">
        <v>46260.0</v>
      </c>
      <c r="C31" s="208" t="str">
        <f t="shared" si="1"/>
        <v>qua.</v>
      </c>
      <c r="D31" s="209">
        <f>9636.4</f>
        <v>9636.4</v>
      </c>
      <c r="E31" s="404">
        <f>380+160+345</f>
        <v>885</v>
      </c>
      <c r="F31" s="404">
        <f>80+90</f>
        <v>170</v>
      </c>
      <c r="G31" s="406">
        <f t="shared" si="2"/>
        <v>0.1094807189</v>
      </c>
    </row>
    <row r="32">
      <c r="B32" s="207">
        <v>46261.0</v>
      </c>
      <c r="C32" s="208" t="str">
        <f t="shared" si="1"/>
        <v>qui.</v>
      </c>
      <c r="D32" s="341">
        <v>6450.5</v>
      </c>
      <c r="E32" s="404">
        <f>200+90</f>
        <v>290</v>
      </c>
      <c r="F32" s="404">
        <f>360+160+215</f>
        <v>735</v>
      </c>
      <c r="G32" s="406">
        <f t="shared" si="2"/>
        <v>0.1589024107</v>
      </c>
    </row>
    <row r="33">
      <c r="B33" s="207">
        <v>46262.0</v>
      </c>
      <c r="C33" s="208" t="str">
        <f t="shared" si="1"/>
        <v>sex.</v>
      </c>
      <c r="D33" s="209">
        <f>14601.1-182</f>
        <v>14419.1</v>
      </c>
      <c r="E33" s="404">
        <f>300+115</f>
        <v>415</v>
      </c>
      <c r="F33" s="404">
        <f>560+160+230</f>
        <v>950</v>
      </c>
      <c r="G33" s="406">
        <f t="shared" si="2"/>
        <v>0.0946661026</v>
      </c>
    </row>
    <row r="34">
      <c r="B34" s="207">
        <v>46263.0</v>
      </c>
      <c r="C34" s="208" t="str">
        <f t="shared" si="1"/>
        <v>sáb.</v>
      </c>
      <c r="D34" s="209">
        <f>26821.9</f>
        <v>26821.9</v>
      </c>
      <c r="E34" s="404">
        <f>200+115</f>
        <v>315</v>
      </c>
      <c r="F34" s="404">
        <f>1190+320+345</f>
        <v>1855</v>
      </c>
      <c r="G34" s="406">
        <f t="shared" si="2"/>
        <v>0.08090403737</v>
      </c>
    </row>
    <row r="35">
      <c r="B35" s="207">
        <v>46264.0</v>
      </c>
      <c r="C35" s="208" t="str">
        <f t="shared" si="1"/>
        <v>dom.</v>
      </c>
      <c r="D35" s="209">
        <f>28114.6</f>
        <v>28114.6</v>
      </c>
      <c r="E35" s="404">
        <f>440+230</f>
        <v>670</v>
      </c>
      <c r="F35" s="404">
        <f>775+240+230</f>
        <v>1245</v>
      </c>
      <c r="G35" s="406">
        <f t="shared" si="2"/>
        <v>0.06811407596</v>
      </c>
    </row>
    <row r="36">
      <c r="B36" s="207">
        <v>46265.0</v>
      </c>
      <c r="C36" s="208" t="str">
        <f t="shared" si="1"/>
        <v>seg.</v>
      </c>
      <c r="D36" s="209">
        <f>5944.49</f>
        <v>5944.49</v>
      </c>
      <c r="E36" s="404">
        <f>380+160+115</f>
        <v>655</v>
      </c>
      <c r="F36" s="404">
        <f>200</f>
        <v>200</v>
      </c>
      <c r="G36" s="406">
        <f t="shared" si="2"/>
        <v>0.1438306734</v>
      </c>
    </row>
    <row r="37">
      <c r="D37" s="219">
        <f t="shared" ref="D37:F37" si="3">SUM(D6:D36)</f>
        <v>465614.31</v>
      </c>
      <c r="E37" s="219">
        <f t="shared" si="3"/>
        <v>12505</v>
      </c>
      <c r="F37" s="219">
        <f t="shared" si="3"/>
        <v>31505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53.0"/>
    <col customWidth="1" min="4" max="4" width="32.44"/>
    <col customWidth="1" min="5" max="5" width="26.22"/>
  </cols>
  <sheetData>
    <row r="3">
      <c r="B3" s="317"/>
      <c r="C3" s="271"/>
      <c r="D3" s="317"/>
      <c r="E3" s="318" t="s">
        <v>236</v>
      </c>
    </row>
    <row r="4">
      <c r="B4" s="317"/>
      <c r="C4" s="271"/>
      <c r="D4" s="271"/>
      <c r="E4" s="411">
        <v>0.2</v>
      </c>
    </row>
    <row r="5">
      <c r="B5" s="320" t="s">
        <v>242</v>
      </c>
      <c r="C5" s="321" t="s">
        <v>222</v>
      </c>
      <c r="D5" s="335" t="s">
        <v>361</v>
      </c>
      <c r="E5" s="323"/>
    </row>
    <row r="6">
      <c r="B6" s="338"/>
      <c r="C6" s="336" t="s">
        <v>362</v>
      </c>
      <c r="D6" s="349">
        <f>2699</f>
        <v>2699</v>
      </c>
      <c r="E6" s="327">
        <f t="shared" ref="E6:E11" si="1">D6/500000</f>
        <v>0.005398</v>
      </c>
    </row>
    <row r="7">
      <c r="B7" s="338" t="s">
        <v>249</v>
      </c>
      <c r="C7" s="336" t="s">
        <v>227</v>
      </c>
      <c r="D7" s="326">
        <f>99538.01-623-9506.54</f>
        <v>89408.47</v>
      </c>
      <c r="E7" s="327">
        <f t="shared" si="1"/>
        <v>0.17881694</v>
      </c>
    </row>
    <row r="8">
      <c r="B8" s="338" t="s">
        <v>245</v>
      </c>
      <c r="C8" s="336" t="s">
        <v>228</v>
      </c>
      <c r="D8" s="349">
        <f>110369.5-301-9506.54</f>
        <v>100561.96</v>
      </c>
      <c r="E8" s="327">
        <f t="shared" si="1"/>
        <v>0.20112392</v>
      </c>
    </row>
    <row r="9">
      <c r="B9" s="338" t="s">
        <v>244</v>
      </c>
      <c r="C9" s="336" t="s">
        <v>363</v>
      </c>
      <c r="D9" s="349">
        <f>31951-9506.54</f>
        <v>22444.46</v>
      </c>
      <c r="E9" s="327">
        <f t="shared" si="1"/>
        <v>0.04488892</v>
      </c>
      <c r="F9" s="339"/>
    </row>
    <row r="10">
      <c r="B10" s="338" t="s">
        <v>246</v>
      </c>
      <c r="C10" s="336" t="s">
        <v>345</v>
      </c>
      <c r="D10" s="349">
        <f>113426.5-9506.54</f>
        <v>103919.96</v>
      </c>
      <c r="E10" s="327">
        <f t="shared" si="1"/>
        <v>0.20783992</v>
      </c>
    </row>
    <row r="11">
      <c r="B11" s="338" t="s">
        <v>247</v>
      </c>
      <c r="C11" s="328" t="s">
        <v>231</v>
      </c>
      <c r="D11" s="326">
        <f>109442-9506.54</f>
        <v>99935.46</v>
      </c>
      <c r="E11" s="327">
        <f t="shared" si="1"/>
        <v>0.19987092</v>
      </c>
    </row>
    <row r="12">
      <c r="B12" s="338"/>
      <c r="C12" s="328"/>
      <c r="D12" s="329"/>
      <c r="E12" s="327"/>
    </row>
    <row r="13">
      <c r="B13" s="338"/>
      <c r="C13" s="317"/>
      <c r="D13" s="219">
        <f>SUM(D6:D11)+D16+623+301</f>
        <v>464933.31</v>
      </c>
      <c r="E13" s="327">
        <f>SUM(E6:E11)</f>
        <v>0.83793862</v>
      </c>
    </row>
    <row r="14">
      <c r="B14" s="325"/>
      <c r="C14" s="317"/>
      <c r="D14" s="317"/>
      <c r="E14" s="317"/>
    </row>
    <row r="15">
      <c r="B15" s="330"/>
      <c r="C15" s="317" t="s">
        <v>257</v>
      </c>
      <c r="D15" s="408">
        <v>2492.7</v>
      </c>
      <c r="E15" s="317"/>
    </row>
    <row r="16">
      <c r="B16" s="317"/>
      <c r="C16" s="317" t="s">
        <v>258</v>
      </c>
      <c r="D16" s="271">
        <f>452+202.5+43425+960.5</f>
        <v>45040</v>
      </c>
      <c r="E16" s="355" t="s">
        <v>364</v>
      </c>
    </row>
    <row r="17">
      <c r="B17" s="317"/>
      <c r="C17" s="317" t="s">
        <v>259</v>
      </c>
      <c r="D17" s="354">
        <f>SUM(D15:D16)</f>
        <v>47532.7</v>
      </c>
      <c r="E17" s="317"/>
    </row>
    <row r="18">
      <c r="B18" s="317"/>
      <c r="C18" s="317" t="s">
        <v>260</v>
      </c>
      <c r="D18" s="354">
        <f>D17/5</f>
        <v>9506.54</v>
      </c>
      <c r="E18" s="317"/>
    </row>
    <row r="20">
      <c r="D20" s="219">
        <f>512466.01-D15-D16</f>
        <v>464933.31</v>
      </c>
    </row>
    <row r="21">
      <c r="C21" s="317" t="s">
        <v>261</v>
      </c>
      <c r="D21" s="271">
        <f>D20+D15+D16</f>
        <v>512466.01</v>
      </c>
      <c r="E21" s="355" t="s">
        <v>333</v>
      </c>
    </row>
    <row r="22">
      <c r="D22" s="61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8.33"/>
    <col customWidth="1" min="5" max="6" width="23.0"/>
    <col customWidth="1" min="7" max="7" width="12.67"/>
    <col customWidth="1" min="8" max="8" width="15.44"/>
    <col customWidth="1" min="9" max="9" width="10.56"/>
    <col customWidth="1" min="10" max="10" width="14.11"/>
    <col customWidth="1" min="11" max="11" width="12.78"/>
    <col customWidth="1" min="12" max="12" width="15.44"/>
    <col customWidth="1" min="13" max="13" width="17.0"/>
    <col customWidth="1" min="14" max="14" width="10.56"/>
    <col customWidth="1" min="15" max="15" width="18.33"/>
    <col customWidth="1" min="16" max="17" width="17.44"/>
    <col customWidth="1" min="18" max="18" width="10.56"/>
    <col customWidth="1" min="19" max="19" width="13.67"/>
    <col customWidth="1" min="20" max="20" width="12.67"/>
    <col customWidth="1" min="21" max="21" width="14.11"/>
    <col customWidth="1" min="22" max="22" width="12.78"/>
    <col customWidth="1" min="23" max="23" width="12.44"/>
    <col customWidth="1" min="24" max="24" width="17.0"/>
    <col customWidth="1" min="25" max="26" width="10.56"/>
    <col customWidth="1" min="27" max="28" width="14.78"/>
    <col customWidth="1" min="29" max="29" width="14.0"/>
    <col customWidth="1" min="30" max="30" width="13.0"/>
    <col customWidth="1" min="31" max="31" width="14.0"/>
    <col customWidth="1" min="32" max="33" width="10.56"/>
    <col customWidth="1" min="34" max="34" width="13.0"/>
    <col customWidth="1" min="35" max="35" width="14.78"/>
    <col customWidth="1" min="36" max="36" width="10.56"/>
    <col customWidth="1" min="37" max="37" width="33.78"/>
    <col customWidth="1" min="38" max="38" width="14.78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</row>
    <row r="5" ht="15.75" customHeight="1">
      <c r="A5" s="288"/>
      <c r="B5" s="288"/>
      <c r="C5" s="31"/>
      <c r="M5" s="32"/>
      <c r="N5" s="31"/>
      <c r="X5" s="32"/>
      <c r="AA5" s="261">
        <v>45689.0</v>
      </c>
      <c r="AB5" s="261">
        <v>45717.0</v>
      </c>
      <c r="AD5" s="261">
        <v>45689.0</v>
      </c>
      <c r="AE5" s="261">
        <v>45717.0</v>
      </c>
      <c r="AH5" s="261">
        <v>46054.0</v>
      </c>
      <c r="AI5" s="261">
        <v>46082.0</v>
      </c>
      <c r="AK5" s="261">
        <v>46054.0</v>
      </c>
      <c r="AL5" s="261">
        <v>46082.0</v>
      </c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" t="s">
        <v>45</v>
      </c>
      <c r="AA6" s="55">
        <v>3652.4075000000003</v>
      </c>
      <c r="AB6" s="55">
        <v>4545.63</v>
      </c>
      <c r="AC6" s="66">
        <f t="shared" ref="AC6:AC12" si="1">AB6/AA6-1</f>
        <v>0.2445571859</v>
      </c>
      <c r="AD6" s="229">
        <v>3812.5525000000002</v>
      </c>
      <c r="AE6" s="229">
        <v>5771.93</v>
      </c>
      <c r="AF6" s="66">
        <f t="shared" ref="AF6:AF12" si="2">AE6/AD6-1</f>
        <v>0.5139280049</v>
      </c>
      <c r="AG6" s="2" t="s">
        <v>45</v>
      </c>
      <c r="AH6" s="229">
        <v>4714.78</v>
      </c>
      <c r="AI6" s="274">
        <f t="shared" ref="AI6:AI12" si="3">AH6*AC6+AH6</f>
        <v>5867.813329</v>
      </c>
      <c r="AJ6" s="75"/>
      <c r="AK6" s="229">
        <v>3549.79</v>
      </c>
      <c r="AL6" s="274">
        <f t="shared" ref="AL6:AL12" si="4">AK6*AF6+AK6</f>
        <v>5374.126493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Z7" s="8" t="s">
        <v>46</v>
      </c>
      <c r="AA7" s="55">
        <v>3437.8125</v>
      </c>
      <c r="AB7" s="55">
        <v>5976.19</v>
      </c>
      <c r="AC7" s="66">
        <f t="shared" si="1"/>
        <v>0.7383699664</v>
      </c>
      <c r="AD7" s="229">
        <v>4137.565</v>
      </c>
      <c r="AE7" s="229">
        <v>7407.2</v>
      </c>
      <c r="AF7" s="66">
        <f t="shared" si="2"/>
        <v>0.7902316942</v>
      </c>
      <c r="AG7" s="8" t="s">
        <v>46</v>
      </c>
      <c r="AH7" s="229">
        <v>4782.03</v>
      </c>
      <c r="AI7" s="274">
        <f t="shared" si="3"/>
        <v>8312.93733</v>
      </c>
      <c r="AJ7" s="75"/>
      <c r="AK7" s="229">
        <v>4412.95</v>
      </c>
      <c r="AL7" s="274">
        <f t="shared" si="4"/>
        <v>7900.202955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165</v>
      </c>
      <c r="X8" s="44" t="s">
        <v>166</v>
      </c>
      <c r="Z8" s="2" t="s">
        <v>40</v>
      </c>
      <c r="AA8" s="55">
        <v>6062.825000000001</v>
      </c>
      <c r="AB8" s="55">
        <v>5450.1</v>
      </c>
      <c r="AC8" s="66">
        <f t="shared" si="1"/>
        <v>-0.1010626234</v>
      </c>
      <c r="AD8" s="229">
        <v>4168.594999999999</v>
      </c>
      <c r="AE8" s="229">
        <v>6082.42</v>
      </c>
      <c r="AF8" s="66">
        <f t="shared" si="2"/>
        <v>0.459105526</v>
      </c>
      <c r="AG8" s="2" t="s">
        <v>40</v>
      </c>
      <c r="AH8" s="229">
        <v>5010.82</v>
      </c>
      <c r="AI8" s="274">
        <f t="shared" si="3"/>
        <v>4504.413385</v>
      </c>
      <c r="AJ8" s="75"/>
      <c r="AK8" s="229">
        <v>5423.01</v>
      </c>
      <c r="AL8" s="274">
        <f t="shared" si="4"/>
        <v>7912.743858</v>
      </c>
    </row>
    <row r="9" ht="15.75" customHeight="1">
      <c r="A9" s="8"/>
      <c r="B9" s="8"/>
      <c r="C9" s="207">
        <v>46266.0</v>
      </c>
      <c r="D9" s="208" t="str">
        <f t="shared" ref="D9:D38" si="6">TEXT(C9,"ddd")</f>
        <v>ter.</v>
      </c>
      <c r="E9" s="341">
        <v>7500.0</v>
      </c>
      <c r="F9" s="341">
        <v>6932.0</v>
      </c>
      <c r="G9" s="51">
        <f t="shared" ref="G9:G36" si="7">F9-E9</f>
        <v>-568</v>
      </c>
      <c r="H9" s="210">
        <v>36.0</v>
      </c>
      <c r="I9" s="265">
        <f t="shared" ref="I9:I39" si="8">F9/H9</f>
        <v>192.5555556</v>
      </c>
      <c r="J9" s="214">
        <v>6.0</v>
      </c>
      <c r="K9" s="217">
        <v>15.5</v>
      </c>
      <c r="L9" s="214">
        <v>17.0</v>
      </c>
      <c r="M9" s="291">
        <f t="shared" ref="M9:M39" si="9">J9+K9+L9</f>
        <v>38.5</v>
      </c>
      <c r="N9" s="350">
        <f t="shared" ref="N9:O9" si="5">C9</f>
        <v>46266</v>
      </c>
      <c r="O9" s="350" t="str">
        <f t="shared" si="5"/>
        <v>ter.</v>
      </c>
      <c r="P9" s="351">
        <v>6900.0</v>
      </c>
      <c r="Q9" s="213">
        <f>7680.44-690.57</f>
        <v>6989.87</v>
      </c>
      <c r="R9" s="417">
        <f t="shared" ref="R9:R36" si="11">Q9-P9</f>
        <v>89.87</v>
      </c>
      <c r="S9" s="217">
        <v>54.0</v>
      </c>
      <c r="T9" s="418">
        <f t="shared" ref="T9:T39" si="12">Q9/S9</f>
        <v>129.442037</v>
      </c>
      <c r="U9" s="214">
        <v>8.0</v>
      </c>
      <c r="V9" s="57">
        <f>8+34</f>
        <v>42</v>
      </c>
      <c r="W9" s="214">
        <v>6.0</v>
      </c>
      <c r="X9" s="57">
        <f t="shared" ref="X9:X35" si="13">U9+V9+W9</f>
        <v>56</v>
      </c>
      <c r="Z9" s="2" t="s">
        <v>47</v>
      </c>
      <c r="AA9" s="55">
        <v>6195.1050000000005</v>
      </c>
      <c r="AB9" s="55">
        <v>5434.13</v>
      </c>
      <c r="AC9" s="66">
        <f t="shared" si="1"/>
        <v>-0.1228348833</v>
      </c>
      <c r="AD9" s="229">
        <v>5183.4375</v>
      </c>
      <c r="AE9" s="229">
        <v>5086.32</v>
      </c>
      <c r="AF9" s="66">
        <f t="shared" si="2"/>
        <v>-0.01873611865</v>
      </c>
      <c r="AG9" s="2" t="s">
        <v>47</v>
      </c>
      <c r="AH9" s="229">
        <v>4491.8</v>
      </c>
      <c r="AI9" s="274">
        <f t="shared" si="3"/>
        <v>3940.050271</v>
      </c>
      <c r="AJ9" s="75"/>
      <c r="AK9" s="229">
        <v>4676.16</v>
      </c>
      <c r="AL9" s="274">
        <f t="shared" si="4"/>
        <v>4588.546911</v>
      </c>
    </row>
    <row r="10" ht="15.75" customHeight="1">
      <c r="A10" s="8"/>
      <c r="B10" s="8"/>
      <c r="C10" s="207">
        <v>46267.0</v>
      </c>
      <c r="D10" s="208" t="str">
        <f t="shared" si="6"/>
        <v>qua.</v>
      </c>
      <c r="E10" s="341">
        <v>8900.0</v>
      </c>
      <c r="F10" s="341">
        <v>13215.7</v>
      </c>
      <c r="G10" s="51">
        <f t="shared" si="7"/>
        <v>4315.7</v>
      </c>
      <c r="H10" s="210">
        <v>62.0</v>
      </c>
      <c r="I10" s="265">
        <f t="shared" si="8"/>
        <v>213.1564516</v>
      </c>
      <c r="J10" s="214">
        <v>9.0</v>
      </c>
      <c r="K10" s="57">
        <f>5+31</f>
        <v>36</v>
      </c>
      <c r="L10" s="214">
        <v>25.0</v>
      </c>
      <c r="M10" s="57">
        <f t="shared" si="9"/>
        <v>70</v>
      </c>
      <c r="N10" s="350">
        <f t="shared" ref="N10:O10" si="10">C10</f>
        <v>46267</v>
      </c>
      <c r="O10" s="350" t="str">
        <f t="shared" si="10"/>
        <v>qua.</v>
      </c>
      <c r="P10" s="351">
        <v>4200.0</v>
      </c>
      <c r="Q10" s="213">
        <f>4567.24-372.61</f>
        <v>4194.63</v>
      </c>
      <c r="R10" s="417">
        <f t="shared" si="11"/>
        <v>-5.37</v>
      </c>
      <c r="S10" s="217">
        <v>28.0</v>
      </c>
      <c r="T10" s="418">
        <f t="shared" si="12"/>
        <v>149.8082143</v>
      </c>
      <c r="U10" s="214">
        <v>5.0</v>
      </c>
      <c r="V10" s="57">
        <f>4.5+16.5</f>
        <v>21</v>
      </c>
      <c r="W10" s="214">
        <v>4.0</v>
      </c>
      <c r="X10" s="57">
        <f t="shared" si="13"/>
        <v>30</v>
      </c>
      <c r="Z10" s="2" t="s">
        <v>48</v>
      </c>
      <c r="AA10" s="55">
        <v>10387.4</v>
      </c>
      <c r="AB10" s="55">
        <v>10944.55</v>
      </c>
      <c r="AC10" s="66">
        <f t="shared" si="1"/>
        <v>0.05363709879</v>
      </c>
      <c r="AD10" s="229">
        <v>10702.8325</v>
      </c>
      <c r="AE10" s="229">
        <v>11651.22</v>
      </c>
      <c r="AF10" s="66">
        <f t="shared" si="2"/>
        <v>0.08861088875</v>
      </c>
      <c r="AG10" s="2" t="s">
        <v>48</v>
      </c>
      <c r="AH10" s="229">
        <v>12402.16</v>
      </c>
      <c r="AI10" s="274">
        <f t="shared" si="3"/>
        <v>13067.37588</v>
      </c>
      <c r="AJ10" s="75"/>
      <c r="AK10" s="229">
        <v>8692.46</v>
      </c>
      <c r="AL10" s="274">
        <f t="shared" si="4"/>
        <v>9462.706606</v>
      </c>
    </row>
    <row r="11" ht="15.75" customHeight="1">
      <c r="A11" s="8"/>
      <c r="B11" s="8"/>
      <c r="C11" s="207">
        <v>46268.0</v>
      </c>
      <c r="D11" s="208" t="str">
        <f t="shared" si="6"/>
        <v>qui.</v>
      </c>
      <c r="E11" s="341">
        <v>8500.0</v>
      </c>
      <c r="F11" s="341">
        <v>9310.8</v>
      </c>
      <c r="G11" s="51">
        <f t="shared" si="7"/>
        <v>810.8</v>
      </c>
      <c r="H11" s="210">
        <v>37.0</v>
      </c>
      <c r="I11" s="265">
        <f t="shared" si="8"/>
        <v>251.6432432</v>
      </c>
      <c r="J11" s="214">
        <v>15.0</v>
      </c>
      <c r="K11" s="57">
        <f>1.5+13.5</f>
        <v>15</v>
      </c>
      <c r="L11" s="214">
        <v>24.0</v>
      </c>
      <c r="M11" s="57">
        <f t="shared" si="9"/>
        <v>54</v>
      </c>
      <c r="N11" s="350">
        <f t="shared" ref="N11:O11" si="14">C11</f>
        <v>46268</v>
      </c>
      <c r="O11" s="350" t="str">
        <f t="shared" si="14"/>
        <v>qui.</v>
      </c>
      <c r="P11" s="351">
        <v>4400.0</v>
      </c>
      <c r="Q11" s="351">
        <f>4315.55-341.6</f>
        <v>3973.95</v>
      </c>
      <c r="R11" s="417">
        <f t="shared" si="11"/>
        <v>-426.05</v>
      </c>
      <c r="S11" s="217">
        <v>29.0</v>
      </c>
      <c r="T11" s="418">
        <f t="shared" si="12"/>
        <v>137.0327586</v>
      </c>
      <c r="U11" s="214">
        <v>9.0</v>
      </c>
      <c r="V11" s="57">
        <f>2+20</f>
        <v>22</v>
      </c>
      <c r="W11" s="214">
        <v>1.0</v>
      </c>
      <c r="X11" s="57">
        <f t="shared" si="13"/>
        <v>32</v>
      </c>
      <c r="Z11" s="2" t="s">
        <v>171</v>
      </c>
      <c r="AA11" s="55">
        <v>16307.732500000002</v>
      </c>
      <c r="AB11" s="55">
        <v>18139.43</v>
      </c>
      <c r="AC11" s="66">
        <f t="shared" si="1"/>
        <v>0.1123207963</v>
      </c>
      <c r="AD11" s="229">
        <v>13893.575</v>
      </c>
      <c r="AE11" s="229">
        <v>13900.58</v>
      </c>
      <c r="AF11" s="66">
        <f t="shared" si="2"/>
        <v>0.0005041898863</v>
      </c>
      <c r="AG11" s="2" t="s">
        <v>171</v>
      </c>
      <c r="AH11" s="229">
        <v>21497.4</v>
      </c>
      <c r="AI11" s="274">
        <f t="shared" si="3"/>
        <v>23912.00509</v>
      </c>
      <c r="AJ11" s="75"/>
      <c r="AK11" s="229">
        <v>12983.64</v>
      </c>
      <c r="AL11" s="274">
        <f t="shared" si="4"/>
        <v>12990.18622</v>
      </c>
    </row>
    <row r="12" ht="15.75" customHeight="1">
      <c r="A12" s="8"/>
      <c r="B12" s="8"/>
      <c r="C12" s="207">
        <v>46269.0</v>
      </c>
      <c r="D12" s="208" t="str">
        <f t="shared" si="6"/>
        <v>sex.</v>
      </c>
      <c r="E12" s="341">
        <v>16700.0</v>
      </c>
      <c r="F12" s="341">
        <f>21904.5-315</f>
        <v>21589.5</v>
      </c>
      <c r="G12" s="51">
        <f t="shared" si="7"/>
        <v>4889.5</v>
      </c>
      <c r="H12" s="210">
        <v>70.0</v>
      </c>
      <c r="I12" s="265">
        <f t="shared" si="8"/>
        <v>308.4214286</v>
      </c>
      <c r="J12" s="214">
        <v>17.0</v>
      </c>
      <c r="K12" s="57">
        <f>7.5+41.5</f>
        <v>49</v>
      </c>
      <c r="L12" s="214">
        <v>47.0</v>
      </c>
      <c r="M12" s="57">
        <f t="shared" si="9"/>
        <v>113</v>
      </c>
      <c r="N12" s="350">
        <f t="shared" ref="N12:O12" si="15">C12</f>
        <v>46269</v>
      </c>
      <c r="O12" s="350" t="str">
        <f t="shared" si="15"/>
        <v>sex.</v>
      </c>
      <c r="P12" s="351">
        <v>10900.0</v>
      </c>
      <c r="Q12" s="213">
        <f>12040.99-731.66</f>
        <v>11309.33</v>
      </c>
      <c r="R12" s="417">
        <f t="shared" si="11"/>
        <v>409.33</v>
      </c>
      <c r="S12" s="217">
        <v>58.0</v>
      </c>
      <c r="T12" s="418">
        <f t="shared" si="12"/>
        <v>194.9884483</v>
      </c>
      <c r="U12" s="214">
        <v>22.0</v>
      </c>
      <c r="V12" s="57">
        <f>8.5+41.5</f>
        <v>50</v>
      </c>
      <c r="W12" s="214">
        <v>15.0</v>
      </c>
      <c r="X12" s="57">
        <f t="shared" si="13"/>
        <v>87</v>
      </c>
      <c r="Z12" s="2" t="s">
        <v>44</v>
      </c>
      <c r="AA12" s="55">
        <v>14307.8</v>
      </c>
      <c r="AB12" s="55">
        <v>18056.14</v>
      </c>
      <c r="AC12" s="66">
        <f t="shared" si="1"/>
        <v>0.2619787808</v>
      </c>
      <c r="AD12" s="229">
        <v>20893.4225</v>
      </c>
      <c r="AE12" s="229">
        <v>19750.29</v>
      </c>
      <c r="AF12" s="66">
        <f t="shared" si="2"/>
        <v>-0.05471255368</v>
      </c>
      <c r="AG12" s="2" t="s">
        <v>44</v>
      </c>
      <c r="AH12" s="229">
        <v>19314.34</v>
      </c>
      <c r="AI12" s="274">
        <f t="shared" si="3"/>
        <v>24374.28725</v>
      </c>
      <c r="AJ12" s="75"/>
      <c r="AK12" s="229">
        <v>16807.18</v>
      </c>
      <c r="AL12" s="274">
        <f t="shared" si="4"/>
        <v>15887.61626</v>
      </c>
    </row>
    <row r="13" ht="15.75" customHeight="1">
      <c r="A13" s="8"/>
      <c r="B13" s="8"/>
      <c r="C13" s="207">
        <v>46270.0</v>
      </c>
      <c r="D13" s="208" t="str">
        <f t="shared" si="6"/>
        <v>sáb.</v>
      </c>
      <c r="E13" s="341">
        <v>25500.0</v>
      </c>
      <c r="F13" s="341">
        <v>21338.62</v>
      </c>
      <c r="G13" s="51">
        <f t="shared" si="7"/>
        <v>-4161.38</v>
      </c>
      <c r="H13" s="210">
        <v>98.0</v>
      </c>
      <c r="I13" s="265">
        <f t="shared" si="8"/>
        <v>217.7410204</v>
      </c>
      <c r="J13" s="214">
        <v>25.0</v>
      </c>
      <c r="K13" s="57">
        <f>4+40</f>
        <v>44</v>
      </c>
      <c r="L13" s="214">
        <v>47.0</v>
      </c>
      <c r="M13" s="57">
        <f t="shared" si="9"/>
        <v>116</v>
      </c>
      <c r="N13" s="350">
        <f t="shared" ref="N13:O13" si="16">C13</f>
        <v>46270</v>
      </c>
      <c r="O13" s="350" t="str">
        <f t="shared" si="16"/>
        <v>sáb.</v>
      </c>
      <c r="P13" s="351">
        <v>14000.0</v>
      </c>
      <c r="Q13" s="213">
        <f>17307.82-1399.07</f>
        <v>15908.75</v>
      </c>
      <c r="R13" s="417">
        <f t="shared" si="11"/>
        <v>1908.75</v>
      </c>
      <c r="S13" s="217">
        <v>97.0</v>
      </c>
      <c r="T13" s="418">
        <f t="shared" si="12"/>
        <v>164.007732</v>
      </c>
      <c r="U13" s="214">
        <v>28.0</v>
      </c>
      <c r="V13" s="57">
        <f>13+63</f>
        <v>76</v>
      </c>
      <c r="W13" s="214">
        <v>15.0</v>
      </c>
      <c r="X13" s="57">
        <f t="shared" si="13"/>
        <v>119</v>
      </c>
      <c r="AA13" s="167">
        <f t="shared" ref="AA13:AB13" si="17">SUM(AA6:AA12)</f>
        <v>60351.0825</v>
      </c>
      <c r="AB13" s="167">
        <f t="shared" si="17"/>
        <v>68546.17</v>
      </c>
      <c r="AC13" s="61"/>
      <c r="AD13" s="167">
        <f t="shared" ref="AD13:AE13" si="18">SUM(AD6:AD12)</f>
        <v>62791.98</v>
      </c>
      <c r="AE13" s="167">
        <f t="shared" si="18"/>
        <v>69649.96</v>
      </c>
      <c r="AF13" s="61"/>
      <c r="AH13" s="167">
        <f t="shared" ref="AH13:AI13" si="19">SUM(AH6:AH12)</f>
        <v>72213.33</v>
      </c>
      <c r="AI13" s="167">
        <f t="shared" si="19"/>
        <v>83978.88253</v>
      </c>
      <c r="AJ13" s="61"/>
      <c r="AK13" s="167">
        <f t="shared" ref="AK13:AL13" si="20">SUM(AK6:AK12)</f>
        <v>56545.19</v>
      </c>
      <c r="AL13" s="167">
        <f t="shared" si="20"/>
        <v>64116.12931</v>
      </c>
    </row>
    <row r="14" ht="15.75" customHeight="1">
      <c r="A14" s="8"/>
      <c r="B14" s="8"/>
      <c r="C14" s="207">
        <v>46271.0</v>
      </c>
      <c r="D14" s="208" t="str">
        <f t="shared" si="6"/>
        <v>dom.</v>
      </c>
      <c r="E14" s="341">
        <v>25700.0</v>
      </c>
      <c r="F14" s="341">
        <v>20848.0</v>
      </c>
      <c r="G14" s="51">
        <f t="shared" si="7"/>
        <v>-4852</v>
      </c>
      <c r="H14" s="210">
        <v>96.0</v>
      </c>
      <c r="I14" s="265">
        <f t="shared" si="8"/>
        <v>217.1666667</v>
      </c>
      <c r="J14" s="214">
        <v>21.0</v>
      </c>
      <c r="K14" s="57">
        <f>8.5+48.5</f>
        <v>57</v>
      </c>
      <c r="L14" s="214">
        <v>45.0</v>
      </c>
      <c r="M14" s="57">
        <f t="shared" si="9"/>
        <v>123</v>
      </c>
      <c r="N14" s="350">
        <f t="shared" ref="N14:O14" si="21">C14</f>
        <v>46271</v>
      </c>
      <c r="O14" s="350" t="str">
        <f t="shared" si="21"/>
        <v>dom.</v>
      </c>
      <c r="P14" s="351">
        <v>21500.0</v>
      </c>
      <c r="Q14" s="213">
        <f>19500.49-1419.3</f>
        <v>18081.19</v>
      </c>
      <c r="R14" s="417">
        <f t="shared" si="11"/>
        <v>-3418.81</v>
      </c>
      <c r="S14" s="217">
        <v>109.0</v>
      </c>
      <c r="T14" s="418">
        <f t="shared" si="12"/>
        <v>165.8824771</v>
      </c>
      <c r="U14" s="214">
        <v>33.0</v>
      </c>
      <c r="V14" s="57">
        <f>16.5+76.5</f>
        <v>93</v>
      </c>
      <c r="W14" s="214">
        <v>15.0</v>
      </c>
      <c r="X14" s="57">
        <f t="shared" si="13"/>
        <v>141</v>
      </c>
      <c r="AB14" s="66">
        <f>AB13/AA13-1</f>
        <v>0.1357902321</v>
      </c>
      <c r="AE14" s="66">
        <f>AE13/AD13-1</f>
        <v>0.109217451</v>
      </c>
      <c r="AI14" s="66">
        <f>AI13/AH13-1</f>
        <v>0.1629277105</v>
      </c>
      <c r="AL14" s="66">
        <f>AL13/AK13-1</f>
        <v>0.133891836</v>
      </c>
    </row>
    <row r="15" ht="15.75" customHeight="1">
      <c r="A15" s="8"/>
      <c r="B15" s="8"/>
      <c r="C15" s="207">
        <v>46272.0</v>
      </c>
      <c r="D15" s="208" t="str">
        <f t="shared" si="6"/>
        <v>seg.</v>
      </c>
      <c r="E15" s="341">
        <v>12000.0</v>
      </c>
      <c r="F15" s="341">
        <v>11751.0</v>
      </c>
      <c r="G15" s="51">
        <f t="shared" si="7"/>
        <v>-249</v>
      </c>
      <c r="H15" s="210">
        <v>55.0</v>
      </c>
      <c r="I15" s="265">
        <f t="shared" si="8"/>
        <v>213.6545455</v>
      </c>
      <c r="J15" s="214">
        <v>10.0</v>
      </c>
      <c r="K15" s="57">
        <f>4.5+22.5</f>
        <v>27</v>
      </c>
      <c r="L15" s="214">
        <v>30.0</v>
      </c>
      <c r="M15" s="57">
        <f t="shared" si="9"/>
        <v>67</v>
      </c>
      <c r="N15" s="350">
        <f t="shared" ref="N15:O15" si="22">C15</f>
        <v>46272</v>
      </c>
      <c r="O15" s="350" t="str">
        <f t="shared" si="22"/>
        <v>seg.</v>
      </c>
      <c r="P15" s="351">
        <v>14000.0</v>
      </c>
      <c r="Q15" s="213">
        <f>13134.43-1100.12</f>
        <v>12034.31</v>
      </c>
      <c r="R15" s="417">
        <f t="shared" si="11"/>
        <v>-1965.69</v>
      </c>
      <c r="S15" s="217">
        <v>76.0</v>
      </c>
      <c r="T15" s="418">
        <f t="shared" si="12"/>
        <v>158.3461842</v>
      </c>
      <c r="U15" s="214">
        <v>24.0</v>
      </c>
      <c r="V15" s="57">
        <f>8.5+54.5</f>
        <v>63</v>
      </c>
      <c r="W15" s="214">
        <v>10.0</v>
      </c>
      <c r="X15" s="57">
        <f t="shared" si="13"/>
        <v>97</v>
      </c>
    </row>
    <row r="16" ht="15.75" customHeight="1">
      <c r="A16" s="8"/>
      <c r="B16" s="8"/>
      <c r="C16" s="207">
        <v>46273.0</v>
      </c>
      <c r="D16" s="208" t="str">
        <f t="shared" si="6"/>
        <v>ter.</v>
      </c>
      <c r="E16" s="341">
        <v>7500.0</v>
      </c>
      <c r="F16" s="341">
        <v>6485.5</v>
      </c>
      <c r="G16" s="51">
        <f t="shared" si="7"/>
        <v>-1014.5</v>
      </c>
      <c r="H16" s="210">
        <v>34.0</v>
      </c>
      <c r="I16" s="265">
        <f t="shared" si="8"/>
        <v>190.75</v>
      </c>
      <c r="J16" s="214">
        <v>14.0</v>
      </c>
      <c r="K16" s="57">
        <f>1.5+13.5</f>
        <v>15</v>
      </c>
      <c r="L16" s="214">
        <v>9.0</v>
      </c>
      <c r="M16" s="57">
        <f t="shared" si="9"/>
        <v>38</v>
      </c>
      <c r="N16" s="350">
        <f t="shared" ref="N16:O16" si="23">C16</f>
        <v>46273</v>
      </c>
      <c r="O16" s="350" t="str">
        <f t="shared" si="23"/>
        <v>ter.</v>
      </c>
      <c r="P16" s="351">
        <v>6900.0</v>
      </c>
      <c r="Q16" s="213">
        <f>7557.17-674.71</f>
        <v>6882.46</v>
      </c>
      <c r="R16" s="417">
        <f t="shared" si="11"/>
        <v>-17.54</v>
      </c>
      <c r="S16" s="217">
        <v>46.0</v>
      </c>
      <c r="T16" s="418">
        <f t="shared" si="12"/>
        <v>149.6186957</v>
      </c>
      <c r="U16" s="214">
        <v>4.0</v>
      </c>
      <c r="V16" s="57">
        <f>12+39</f>
        <v>51</v>
      </c>
      <c r="W16" s="214">
        <v>1.0</v>
      </c>
      <c r="X16" s="57">
        <f t="shared" si="13"/>
        <v>56</v>
      </c>
    </row>
    <row r="17" ht="15.75" customHeight="1">
      <c r="A17" s="8"/>
      <c r="B17" s="8"/>
      <c r="C17" s="207">
        <v>46274.0</v>
      </c>
      <c r="D17" s="208" t="str">
        <f t="shared" si="6"/>
        <v>qua.</v>
      </c>
      <c r="E17" s="341">
        <v>8900.0</v>
      </c>
      <c r="F17" s="341">
        <v>10607.5</v>
      </c>
      <c r="G17" s="51">
        <f t="shared" si="7"/>
        <v>1707.5</v>
      </c>
      <c r="H17" s="210">
        <v>40.0</v>
      </c>
      <c r="I17" s="265">
        <f t="shared" si="8"/>
        <v>265.1875</v>
      </c>
      <c r="J17" s="214">
        <v>10.0</v>
      </c>
      <c r="K17" s="57">
        <f>4+17</f>
        <v>21</v>
      </c>
      <c r="L17" s="214">
        <v>24.0</v>
      </c>
      <c r="M17" s="57">
        <f t="shared" si="9"/>
        <v>55</v>
      </c>
      <c r="N17" s="350">
        <f t="shared" ref="N17:O17" si="24">C17</f>
        <v>46274</v>
      </c>
      <c r="O17" s="350" t="str">
        <f t="shared" si="24"/>
        <v>qua.</v>
      </c>
      <c r="P17" s="351">
        <v>4200.0</v>
      </c>
      <c r="Q17" s="213">
        <f>3463.71-190.76</f>
        <v>3272.95</v>
      </c>
      <c r="R17" s="417">
        <f t="shared" si="11"/>
        <v>-927.05</v>
      </c>
      <c r="S17" s="217">
        <v>18.0</v>
      </c>
      <c r="T17" s="418">
        <f t="shared" si="12"/>
        <v>181.8305556</v>
      </c>
      <c r="U17" s="214">
        <v>10.0</v>
      </c>
      <c r="V17" s="57">
        <f>1.5+8.5</f>
        <v>10</v>
      </c>
      <c r="W17" s="214">
        <v>6.0</v>
      </c>
      <c r="X17" s="57">
        <f t="shared" si="13"/>
        <v>26</v>
      </c>
    </row>
    <row r="18" ht="15.75" customHeight="1">
      <c r="A18" s="8"/>
      <c r="B18" s="8"/>
      <c r="C18" s="207">
        <v>46275.0</v>
      </c>
      <c r="D18" s="208" t="str">
        <f t="shared" si="6"/>
        <v>qui.</v>
      </c>
      <c r="E18" s="341">
        <v>8500.0</v>
      </c>
      <c r="F18" s="341">
        <v>15435.0</v>
      </c>
      <c r="G18" s="51">
        <f t="shared" si="7"/>
        <v>6935</v>
      </c>
      <c r="H18" s="210">
        <v>59.0</v>
      </c>
      <c r="I18" s="265">
        <f t="shared" si="8"/>
        <v>261.6101695</v>
      </c>
      <c r="J18" s="214">
        <v>6.0</v>
      </c>
      <c r="K18" s="214">
        <v>25.0</v>
      </c>
      <c r="L18" s="214">
        <v>44.0</v>
      </c>
      <c r="M18" s="57">
        <f t="shared" si="9"/>
        <v>75</v>
      </c>
      <c r="N18" s="350">
        <f t="shared" ref="N18:O18" si="25">C18</f>
        <v>46275</v>
      </c>
      <c r="O18" s="350" t="str">
        <f t="shared" si="25"/>
        <v>qui.</v>
      </c>
      <c r="P18" s="351">
        <v>4400.0</v>
      </c>
      <c r="Q18" s="213">
        <f>4405.21-299.6</f>
        <v>4105.61</v>
      </c>
      <c r="R18" s="417">
        <f t="shared" si="11"/>
        <v>-294.39</v>
      </c>
      <c r="S18" s="217">
        <v>24.0</v>
      </c>
      <c r="T18" s="418">
        <f t="shared" si="12"/>
        <v>171.0670833</v>
      </c>
      <c r="U18" s="214">
        <v>6.0</v>
      </c>
      <c r="V18" s="57">
        <f>1.5+14.5</f>
        <v>16</v>
      </c>
      <c r="W18" s="214">
        <v>8.0</v>
      </c>
      <c r="X18" s="57">
        <f t="shared" si="13"/>
        <v>30</v>
      </c>
    </row>
    <row r="19" ht="15.75" customHeight="1">
      <c r="A19" s="8"/>
      <c r="B19" s="8"/>
      <c r="C19" s="207">
        <v>46276.0</v>
      </c>
      <c r="D19" s="208" t="str">
        <f t="shared" si="6"/>
        <v>sex.</v>
      </c>
      <c r="E19" s="341">
        <v>16700.0</v>
      </c>
      <c r="F19" s="341">
        <f>25657.2-399</f>
        <v>25258.2</v>
      </c>
      <c r="G19" s="51">
        <f t="shared" si="7"/>
        <v>8558.2</v>
      </c>
      <c r="H19" s="210">
        <v>90.0</v>
      </c>
      <c r="I19" s="265">
        <f t="shared" si="8"/>
        <v>280.6466667</v>
      </c>
      <c r="J19" s="214">
        <v>26.0</v>
      </c>
      <c r="K19" s="57">
        <f>5.5+41.5</f>
        <v>47</v>
      </c>
      <c r="L19" s="214">
        <v>62.0</v>
      </c>
      <c r="M19" s="57">
        <f t="shared" si="9"/>
        <v>135</v>
      </c>
      <c r="N19" s="350">
        <f t="shared" ref="N19:O19" si="26">C19</f>
        <v>46276</v>
      </c>
      <c r="O19" s="350" t="str">
        <f t="shared" si="26"/>
        <v>sex.</v>
      </c>
      <c r="P19" s="351">
        <v>10900.0</v>
      </c>
      <c r="Q19" s="213">
        <f>12117.6-817.63</f>
        <v>11299.97</v>
      </c>
      <c r="R19" s="417">
        <f t="shared" si="11"/>
        <v>399.97</v>
      </c>
      <c r="S19" s="217">
        <v>67.0</v>
      </c>
      <c r="T19" s="418">
        <f t="shared" si="12"/>
        <v>168.6562687</v>
      </c>
      <c r="U19" s="214">
        <v>29.0</v>
      </c>
      <c r="V19" s="57">
        <f>11.5+36.5</f>
        <v>48</v>
      </c>
      <c r="W19" s="214">
        <v>12.0</v>
      </c>
      <c r="X19" s="57">
        <f t="shared" si="13"/>
        <v>89</v>
      </c>
      <c r="AB19" s="70"/>
      <c r="AC19" s="71" t="s">
        <v>52</v>
      </c>
      <c r="AD19" s="72"/>
      <c r="AE19" s="73" t="s">
        <v>53</v>
      </c>
      <c r="AI19" s="317"/>
      <c r="AJ19" s="271"/>
      <c r="AK19" s="317"/>
      <c r="AL19" s="317"/>
    </row>
    <row r="20" ht="15.75" customHeight="1">
      <c r="A20" s="8"/>
      <c r="B20" s="8"/>
      <c r="C20" s="207">
        <v>46277.0</v>
      </c>
      <c r="D20" s="208" t="str">
        <f t="shared" si="6"/>
        <v>sáb.</v>
      </c>
      <c r="E20" s="341">
        <v>25500.0</v>
      </c>
      <c r="F20" s="341">
        <v>28385.48</v>
      </c>
      <c r="G20" s="51">
        <f t="shared" si="7"/>
        <v>2885.48</v>
      </c>
      <c r="H20" s="210">
        <v>101.0</v>
      </c>
      <c r="I20" s="265">
        <f t="shared" si="8"/>
        <v>281.0443564</v>
      </c>
      <c r="J20" s="214">
        <v>26.0</v>
      </c>
      <c r="K20" s="57">
        <f>8.5+52.5</f>
        <v>61</v>
      </c>
      <c r="L20" s="214">
        <v>64.0</v>
      </c>
      <c r="M20" s="57">
        <f t="shared" si="9"/>
        <v>151</v>
      </c>
      <c r="N20" s="350">
        <f t="shared" ref="N20:O20" si="27">C20</f>
        <v>46277</v>
      </c>
      <c r="O20" s="350" t="str">
        <f t="shared" si="27"/>
        <v>sáb.</v>
      </c>
      <c r="P20" s="351">
        <v>14000.0</v>
      </c>
      <c r="Q20" s="213">
        <f>15808.16-1111.92</f>
        <v>14696.24</v>
      </c>
      <c r="R20" s="417">
        <f t="shared" si="11"/>
        <v>696.24</v>
      </c>
      <c r="S20" s="217">
        <v>84.0</v>
      </c>
      <c r="T20" s="418">
        <f t="shared" si="12"/>
        <v>174.9552381</v>
      </c>
      <c r="U20" s="214">
        <v>29.0</v>
      </c>
      <c r="V20" s="57">
        <f>14+65</f>
        <v>79</v>
      </c>
      <c r="W20" s="214">
        <v>8.0</v>
      </c>
      <c r="X20" s="57">
        <f t="shared" si="13"/>
        <v>116</v>
      </c>
      <c r="AB20" s="74" t="s">
        <v>29</v>
      </c>
      <c r="AC20" s="386">
        <v>425000.0</v>
      </c>
      <c r="AD20" s="2" t="s">
        <v>29</v>
      </c>
      <c r="AE20" s="365">
        <v>285000.0</v>
      </c>
      <c r="AI20" s="317"/>
      <c r="AJ20" s="271"/>
      <c r="AK20" s="271"/>
      <c r="AL20" s="366"/>
    </row>
    <row r="21" ht="15.75" customHeight="1">
      <c r="A21" s="8"/>
      <c r="B21" s="8"/>
      <c r="C21" s="207">
        <v>46278.0</v>
      </c>
      <c r="D21" s="208" t="str">
        <f t="shared" si="6"/>
        <v>dom.</v>
      </c>
      <c r="E21" s="341">
        <v>25700.0</v>
      </c>
      <c r="F21" s="341">
        <v>19092.2</v>
      </c>
      <c r="G21" s="51">
        <f t="shared" si="7"/>
        <v>-6607.8</v>
      </c>
      <c r="H21" s="210">
        <v>86.0</v>
      </c>
      <c r="I21" s="265">
        <f t="shared" si="8"/>
        <v>222.0023256</v>
      </c>
      <c r="J21" s="214">
        <v>20.0</v>
      </c>
      <c r="K21" s="57">
        <f>5.5+45.5</f>
        <v>51</v>
      </c>
      <c r="L21" s="214">
        <v>42.0</v>
      </c>
      <c r="M21" s="57">
        <f t="shared" si="9"/>
        <v>113</v>
      </c>
      <c r="N21" s="350">
        <f t="shared" ref="N21:O21" si="28">C21</f>
        <v>46278</v>
      </c>
      <c r="O21" s="350" t="str">
        <f t="shared" si="28"/>
        <v>dom.</v>
      </c>
      <c r="P21" s="351">
        <v>21500.0</v>
      </c>
      <c r="Q21" s="213">
        <f>18619.28-1591.35</f>
        <v>17027.93</v>
      </c>
      <c r="R21" s="417">
        <f t="shared" si="11"/>
        <v>-4472.07</v>
      </c>
      <c r="S21" s="217">
        <v>112.0</v>
      </c>
      <c r="T21" s="418">
        <f t="shared" si="12"/>
        <v>152.0350893</v>
      </c>
      <c r="U21" s="214">
        <v>21.0</v>
      </c>
      <c r="V21" s="57">
        <f>12+86</f>
        <v>98</v>
      </c>
      <c r="W21" s="214">
        <v>13.0</v>
      </c>
      <c r="X21" s="57">
        <f t="shared" si="13"/>
        <v>132</v>
      </c>
      <c r="AB21" s="74"/>
      <c r="AC21" s="2"/>
      <c r="AD21" s="2"/>
      <c r="AE21" s="77"/>
      <c r="AI21" s="367"/>
      <c r="AJ21" s="367"/>
      <c r="AK21" s="368"/>
      <c r="AL21" s="368"/>
    </row>
    <row r="22" ht="15.75" customHeight="1">
      <c r="A22" s="8"/>
      <c r="B22" s="8"/>
      <c r="C22" s="207">
        <v>46279.0</v>
      </c>
      <c r="D22" s="208" t="str">
        <f t="shared" si="6"/>
        <v>seg.</v>
      </c>
      <c r="E22" s="341">
        <v>8500.0</v>
      </c>
      <c r="F22" s="341">
        <v>6931.0</v>
      </c>
      <c r="G22" s="51">
        <f t="shared" si="7"/>
        <v>-1569</v>
      </c>
      <c r="H22" s="210">
        <v>34.0</v>
      </c>
      <c r="I22" s="265">
        <f t="shared" si="8"/>
        <v>203.8529412</v>
      </c>
      <c r="J22" s="214">
        <v>7.0</v>
      </c>
      <c r="K22" s="57">
        <f>2.5+17.5</f>
        <v>20</v>
      </c>
      <c r="L22" s="214">
        <v>12.0</v>
      </c>
      <c r="M22" s="57">
        <f t="shared" si="9"/>
        <v>39</v>
      </c>
      <c r="N22" s="350">
        <f t="shared" ref="N22:O22" si="29">C22</f>
        <v>46279</v>
      </c>
      <c r="O22" s="350" t="str">
        <f t="shared" si="29"/>
        <v>seg.</v>
      </c>
      <c r="P22" s="351">
        <v>4100.0</v>
      </c>
      <c r="Q22" s="213">
        <f>4074.92-230.34</f>
        <v>3844.58</v>
      </c>
      <c r="R22" s="417">
        <f t="shared" si="11"/>
        <v>-255.42</v>
      </c>
      <c r="S22" s="217">
        <v>32.0</v>
      </c>
      <c r="T22" s="418">
        <f t="shared" si="12"/>
        <v>120.143125</v>
      </c>
      <c r="U22" s="214">
        <v>4.0</v>
      </c>
      <c r="V22" s="57">
        <f>2.5+19.5</f>
        <v>22</v>
      </c>
      <c r="W22" s="214">
        <v>1.0</v>
      </c>
      <c r="X22" s="57">
        <f t="shared" si="13"/>
        <v>27</v>
      </c>
      <c r="AB22" s="74" t="s">
        <v>58</v>
      </c>
      <c r="AC22" s="75">
        <f>SUM(F9:F15)</f>
        <v>104985.62</v>
      </c>
      <c r="AD22" s="58" t="s">
        <v>58</v>
      </c>
      <c r="AE22" s="76">
        <f>SUM(Q9:Q15)</f>
        <v>72492.03</v>
      </c>
      <c r="AI22" s="369"/>
      <c r="AJ22" s="317"/>
      <c r="AK22" s="271"/>
      <c r="AL22" s="370"/>
    </row>
    <row r="23" ht="15.75" customHeight="1">
      <c r="A23" s="8"/>
      <c r="B23" s="8"/>
      <c r="C23" s="207">
        <v>46280.0</v>
      </c>
      <c r="D23" s="208" t="str">
        <f t="shared" si="6"/>
        <v>ter.</v>
      </c>
      <c r="E23" s="341">
        <v>7500.0</v>
      </c>
      <c r="F23" s="209">
        <f>21+6823.3</f>
        <v>6844.3</v>
      </c>
      <c r="G23" s="51">
        <f t="shared" si="7"/>
        <v>-655.7</v>
      </c>
      <c r="H23" s="210">
        <v>26.0</v>
      </c>
      <c r="I23" s="265">
        <f t="shared" si="8"/>
        <v>263.2423077</v>
      </c>
      <c r="J23" s="214">
        <v>1.0</v>
      </c>
      <c r="K23" s="57">
        <f>4+16</f>
        <v>20</v>
      </c>
      <c r="L23" s="214">
        <v>11.0</v>
      </c>
      <c r="M23" s="57">
        <f t="shared" si="9"/>
        <v>32</v>
      </c>
      <c r="N23" s="350">
        <f t="shared" ref="N23:O23" si="30">C23</f>
        <v>46280</v>
      </c>
      <c r="O23" s="350" t="str">
        <f t="shared" si="30"/>
        <v>ter.</v>
      </c>
      <c r="P23" s="351">
        <v>6900.0</v>
      </c>
      <c r="Q23" s="213">
        <f>2072.96+5846-305.85</f>
        <v>7613.11</v>
      </c>
      <c r="R23" s="417">
        <f t="shared" si="11"/>
        <v>713.11</v>
      </c>
      <c r="S23" s="217">
        <v>58.0</v>
      </c>
      <c r="T23" s="418">
        <f t="shared" si="12"/>
        <v>131.2605172</v>
      </c>
      <c r="U23" s="214">
        <v>4.0</v>
      </c>
      <c r="V23" s="214">
        <f>9.5+45.5</f>
        <v>55</v>
      </c>
      <c r="W23" s="214">
        <v>3.0</v>
      </c>
      <c r="X23" s="57">
        <f t="shared" si="13"/>
        <v>62</v>
      </c>
      <c r="AB23" s="74"/>
      <c r="AC23" s="79">
        <f>AC22/AC20</f>
        <v>0.2470249882</v>
      </c>
      <c r="AE23" s="80">
        <f>AE22/AE20</f>
        <v>0.254358</v>
      </c>
      <c r="AF23" s="66"/>
      <c r="AI23" s="317"/>
      <c r="AJ23" s="317"/>
      <c r="AK23" s="271"/>
      <c r="AL23" s="370"/>
    </row>
    <row r="24" ht="15.75" customHeight="1">
      <c r="A24" s="8"/>
      <c r="B24" s="8"/>
      <c r="C24" s="207">
        <v>46281.0</v>
      </c>
      <c r="D24" s="208" t="str">
        <f t="shared" si="6"/>
        <v>qua.</v>
      </c>
      <c r="E24" s="341">
        <v>8900.0</v>
      </c>
      <c r="F24" s="341">
        <v>7964.0</v>
      </c>
      <c r="G24" s="51">
        <f t="shared" si="7"/>
        <v>-936</v>
      </c>
      <c r="H24" s="210">
        <v>36.0</v>
      </c>
      <c r="I24" s="265">
        <f t="shared" si="8"/>
        <v>221.2222222</v>
      </c>
      <c r="J24" s="214">
        <v>13.0</v>
      </c>
      <c r="K24" s="57">
        <f>3+15</f>
        <v>18</v>
      </c>
      <c r="L24" s="214">
        <v>18.0</v>
      </c>
      <c r="M24" s="57">
        <f t="shared" si="9"/>
        <v>49</v>
      </c>
      <c r="N24" s="350">
        <f t="shared" ref="N24:O24" si="31">C24</f>
        <v>46281</v>
      </c>
      <c r="O24" s="350" t="str">
        <f t="shared" si="31"/>
        <v>qua.</v>
      </c>
      <c r="P24" s="351">
        <v>4200.0</v>
      </c>
      <c r="Q24" s="213">
        <f>6415.1-508.22</f>
        <v>5906.88</v>
      </c>
      <c r="R24" s="417">
        <f t="shared" si="11"/>
        <v>1706.88</v>
      </c>
      <c r="S24" s="217">
        <v>40.0</v>
      </c>
      <c r="T24" s="418">
        <f t="shared" si="12"/>
        <v>147.672</v>
      </c>
      <c r="U24" s="214">
        <v>13.0</v>
      </c>
      <c r="V24" s="57">
        <f>6+26</f>
        <v>32</v>
      </c>
      <c r="W24" s="214">
        <v>1.0</v>
      </c>
      <c r="X24" s="57">
        <f t="shared" si="13"/>
        <v>46</v>
      </c>
      <c r="AB24" s="74"/>
      <c r="AC24" s="81"/>
      <c r="AE24" s="77"/>
      <c r="AI24" s="369"/>
      <c r="AJ24" s="317"/>
      <c r="AK24" s="271"/>
      <c r="AL24" s="370"/>
    </row>
    <row r="25" ht="15.75" customHeight="1">
      <c r="A25" s="8"/>
      <c r="B25" s="8"/>
      <c r="C25" s="207">
        <v>46282.0</v>
      </c>
      <c r="D25" s="208" t="str">
        <f t="shared" si="6"/>
        <v>qui.</v>
      </c>
      <c r="E25" s="341">
        <v>8500.0</v>
      </c>
      <c r="F25" s="341">
        <v>12734.75</v>
      </c>
      <c r="G25" s="51">
        <f t="shared" si="7"/>
        <v>4234.75</v>
      </c>
      <c r="H25" s="210">
        <v>48.0</v>
      </c>
      <c r="I25" s="265">
        <f t="shared" si="8"/>
        <v>265.3072917</v>
      </c>
      <c r="J25" s="214">
        <v>11.0</v>
      </c>
      <c r="K25" s="57">
        <f>7+29</f>
        <v>36</v>
      </c>
      <c r="L25" s="214">
        <v>21.0</v>
      </c>
      <c r="M25" s="57">
        <f t="shared" si="9"/>
        <v>68</v>
      </c>
      <c r="N25" s="350">
        <f t="shared" ref="N25:O25" si="32">C25</f>
        <v>46282</v>
      </c>
      <c r="O25" s="350" t="str">
        <f t="shared" si="32"/>
        <v>qui.</v>
      </c>
      <c r="P25" s="351">
        <v>4400.0</v>
      </c>
      <c r="Q25" s="213">
        <f>3985.69-301.16</f>
        <v>3684.53</v>
      </c>
      <c r="R25" s="417">
        <f t="shared" si="11"/>
        <v>-715.47</v>
      </c>
      <c r="S25" s="217">
        <v>30.0</v>
      </c>
      <c r="T25" s="418">
        <f t="shared" si="12"/>
        <v>122.8176667</v>
      </c>
      <c r="U25" s="214">
        <v>5.0</v>
      </c>
      <c r="V25" s="57">
        <f>1+21</f>
        <v>22</v>
      </c>
      <c r="W25" s="214">
        <v>0.0</v>
      </c>
      <c r="X25" s="57">
        <f t="shared" si="13"/>
        <v>27</v>
      </c>
      <c r="AB25" s="74" t="s">
        <v>62</v>
      </c>
      <c r="AC25" s="75">
        <f>SUM(F16:F22)</f>
        <v>112194.88</v>
      </c>
      <c r="AD25" s="58" t="s">
        <v>62</v>
      </c>
      <c r="AE25" s="76">
        <f>SUM(Q16:Q22)</f>
        <v>61129.74</v>
      </c>
      <c r="AI25" s="317"/>
      <c r="AJ25" s="317"/>
      <c r="AK25" s="271"/>
      <c r="AL25" s="370"/>
    </row>
    <row r="26" ht="15.75" customHeight="1">
      <c r="A26" s="8"/>
      <c r="B26" s="8"/>
      <c r="C26" s="207">
        <v>46283.0</v>
      </c>
      <c r="D26" s="208" t="str">
        <f t="shared" si="6"/>
        <v>sex.</v>
      </c>
      <c r="E26" s="341">
        <v>16700.0</v>
      </c>
      <c r="F26" s="341">
        <f>24905.6-420</f>
        <v>24485.6</v>
      </c>
      <c r="G26" s="51">
        <f t="shared" si="7"/>
        <v>7785.6</v>
      </c>
      <c r="H26" s="210">
        <v>103.0</v>
      </c>
      <c r="I26" s="265">
        <f t="shared" si="8"/>
        <v>237.7242718</v>
      </c>
      <c r="J26" s="214">
        <v>27.0</v>
      </c>
      <c r="K26" s="57">
        <f>8.5+67.5</f>
        <v>76</v>
      </c>
      <c r="L26" s="214">
        <v>36.0</v>
      </c>
      <c r="M26" s="57">
        <f t="shared" si="9"/>
        <v>139</v>
      </c>
      <c r="N26" s="350">
        <f t="shared" ref="N26:O26" si="33">C26</f>
        <v>46283</v>
      </c>
      <c r="O26" s="350" t="str">
        <f t="shared" si="33"/>
        <v>sex.</v>
      </c>
      <c r="P26" s="351">
        <v>10900.0</v>
      </c>
      <c r="Q26" s="213">
        <f>10200.04-376.92</f>
        <v>9823.12</v>
      </c>
      <c r="R26" s="417">
        <f t="shared" si="11"/>
        <v>-1076.88</v>
      </c>
      <c r="S26" s="217">
        <v>57.0</v>
      </c>
      <c r="T26" s="418">
        <f t="shared" si="12"/>
        <v>172.3354386</v>
      </c>
      <c r="U26" s="214">
        <v>10.0</v>
      </c>
      <c r="V26" s="57">
        <f>6+39</f>
        <v>45</v>
      </c>
      <c r="W26" s="214">
        <v>18.0</v>
      </c>
      <c r="X26" s="57">
        <f t="shared" si="13"/>
        <v>73</v>
      </c>
      <c r="AB26" s="74"/>
      <c r="AC26" s="79">
        <f>AC25/AC20</f>
        <v>0.2639879529</v>
      </c>
      <c r="AE26" s="80">
        <f>AE25/AE20</f>
        <v>0.2144903158</v>
      </c>
      <c r="AI26" s="369"/>
      <c r="AJ26" s="317"/>
      <c r="AK26" s="271"/>
      <c r="AL26" s="370"/>
    </row>
    <row r="27" ht="15.75" customHeight="1">
      <c r="A27" s="8"/>
      <c r="B27" s="8"/>
      <c r="C27" s="207">
        <v>46284.0</v>
      </c>
      <c r="D27" s="208" t="str">
        <f t="shared" si="6"/>
        <v>sáb.</v>
      </c>
      <c r="E27" s="341">
        <v>25500.0</v>
      </c>
      <c r="F27" s="341">
        <v>21439.9</v>
      </c>
      <c r="G27" s="51">
        <f t="shared" si="7"/>
        <v>-4060.1</v>
      </c>
      <c r="H27" s="210">
        <v>90.0</v>
      </c>
      <c r="I27" s="265">
        <f t="shared" si="8"/>
        <v>238.2211111</v>
      </c>
      <c r="J27" s="214">
        <v>27.0</v>
      </c>
      <c r="K27" s="57">
        <f>8.5+44.5</f>
        <v>53</v>
      </c>
      <c r="L27" s="214">
        <v>44.0</v>
      </c>
      <c r="M27" s="57">
        <f t="shared" si="9"/>
        <v>124</v>
      </c>
      <c r="N27" s="350">
        <f t="shared" ref="N27:O27" si="34">C27</f>
        <v>46284</v>
      </c>
      <c r="O27" s="350" t="str">
        <f t="shared" si="34"/>
        <v>sáb.</v>
      </c>
      <c r="P27" s="351">
        <v>14000.0</v>
      </c>
      <c r="Q27" s="213">
        <f>13272.04-1116.42</f>
        <v>12155.62</v>
      </c>
      <c r="R27" s="417">
        <f t="shared" si="11"/>
        <v>-1844.38</v>
      </c>
      <c r="S27" s="217">
        <v>77.0</v>
      </c>
      <c r="T27" s="418">
        <f t="shared" si="12"/>
        <v>157.8651948</v>
      </c>
      <c r="U27" s="214">
        <v>23.0</v>
      </c>
      <c r="V27" s="57">
        <f>11+52</f>
        <v>63</v>
      </c>
      <c r="W27" s="214">
        <v>10.0</v>
      </c>
      <c r="X27" s="57">
        <f t="shared" si="13"/>
        <v>96</v>
      </c>
      <c r="AB27" s="74"/>
      <c r="AC27" s="81"/>
      <c r="AE27" s="77"/>
      <c r="AI27" s="317"/>
      <c r="AJ27" s="317"/>
      <c r="AK27" s="271"/>
      <c r="AL27" s="370"/>
    </row>
    <row r="28" ht="15.75" customHeight="1">
      <c r="A28" s="8"/>
      <c r="B28" s="8"/>
      <c r="C28" s="207">
        <v>46285.0</v>
      </c>
      <c r="D28" s="208" t="str">
        <f t="shared" si="6"/>
        <v>dom.</v>
      </c>
      <c r="E28" s="341">
        <v>25700.0</v>
      </c>
      <c r="F28" s="341">
        <v>29141.0</v>
      </c>
      <c r="G28" s="51">
        <f t="shared" si="7"/>
        <v>3441</v>
      </c>
      <c r="H28" s="210">
        <v>103.0</v>
      </c>
      <c r="I28" s="265">
        <f t="shared" si="8"/>
        <v>282.9223301</v>
      </c>
      <c r="J28" s="214">
        <v>26.0</v>
      </c>
      <c r="K28" s="57">
        <f>13.5+63.5</f>
        <v>77</v>
      </c>
      <c r="L28" s="214">
        <v>56.0</v>
      </c>
      <c r="M28" s="57">
        <f t="shared" si="9"/>
        <v>159</v>
      </c>
      <c r="N28" s="350">
        <f t="shared" ref="N28:O28" si="35">C28</f>
        <v>46285</v>
      </c>
      <c r="O28" s="350" t="str">
        <f t="shared" si="35"/>
        <v>dom.</v>
      </c>
      <c r="P28" s="351">
        <v>21500.0</v>
      </c>
      <c r="Q28" s="213">
        <f>19718.92-1318.72</f>
        <v>18400.2</v>
      </c>
      <c r="R28" s="417">
        <f t="shared" si="11"/>
        <v>-3099.8</v>
      </c>
      <c r="S28" s="217">
        <v>104.0</v>
      </c>
      <c r="T28" s="418">
        <f t="shared" si="12"/>
        <v>176.925</v>
      </c>
      <c r="U28" s="214">
        <v>28.0</v>
      </c>
      <c r="V28" s="57">
        <f>17+85</f>
        <v>102</v>
      </c>
      <c r="W28" s="214">
        <v>13.0</v>
      </c>
      <c r="X28" s="57">
        <f t="shared" si="13"/>
        <v>143</v>
      </c>
      <c r="AB28" s="74" t="s">
        <v>63</v>
      </c>
      <c r="AC28" s="75">
        <f>SUM(F23:F29)</f>
        <v>111592.15</v>
      </c>
      <c r="AD28" s="58" t="s">
        <v>63</v>
      </c>
      <c r="AE28" s="76">
        <f>SUM(Q23:Q29)</f>
        <v>62263.13</v>
      </c>
      <c r="AI28" s="317"/>
      <c r="AJ28" s="317"/>
      <c r="AK28" s="271"/>
      <c r="AL28" s="317"/>
    </row>
    <row r="29" ht="15.75" customHeight="1">
      <c r="A29" s="8"/>
      <c r="B29" s="8"/>
      <c r="C29" s="207">
        <v>46286.0</v>
      </c>
      <c r="D29" s="208" t="str">
        <f t="shared" si="6"/>
        <v>seg.</v>
      </c>
      <c r="E29" s="341">
        <v>8500.0</v>
      </c>
      <c r="F29" s="341">
        <v>8982.6</v>
      </c>
      <c r="G29" s="51">
        <f t="shared" si="7"/>
        <v>482.6</v>
      </c>
      <c r="H29" s="210">
        <v>45.0</v>
      </c>
      <c r="I29" s="265">
        <f t="shared" si="8"/>
        <v>199.6133333</v>
      </c>
      <c r="J29" s="214">
        <v>7.0</v>
      </c>
      <c r="K29" s="57">
        <f>3+15</f>
        <v>18</v>
      </c>
      <c r="L29" s="214">
        <v>22.0</v>
      </c>
      <c r="M29" s="57">
        <f t="shared" si="9"/>
        <v>47</v>
      </c>
      <c r="N29" s="350">
        <f t="shared" ref="N29:O29" si="36">C29</f>
        <v>46286</v>
      </c>
      <c r="O29" s="350" t="str">
        <f t="shared" si="36"/>
        <v>seg.</v>
      </c>
      <c r="P29" s="351">
        <v>4100.0</v>
      </c>
      <c r="Q29" s="213">
        <f>4903.13-223.46</f>
        <v>4679.67</v>
      </c>
      <c r="R29" s="417">
        <f t="shared" si="11"/>
        <v>579.67</v>
      </c>
      <c r="S29" s="217">
        <v>30.0</v>
      </c>
      <c r="T29" s="418">
        <f t="shared" si="12"/>
        <v>155.989</v>
      </c>
      <c r="U29" s="214">
        <v>9.0</v>
      </c>
      <c r="V29" s="57">
        <f>2+12</f>
        <v>14</v>
      </c>
      <c r="W29" s="214">
        <v>12.0</v>
      </c>
      <c r="X29" s="57">
        <f t="shared" si="13"/>
        <v>35</v>
      </c>
      <c r="AB29" s="74"/>
      <c r="AC29" s="79">
        <f>AC28/AC20</f>
        <v>0.2625697647</v>
      </c>
      <c r="AE29" s="80">
        <f>AE28/AE20</f>
        <v>0.2184671228</v>
      </c>
      <c r="AI29" s="317"/>
      <c r="AJ29" s="317"/>
      <c r="AK29" s="317"/>
      <c r="AL29" s="317"/>
    </row>
    <row r="30" ht="15.75" customHeight="1">
      <c r="A30" s="8"/>
      <c r="B30" s="8"/>
      <c r="C30" s="207">
        <v>46287.0</v>
      </c>
      <c r="D30" s="208" t="str">
        <f t="shared" si="6"/>
        <v>ter.</v>
      </c>
      <c r="E30" s="341">
        <v>7500.0</v>
      </c>
      <c r="F30" s="341">
        <v>9561.0</v>
      </c>
      <c r="G30" s="51">
        <f t="shared" si="7"/>
        <v>2061</v>
      </c>
      <c r="H30" s="210">
        <v>31.0</v>
      </c>
      <c r="I30" s="265">
        <f t="shared" si="8"/>
        <v>308.4193548</v>
      </c>
      <c r="J30" s="214">
        <v>6.0</v>
      </c>
      <c r="K30" s="57">
        <f>4+18</f>
        <v>22</v>
      </c>
      <c r="L30" s="214">
        <v>24.0</v>
      </c>
      <c r="M30" s="57">
        <f t="shared" si="9"/>
        <v>52</v>
      </c>
      <c r="N30" s="350">
        <f t="shared" ref="N30:O30" si="37">C30</f>
        <v>46287</v>
      </c>
      <c r="O30" s="350" t="str">
        <f t="shared" si="37"/>
        <v>ter.</v>
      </c>
      <c r="P30" s="351">
        <v>6900.0</v>
      </c>
      <c r="Q30" s="213">
        <f>7867.88-622.31</f>
        <v>7245.57</v>
      </c>
      <c r="R30" s="417">
        <f t="shared" si="11"/>
        <v>345.57</v>
      </c>
      <c r="S30" s="217">
        <v>54.0</v>
      </c>
      <c r="T30" s="418">
        <f t="shared" si="12"/>
        <v>134.1772222</v>
      </c>
      <c r="U30" s="214">
        <v>7.0</v>
      </c>
      <c r="V30" s="57">
        <f>15.5+34.5</f>
        <v>50</v>
      </c>
      <c r="W30" s="214">
        <v>2.0</v>
      </c>
      <c r="X30" s="57">
        <f t="shared" si="13"/>
        <v>59</v>
      </c>
      <c r="AB30" s="74"/>
      <c r="AE30" s="82"/>
      <c r="AI30" s="369"/>
      <c r="AJ30" s="317"/>
      <c r="AK30" s="317"/>
      <c r="AL30" s="317"/>
    </row>
    <row r="31" ht="15.75" customHeight="1">
      <c r="A31" s="8"/>
      <c r="B31" s="8"/>
      <c r="C31" s="207">
        <v>46288.0</v>
      </c>
      <c r="D31" s="208" t="str">
        <f t="shared" si="6"/>
        <v>qua.</v>
      </c>
      <c r="E31" s="341">
        <v>8900.0</v>
      </c>
      <c r="F31" s="341">
        <v>13659.7</v>
      </c>
      <c r="G31" s="51">
        <f t="shared" si="7"/>
        <v>4759.7</v>
      </c>
      <c r="H31" s="210">
        <v>60.0</v>
      </c>
      <c r="I31" s="265">
        <f t="shared" si="8"/>
        <v>227.6616667</v>
      </c>
      <c r="J31" s="214">
        <v>15.0</v>
      </c>
      <c r="K31" s="57">
        <f>3.5+21.5</f>
        <v>25</v>
      </c>
      <c r="L31" s="214">
        <v>36.0</v>
      </c>
      <c r="M31" s="57">
        <f t="shared" si="9"/>
        <v>76</v>
      </c>
      <c r="N31" s="350">
        <f t="shared" ref="N31:O31" si="38">C31</f>
        <v>46288</v>
      </c>
      <c r="O31" s="350" t="str">
        <f t="shared" si="38"/>
        <v>qua.</v>
      </c>
      <c r="P31" s="351">
        <v>4200.0</v>
      </c>
      <c r="Q31" s="213">
        <f>2795.57-71.94</f>
        <v>2723.63</v>
      </c>
      <c r="R31" s="417">
        <f t="shared" si="11"/>
        <v>-1476.37</v>
      </c>
      <c r="S31" s="217">
        <v>17.0</v>
      </c>
      <c r="T31" s="418">
        <f t="shared" si="12"/>
        <v>160.2135294</v>
      </c>
      <c r="U31" s="214">
        <v>6.0</v>
      </c>
      <c r="V31" s="57">
        <f>1+8</f>
        <v>9</v>
      </c>
      <c r="W31" s="214">
        <v>4.0</v>
      </c>
      <c r="X31" s="57">
        <f t="shared" si="13"/>
        <v>19</v>
      </c>
      <c r="AB31" s="74" t="s">
        <v>64</v>
      </c>
      <c r="AC31" s="61">
        <f>SUM(F30:F36)</f>
        <v>111675.97</v>
      </c>
      <c r="AD31" s="58" t="s">
        <v>64</v>
      </c>
      <c r="AE31" s="83">
        <f>SUM(Q30:Q36)</f>
        <v>64159.9</v>
      </c>
      <c r="AI31" s="317"/>
      <c r="AJ31" s="317"/>
      <c r="AK31" s="271"/>
      <c r="AL31" s="317"/>
    </row>
    <row r="32" ht="15.75" customHeight="1">
      <c r="A32" s="8"/>
      <c r="B32" s="8"/>
      <c r="C32" s="207">
        <v>46289.0</v>
      </c>
      <c r="D32" s="208" t="str">
        <f t="shared" si="6"/>
        <v>qui.</v>
      </c>
      <c r="E32" s="341">
        <v>8500.0</v>
      </c>
      <c r="F32" s="341">
        <v>10408.42</v>
      </c>
      <c r="G32" s="51">
        <f t="shared" si="7"/>
        <v>1908.42</v>
      </c>
      <c r="H32" s="210">
        <v>40.0</v>
      </c>
      <c r="I32" s="265">
        <f t="shared" si="8"/>
        <v>260.2105</v>
      </c>
      <c r="J32" s="214">
        <v>6.0</v>
      </c>
      <c r="K32" s="57">
        <f>1+16</f>
        <v>17</v>
      </c>
      <c r="L32" s="214">
        <v>28.0</v>
      </c>
      <c r="M32" s="57">
        <f t="shared" si="9"/>
        <v>51</v>
      </c>
      <c r="N32" s="350">
        <f t="shared" ref="N32:O32" si="39">C32</f>
        <v>46289</v>
      </c>
      <c r="O32" s="350" t="str">
        <f t="shared" si="39"/>
        <v>qui.</v>
      </c>
      <c r="P32" s="351">
        <v>4400.0</v>
      </c>
      <c r="Q32" s="213">
        <f>6407.58-150</f>
        <v>6257.58</v>
      </c>
      <c r="R32" s="417">
        <f t="shared" si="11"/>
        <v>1857.58</v>
      </c>
      <c r="S32" s="217">
        <v>41.0</v>
      </c>
      <c r="T32" s="418">
        <f t="shared" si="12"/>
        <v>152.6239024</v>
      </c>
      <c r="U32" s="214">
        <v>7.0</v>
      </c>
      <c r="V32" s="57">
        <f>4+23</f>
        <v>27</v>
      </c>
      <c r="W32" s="214">
        <v>9.0</v>
      </c>
      <c r="X32" s="57">
        <f t="shared" si="13"/>
        <v>43</v>
      </c>
      <c r="AB32" s="74"/>
      <c r="AC32" s="79">
        <f>AC31/AC20</f>
        <v>0.2627669882</v>
      </c>
      <c r="AE32" s="80">
        <f>AE31/AE20</f>
        <v>0.2251224561</v>
      </c>
      <c r="AI32" s="317"/>
      <c r="AJ32" s="317"/>
      <c r="AK32" s="317"/>
      <c r="AL32" s="317"/>
    </row>
    <row r="33" ht="15.75" customHeight="1">
      <c r="A33" s="8"/>
      <c r="B33" s="8"/>
      <c r="C33" s="207">
        <v>46290.0</v>
      </c>
      <c r="D33" s="208" t="str">
        <f t="shared" si="6"/>
        <v>sex.</v>
      </c>
      <c r="E33" s="341">
        <v>16700.0</v>
      </c>
      <c r="F33" s="209">
        <f>19286.2-301</f>
        <v>18985.2</v>
      </c>
      <c r="G33" s="51">
        <f t="shared" si="7"/>
        <v>2285.2</v>
      </c>
      <c r="H33" s="290"/>
      <c r="I33" s="265" t="str">
        <f t="shared" si="8"/>
        <v>#DIV/0!</v>
      </c>
      <c r="J33" s="57"/>
      <c r="K33" s="57"/>
      <c r="L33" s="57"/>
      <c r="M33" s="57">
        <f t="shared" si="9"/>
        <v>0</v>
      </c>
      <c r="N33" s="350">
        <f t="shared" ref="N33:O33" si="40">C33</f>
        <v>46290</v>
      </c>
      <c r="O33" s="350" t="str">
        <f t="shared" si="40"/>
        <v>sex.</v>
      </c>
      <c r="P33" s="351">
        <v>10900.0</v>
      </c>
      <c r="Q33" s="213">
        <f>14468.97-587.34</f>
        <v>13881.63</v>
      </c>
      <c r="R33" s="417">
        <f t="shared" si="11"/>
        <v>2981.63</v>
      </c>
      <c r="S33" s="291"/>
      <c r="T33" s="418" t="str">
        <f t="shared" si="12"/>
        <v>#DIV/0!</v>
      </c>
      <c r="U33" s="57"/>
      <c r="V33" s="57"/>
      <c r="W33" s="57"/>
      <c r="X33" s="57">
        <f t="shared" si="13"/>
        <v>0</v>
      </c>
      <c r="AB33" s="74" t="s">
        <v>65</v>
      </c>
      <c r="AC33" s="61">
        <f>SUM(F37:F39)</f>
        <v>0</v>
      </c>
      <c r="AD33" s="58" t="s">
        <v>65</v>
      </c>
      <c r="AE33" s="83">
        <f>SUM(Q37:Q39)</f>
        <v>0</v>
      </c>
      <c r="AI33" s="317"/>
      <c r="AJ33" s="317"/>
      <c r="AK33" s="317"/>
      <c r="AL33" s="317"/>
    </row>
    <row r="34" ht="15.75" customHeight="1">
      <c r="A34" s="8"/>
      <c r="B34" s="8"/>
      <c r="C34" s="207">
        <v>46291.0</v>
      </c>
      <c r="D34" s="208" t="str">
        <f t="shared" si="6"/>
        <v>sáb.</v>
      </c>
      <c r="E34" s="341">
        <v>25500.0</v>
      </c>
      <c r="F34" s="209">
        <f>28685.45</f>
        <v>28685.45</v>
      </c>
      <c r="G34" s="51">
        <f t="shared" si="7"/>
        <v>3185.45</v>
      </c>
      <c r="H34" s="290"/>
      <c r="I34" s="265" t="str">
        <f t="shared" si="8"/>
        <v>#DIV/0!</v>
      </c>
      <c r="J34" s="57"/>
      <c r="K34" s="57"/>
      <c r="L34" s="57"/>
      <c r="M34" s="57">
        <f t="shared" si="9"/>
        <v>0</v>
      </c>
      <c r="N34" s="350">
        <f t="shared" ref="N34:O34" si="41">C34</f>
        <v>46291</v>
      </c>
      <c r="O34" s="350" t="str">
        <f t="shared" si="41"/>
        <v>sáb.</v>
      </c>
      <c r="P34" s="351">
        <v>14000.0</v>
      </c>
      <c r="Q34" s="213">
        <f>13036.66-847.31</f>
        <v>12189.35</v>
      </c>
      <c r="R34" s="417">
        <f t="shared" si="11"/>
        <v>-1810.65</v>
      </c>
      <c r="S34" s="291"/>
      <c r="T34" s="418" t="str">
        <f t="shared" si="12"/>
        <v>#DIV/0!</v>
      </c>
      <c r="U34" s="57"/>
      <c r="V34" s="57"/>
      <c r="W34" s="57"/>
      <c r="X34" s="57">
        <f t="shared" si="13"/>
        <v>0</v>
      </c>
      <c r="AB34" s="84"/>
      <c r="AC34" s="85">
        <f>AC33/AC20</f>
        <v>0</v>
      </c>
      <c r="AD34" s="84"/>
      <c r="AE34" s="87">
        <f>AE33/AE20</f>
        <v>0</v>
      </c>
    </row>
    <row r="35" ht="15.75" customHeight="1">
      <c r="A35" s="8"/>
      <c r="B35" s="8"/>
      <c r="C35" s="207">
        <v>46292.0</v>
      </c>
      <c r="D35" s="208" t="str">
        <f t="shared" si="6"/>
        <v>dom.</v>
      </c>
      <c r="E35" s="341">
        <v>25700.0</v>
      </c>
      <c r="F35" s="209">
        <f>21067.5</f>
        <v>21067.5</v>
      </c>
      <c r="G35" s="51">
        <f t="shared" si="7"/>
        <v>-4632.5</v>
      </c>
      <c r="H35" s="290"/>
      <c r="I35" s="265" t="str">
        <f t="shared" si="8"/>
        <v>#DIV/0!</v>
      </c>
      <c r="J35" s="57"/>
      <c r="K35" s="57"/>
      <c r="L35" s="57"/>
      <c r="M35" s="57">
        <f t="shared" si="9"/>
        <v>0</v>
      </c>
      <c r="N35" s="350">
        <f t="shared" ref="N35:O35" si="42">C35</f>
        <v>46292</v>
      </c>
      <c r="O35" s="350" t="str">
        <f t="shared" si="42"/>
        <v>dom.</v>
      </c>
      <c r="P35" s="351">
        <v>21500.0</v>
      </c>
      <c r="Q35" s="213">
        <f>18090.88-1045.86</f>
        <v>17045.02</v>
      </c>
      <c r="R35" s="417">
        <f t="shared" si="11"/>
        <v>-4454.98</v>
      </c>
      <c r="S35" s="291"/>
      <c r="T35" s="418" t="str">
        <f t="shared" si="12"/>
        <v>#DIV/0!</v>
      </c>
      <c r="U35" s="57"/>
      <c r="V35" s="57"/>
      <c r="W35" s="57"/>
      <c r="X35" s="57">
        <f t="shared" si="13"/>
        <v>0</v>
      </c>
      <c r="AK35" s="271"/>
    </row>
    <row r="36" ht="15.75" customHeight="1">
      <c r="A36" s="8"/>
      <c r="B36" s="8"/>
      <c r="C36" s="207">
        <v>46293.0</v>
      </c>
      <c r="D36" s="208" t="str">
        <f t="shared" si="6"/>
        <v>seg.</v>
      </c>
      <c r="E36" s="341">
        <v>8500.0</v>
      </c>
      <c r="F36" s="341">
        <f>9308.7</f>
        <v>9308.7</v>
      </c>
      <c r="G36" s="51">
        <f t="shared" si="7"/>
        <v>808.7</v>
      </c>
      <c r="H36" s="290"/>
      <c r="I36" s="265" t="str">
        <f t="shared" si="8"/>
        <v>#DIV/0!</v>
      </c>
      <c r="J36" s="57"/>
      <c r="K36" s="57"/>
      <c r="L36" s="57"/>
      <c r="M36" s="57">
        <f t="shared" si="9"/>
        <v>0</v>
      </c>
      <c r="N36" s="350">
        <f t="shared" ref="N36:O36" si="43">C36</f>
        <v>46293</v>
      </c>
      <c r="O36" s="350" t="str">
        <f t="shared" si="43"/>
        <v>seg.</v>
      </c>
      <c r="P36" s="351">
        <v>4100.0</v>
      </c>
      <c r="Q36" s="351">
        <f>5170.61-353.49</f>
        <v>4817.12</v>
      </c>
      <c r="R36" s="417">
        <f t="shared" si="11"/>
        <v>717.12</v>
      </c>
      <c r="S36" s="291"/>
      <c r="T36" s="418" t="str">
        <f t="shared" si="12"/>
        <v>#DIV/0!</v>
      </c>
      <c r="U36" s="57"/>
      <c r="V36" s="57"/>
      <c r="W36" s="57"/>
      <c r="X36" s="57"/>
      <c r="AA36" s="92" t="s">
        <v>72</v>
      </c>
      <c r="AB36" s="93" t="s">
        <v>73</v>
      </c>
      <c r="AC36" s="94">
        <f>F40</f>
        <v>440448.62</v>
      </c>
      <c r="AD36" s="164" t="s">
        <v>74</v>
      </c>
      <c r="AE36" s="96">
        <f>Q40</f>
        <v>260044.8</v>
      </c>
      <c r="AF36" s="92" t="s">
        <v>72</v>
      </c>
      <c r="AJ36" s="317"/>
      <c r="AK36" s="271"/>
      <c r="AL36" s="317"/>
    </row>
    <row r="37" ht="15.75" customHeight="1">
      <c r="A37" s="8"/>
      <c r="B37" s="8"/>
      <c r="C37" s="207">
        <v>46294.0</v>
      </c>
      <c r="D37" s="208" t="str">
        <f t="shared" si="6"/>
        <v>ter.</v>
      </c>
      <c r="E37" s="341">
        <v>7500.0</v>
      </c>
      <c r="F37" s="341"/>
      <c r="G37" s="51"/>
      <c r="H37" s="290"/>
      <c r="I37" s="265" t="str">
        <f t="shared" si="8"/>
        <v>#DIV/0!</v>
      </c>
      <c r="J37" s="57"/>
      <c r="K37" s="57"/>
      <c r="L37" s="57"/>
      <c r="M37" s="57">
        <f t="shared" si="9"/>
        <v>0</v>
      </c>
      <c r="N37" s="350">
        <f t="shared" ref="N37:O37" si="44">C37</f>
        <v>46294</v>
      </c>
      <c r="O37" s="350" t="str">
        <f t="shared" si="44"/>
        <v>ter.</v>
      </c>
      <c r="P37" s="351">
        <v>6900.0</v>
      </c>
      <c r="Q37" s="351"/>
      <c r="R37" s="417"/>
      <c r="S37" s="291"/>
      <c r="T37" s="418" t="str">
        <f t="shared" si="12"/>
        <v>#DIV/0!</v>
      </c>
      <c r="U37" s="57"/>
      <c r="V37" s="57"/>
      <c r="W37" s="57"/>
      <c r="X37" s="57"/>
      <c r="AA37" s="97">
        <f>AC37-AD37</f>
        <v>0.2363496941</v>
      </c>
      <c r="AB37" s="98"/>
      <c r="AC37" s="99">
        <f>AC36/AC20</f>
        <v>1.036349694</v>
      </c>
      <c r="AD37" s="165">
        <f>24/30</f>
        <v>0.8</v>
      </c>
      <c r="AE37" s="100">
        <f>AE36/AE20</f>
        <v>0.9124378947</v>
      </c>
      <c r="AF37" s="97">
        <f>AE37-AD37</f>
        <v>0.1124378947</v>
      </c>
      <c r="AK37" s="61"/>
    </row>
    <row r="38" ht="15.75" customHeight="1">
      <c r="A38" s="8"/>
      <c r="B38" s="8"/>
      <c r="C38" s="207">
        <v>46295.0</v>
      </c>
      <c r="D38" s="208" t="str">
        <f t="shared" si="6"/>
        <v>qua.</v>
      </c>
      <c r="E38" s="341">
        <v>8900.0</v>
      </c>
      <c r="F38" s="341"/>
      <c r="G38" s="51"/>
      <c r="H38" s="290"/>
      <c r="I38" s="265" t="str">
        <f t="shared" si="8"/>
        <v>#DIV/0!</v>
      </c>
      <c r="J38" s="57"/>
      <c r="K38" s="57"/>
      <c r="L38" s="57"/>
      <c r="M38" s="57">
        <f t="shared" si="9"/>
        <v>0</v>
      </c>
      <c r="N38" s="350">
        <f t="shared" ref="N38:O38" si="45">C38</f>
        <v>46295</v>
      </c>
      <c r="O38" s="350" t="str">
        <f t="shared" si="45"/>
        <v>qua.</v>
      </c>
      <c r="P38" s="351">
        <v>4200.0</v>
      </c>
      <c r="Q38" s="351"/>
      <c r="R38" s="417"/>
      <c r="S38" s="291"/>
      <c r="T38" s="418" t="str">
        <f t="shared" si="12"/>
        <v>#DIV/0!</v>
      </c>
      <c r="U38" s="57"/>
      <c r="V38" s="57"/>
      <c r="W38" s="57"/>
      <c r="X38" s="57"/>
      <c r="AB38" s="98" t="s">
        <v>76</v>
      </c>
      <c r="AC38" s="104">
        <f>AC20-AC36</f>
        <v>-15448.62</v>
      </c>
      <c r="AD38" s="99"/>
      <c r="AE38" s="106">
        <f>AE20-AE36</f>
        <v>24955.2</v>
      </c>
    </row>
    <row r="39" ht="15.75" customHeight="1">
      <c r="A39" s="8"/>
      <c r="B39" s="8"/>
      <c r="C39" s="207"/>
      <c r="D39" s="147"/>
      <c r="E39" s="209"/>
      <c r="F39" s="209"/>
      <c r="G39" s="51">
        <f>F39-E39</f>
        <v>0</v>
      </c>
      <c r="H39" s="290"/>
      <c r="I39" s="265" t="str">
        <f t="shared" si="8"/>
        <v>#DIV/0!</v>
      </c>
      <c r="J39" s="57"/>
      <c r="K39" s="57"/>
      <c r="L39" s="57"/>
      <c r="M39" s="57">
        <f t="shared" si="9"/>
        <v>0</v>
      </c>
      <c r="N39" s="350" t="str">
        <f t="shared" ref="N39:O39" si="46">C39</f>
        <v/>
      </c>
      <c r="O39" s="350" t="str">
        <f t="shared" si="46"/>
        <v/>
      </c>
      <c r="P39" s="213"/>
      <c r="Q39" s="213"/>
      <c r="R39" s="417">
        <f>Q39-P39</f>
        <v>0</v>
      </c>
      <c r="S39" s="291"/>
      <c r="T39" s="418" t="str">
        <f t="shared" si="12"/>
        <v>#DIV/0!</v>
      </c>
      <c r="U39" s="57"/>
      <c r="V39" s="57"/>
      <c r="W39" s="57"/>
      <c r="X39" s="57">
        <f>U39+V39+W39</f>
        <v>0</v>
      </c>
      <c r="AE39" s="61"/>
    </row>
    <row r="40" ht="15.75" customHeight="1">
      <c r="A40" s="8"/>
      <c r="B40" s="8"/>
      <c r="C40" s="218"/>
      <c r="D40" s="218"/>
      <c r="E40" s="219">
        <f t="shared" ref="E40:H40" si="47">SUM(E9:E39)</f>
        <v>425100</v>
      </c>
      <c r="F40" s="219">
        <f t="shared" si="47"/>
        <v>440448.62</v>
      </c>
      <c r="G40" s="105">
        <f t="shared" si="47"/>
        <v>31748.62</v>
      </c>
      <c r="H40" s="105">
        <f t="shared" si="47"/>
        <v>1480</v>
      </c>
      <c r="I40" s="105"/>
      <c r="J40" s="105">
        <f t="shared" ref="J40:M40" si="48">SUM(J9:J39)</f>
        <v>351</v>
      </c>
      <c r="K40" s="105">
        <f t="shared" si="48"/>
        <v>845.5</v>
      </c>
      <c r="L40" s="105">
        <f t="shared" si="48"/>
        <v>788</v>
      </c>
      <c r="M40" s="105">
        <f t="shared" si="48"/>
        <v>1984.5</v>
      </c>
      <c r="N40" s="286"/>
      <c r="O40" s="287"/>
      <c r="P40" s="222">
        <f t="shared" ref="P40:S40" si="49">SUM(P9:P39)</f>
        <v>285000</v>
      </c>
      <c r="Q40" s="222">
        <f t="shared" si="49"/>
        <v>260044.8</v>
      </c>
      <c r="R40" s="105">
        <f t="shared" si="49"/>
        <v>-13855.2</v>
      </c>
      <c r="S40" s="223">
        <f t="shared" si="49"/>
        <v>1342</v>
      </c>
      <c r="T40" s="223"/>
      <c r="U40" s="223">
        <f t="shared" ref="U40:X40" si="50">SUM(U9:U39)</f>
        <v>344</v>
      </c>
      <c r="V40" s="223">
        <f t="shared" si="50"/>
        <v>1110</v>
      </c>
      <c r="W40" s="223">
        <f t="shared" si="50"/>
        <v>187</v>
      </c>
      <c r="X40" s="223">
        <f t="shared" si="50"/>
        <v>1641</v>
      </c>
    </row>
    <row r="41" ht="15.75" customHeight="1">
      <c r="D41" s="61"/>
      <c r="E41" s="61"/>
      <c r="F41" s="225"/>
      <c r="G41" s="114"/>
      <c r="H41" s="356" t="s">
        <v>354</v>
      </c>
      <c r="I41" s="226"/>
      <c r="N41" s="61"/>
      <c r="P41" s="61"/>
      <c r="Q41" s="275"/>
      <c r="R41" s="114"/>
      <c r="S41" s="199"/>
      <c r="T41" s="199"/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199"/>
    </row>
    <row r="43" ht="15.75" customHeight="1">
      <c r="A43" s="2"/>
      <c r="B43" s="2"/>
      <c r="C43" s="2"/>
      <c r="D43" s="2"/>
      <c r="E43" s="174" t="s">
        <v>77</v>
      </c>
      <c r="F43" s="118">
        <f>E40+G40</f>
        <v>456848.62</v>
      </c>
      <c r="P43" s="115" t="s">
        <v>77</v>
      </c>
      <c r="Q43" s="118">
        <f>P40+R40</f>
        <v>271144.8</v>
      </c>
      <c r="S43" s="199"/>
      <c r="T43" s="199"/>
    </row>
    <row r="44" ht="15.75" customHeight="1">
      <c r="A44" s="2"/>
      <c r="B44" s="2"/>
      <c r="C44" s="122" t="s">
        <v>29</v>
      </c>
      <c r="D44" s="394">
        <v>425000.0</v>
      </c>
      <c r="E44" s="75"/>
      <c r="F44" s="2"/>
      <c r="N44" s="126" t="s">
        <v>29</v>
      </c>
      <c r="O44" s="419">
        <v>285000.0</v>
      </c>
      <c r="P44" s="2"/>
      <c r="Q44" s="2"/>
      <c r="S44" s="199"/>
      <c r="T44" s="199"/>
    </row>
    <row r="45" ht="15.75" customHeight="1">
      <c r="A45" s="61"/>
      <c r="B45" s="61"/>
      <c r="C45" s="61"/>
      <c r="D45" s="175"/>
      <c r="N45" s="175"/>
      <c r="O45" s="61"/>
      <c r="S45" s="199"/>
      <c r="T45" s="199"/>
    </row>
    <row r="46" ht="15.75" customHeight="1">
      <c r="A46" s="61"/>
      <c r="B46" s="61"/>
      <c r="C46" s="61"/>
      <c r="O46" s="61"/>
      <c r="S46" s="199"/>
      <c r="T46" s="199"/>
    </row>
    <row r="47" ht="15.75" customHeight="1">
      <c r="A47" s="61"/>
      <c r="B47" s="61"/>
      <c r="C47" s="61"/>
      <c r="N47" s="61"/>
      <c r="S47" s="199"/>
      <c r="T47" s="199"/>
    </row>
    <row r="48" ht="15.75" customHeight="1">
      <c r="A48" s="61"/>
      <c r="B48" s="61"/>
      <c r="C48" s="61"/>
      <c r="N48" s="121"/>
      <c r="S48" s="199"/>
      <c r="T48" s="199"/>
    </row>
    <row r="49" ht="15.75" customHeight="1">
      <c r="A49" s="61"/>
      <c r="B49" s="61"/>
      <c r="C49" s="61"/>
      <c r="S49" s="199"/>
      <c r="T49" s="19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4:M6"/>
    <mergeCell ref="N4:X6"/>
    <mergeCell ref="AA4:AB4"/>
    <mergeCell ref="AD4:AE4"/>
    <mergeCell ref="AH4:AI4"/>
    <mergeCell ref="AK4:AL4"/>
    <mergeCell ref="C7:M7"/>
    <mergeCell ref="N7:X7"/>
  </mergeCells>
  <conditionalFormatting sqref="G9:G40 R9:R40 H40:M40">
    <cfRule type="cellIs" dxfId="0" priority="1" operator="greaterThanOrEqual">
      <formula>0</formula>
    </cfRule>
  </conditionalFormatting>
  <conditionalFormatting sqref="G9:G40 R9:R40 H40:M40">
    <cfRule type="cellIs" dxfId="1" priority="2" operator="lessThan">
      <formula>0</formula>
    </cfRule>
  </conditionalFormatting>
  <conditionalFormatting sqref="G9:G40 R9:R40 H40:M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8.33"/>
    <col customWidth="1" min="5" max="6" width="23.0"/>
    <col customWidth="1" min="7" max="7" width="12.67"/>
    <col customWidth="1" min="8" max="8" width="15.44"/>
    <col customWidth="1" min="9" max="9" width="10.56"/>
    <col customWidth="1" min="10" max="10" width="14.11"/>
    <col customWidth="1" min="11" max="11" width="12.78"/>
    <col customWidth="1" min="12" max="12" width="15.44"/>
    <col customWidth="1" min="13" max="13" width="17.0"/>
    <col customWidth="1" min="14" max="14" width="10.56"/>
    <col customWidth="1" min="15" max="15" width="18.33"/>
    <col customWidth="1" min="16" max="17" width="17.44"/>
    <col customWidth="1" min="18" max="19" width="10.56"/>
    <col customWidth="1" min="20" max="20" width="12.67"/>
    <col customWidth="1" min="21" max="21" width="14.11"/>
    <col customWidth="1" min="22" max="22" width="12.78"/>
    <col customWidth="1" min="23" max="23" width="12.44"/>
    <col customWidth="1" min="24" max="24" width="17.0"/>
    <col customWidth="1" min="25" max="26" width="10.56"/>
    <col customWidth="1" min="27" max="28" width="14.78"/>
    <col customWidth="1" min="29" max="29" width="14.0"/>
    <col customWidth="1" min="30" max="30" width="13.0"/>
    <col customWidth="1" min="31" max="31" width="14.0"/>
    <col customWidth="1" min="32" max="33" width="10.56"/>
    <col customWidth="1" min="34" max="34" width="13.0"/>
    <col customWidth="1" min="35" max="35" width="14.78"/>
    <col customWidth="1" min="36" max="36" width="10.56"/>
    <col customWidth="1" min="37" max="37" width="33.78"/>
    <col customWidth="1" min="38" max="38" width="14.78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</row>
    <row r="5" ht="15.75" customHeight="1">
      <c r="A5" s="288"/>
      <c r="B5" s="288"/>
      <c r="C5" s="31"/>
      <c r="M5" s="32"/>
      <c r="N5" s="31"/>
      <c r="X5" s="32"/>
      <c r="AA5" s="261">
        <v>45689.0</v>
      </c>
      <c r="AB5" s="261">
        <v>45717.0</v>
      </c>
      <c r="AD5" s="261">
        <v>45689.0</v>
      </c>
      <c r="AE5" s="261">
        <v>45717.0</v>
      </c>
      <c r="AH5" s="261">
        <v>46054.0</v>
      </c>
      <c r="AI5" s="261">
        <v>46082.0</v>
      </c>
      <c r="AK5" s="261">
        <v>46054.0</v>
      </c>
      <c r="AL5" s="261">
        <v>46082.0</v>
      </c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" t="s">
        <v>45</v>
      </c>
      <c r="AA6" s="55">
        <v>3652.4075000000003</v>
      </c>
      <c r="AB6" s="55">
        <v>4545.63</v>
      </c>
      <c r="AC6" s="66">
        <f t="shared" ref="AC6:AC12" si="1">AB6/AA6-1</f>
        <v>0.2445571859</v>
      </c>
      <c r="AD6" s="229">
        <v>3812.5525000000002</v>
      </c>
      <c r="AE6" s="229">
        <v>5771.93</v>
      </c>
      <c r="AF6" s="66">
        <f t="shared" ref="AF6:AF12" si="2">AE6/AD6-1</f>
        <v>0.5139280049</v>
      </c>
      <c r="AG6" s="2" t="s">
        <v>45</v>
      </c>
      <c r="AH6" s="229">
        <v>4714.78</v>
      </c>
      <c r="AI6" s="274">
        <f t="shared" ref="AI6:AI12" si="3">AH6*AC6+AH6</f>
        <v>5867.813329</v>
      </c>
      <c r="AJ6" s="75"/>
      <c r="AK6" s="229">
        <v>3549.79</v>
      </c>
      <c r="AL6" s="274">
        <f t="shared" ref="AL6:AL12" si="4">AK6*AF6+AK6</f>
        <v>5374.126493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Z7" s="8" t="s">
        <v>46</v>
      </c>
      <c r="AA7" s="55">
        <v>3437.8125</v>
      </c>
      <c r="AB7" s="55">
        <v>5976.19</v>
      </c>
      <c r="AC7" s="66">
        <f t="shared" si="1"/>
        <v>0.7383699664</v>
      </c>
      <c r="AD7" s="229">
        <v>4137.565</v>
      </c>
      <c r="AE7" s="229">
        <v>7407.2</v>
      </c>
      <c r="AF7" s="66">
        <f t="shared" si="2"/>
        <v>0.7902316942</v>
      </c>
      <c r="AG7" s="8" t="s">
        <v>46</v>
      </c>
      <c r="AH7" s="229">
        <v>4782.03</v>
      </c>
      <c r="AI7" s="274">
        <f t="shared" si="3"/>
        <v>8312.93733</v>
      </c>
      <c r="AJ7" s="75"/>
      <c r="AK7" s="229">
        <v>4412.95</v>
      </c>
      <c r="AL7" s="274">
        <f t="shared" si="4"/>
        <v>7900.202955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165</v>
      </c>
      <c r="X8" s="44" t="s">
        <v>166</v>
      </c>
      <c r="Z8" s="2" t="s">
        <v>40</v>
      </c>
      <c r="AA8" s="55">
        <v>6062.825000000001</v>
      </c>
      <c r="AB8" s="55">
        <v>5450.1</v>
      </c>
      <c r="AC8" s="66">
        <f t="shared" si="1"/>
        <v>-0.1010626234</v>
      </c>
      <c r="AD8" s="229">
        <v>4168.594999999999</v>
      </c>
      <c r="AE8" s="229">
        <v>6082.42</v>
      </c>
      <c r="AF8" s="66">
        <f t="shared" si="2"/>
        <v>0.459105526</v>
      </c>
      <c r="AG8" s="2" t="s">
        <v>40</v>
      </c>
      <c r="AH8" s="229">
        <v>5010.82</v>
      </c>
      <c r="AI8" s="274">
        <f t="shared" si="3"/>
        <v>4504.413385</v>
      </c>
      <c r="AJ8" s="75"/>
      <c r="AK8" s="229">
        <v>5423.01</v>
      </c>
      <c r="AL8" s="274">
        <f t="shared" si="4"/>
        <v>7912.743858</v>
      </c>
    </row>
    <row r="9" ht="15.75" customHeight="1">
      <c r="A9" s="8"/>
      <c r="B9" s="8"/>
      <c r="C9" s="207">
        <v>46296.0</v>
      </c>
      <c r="D9" s="208" t="str">
        <f t="shared" ref="D9:D39" si="6">TEXT(C9,"ddd")</f>
        <v>qui.</v>
      </c>
      <c r="E9" s="341">
        <v>12000.0</v>
      </c>
      <c r="F9" s="209"/>
      <c r="G9" s="51"/>
      <c r="H9" s="290"/>
      <c r="I9" s="265" t="str">
        <f t="shared" ref="I9:I39" si="7">F9/H9</f>
        <v>#DIV/0!</v>
      </c>
      <c r="J9" s="57"/>
      <c r="K9" s="57"/>
      <c r="L9" s="57"/>
      <c r="M9" s="57">
        <f t="shared" ref="M9:M39" si="8">J9+K9+L9</f>
        <v>0</v>
      </c>
      <c r="N9" s="350">
        <f t="shared" ref="N9:O9" si="5">C9</f>
        <v>46296</v>
      </c>
      <c r="O9" s="204" t="str">
        <f t="shared" si="5"/>
        <v>qui.</v>
      </c>
      <c r="P9" s="351">
        <v>4510.0</v>
      </c>
      <c r="Q9" s="213"/>
      <c r="R9" s="51"/>
      <c r="S9" s="291"/>
      <c r="T9" s="291" t="str">
        <f t="shared" ref="T9:T39" si="10">Q9/S9</f>
        <v>#DIV/0!</v>
      </c>
      <c r="U9" s="57"/>
      <c r="V9" s="57"/>
      <c r="W9" s="57"/>
      <c r="X9" s="57">
        <f t="shared" ref="X9:X35" si="11">U9+V9+W9</f>
        <v>0</v>
      </c>
      <c r="Z9" s="2" t="s">
        <v>47</v>
      </c>
      <c r="AA9" s="55">
        <v>6195.1050000000005</v>
      </c>
      <c r="AB9" s="55">
        <v>5434.13</v>
      </c>
      <c r="AC9" s="66">
        <f t="shared" si="1"/>
        <v>-0.1228348833</v>
      </c>
      <c r="AD9" s="229">
        <v>5183.4375</v>
      </c>
      <c r="AE9" s="229">
        <v>5086.32</v>
      </c>
      <c r="AF9" s="66">
        <f t="shared" si="2"/>
        <v>-0.01873611865</v>
      </c>
      <c r="AG9" s="2" t="s">
        <v>47</v>
      </c>
      <c r="AH9" s="229">
        <v>4491.8</v>
      </c>
      <c r="AI9" s="274">
        <f t="shared" si="3"/>
        <v>3940.050271</v>
      </c>
      <c r="AJ9" s="75"/>
      <c r="AK9" s="229">
        <v>4676.16</v>
      </c>
      <c r="AL9" s="274">
        <f t="shared" si="4"/>
        <v>4588.546911</v>
      </c>
    </row>
    <row r="10" ht="15.75" customHeight="1">
      <c r="A10" s="8"/>
      <c r="B10" s="8"/>
      <c r="C10" s="207">
        <v>46297.0</v>
      </c>
      <c r="D10" s="208" t="str">
        <f t="shared" si="6"/>
        <v>sex.</v>
      </c>
      <c r="E10" s="341">
        <v>22600.0</v>
      </c>
      <c r="F10" s="209"/>
      <c r="G10" s="51"/>
      <c r="H10" s="290"/>
      <c r="I10" s="265" t="str">
        <f t="shared" si="7"/>
        <v>#DIV/0!</v>
      </c>
      <c r="J10" s="57"/>
      <c r="K10" s="57"/>
      <c r="L10" s="57"/>
      <c r="M10" s="57">
        <f t="shared" si="8"/>
        <v>0</v>
      </c>
      <c r="N10" s="350">
        <f t="shared" ref="N10:O10" si="9">C10</f>
        <v>46297</v>
      </c>
      <c r="O10" s="204" t="str">
        <f t="shared" si="9"/>
        <v>sex.</v>
      </c>
      <c r="P10" s="351">
        <v>11600.0</v>
      </c>
      <c r="Q10" s="213"/>
      <c r="R10" s="51"/>
      <c r="S10" s="291"/>
      <c r="T10" s="291" t="str">
        <f t="shared" si="10"/>
        <v>#DIV/0!</v>
      </c>
      <c r="U10" s="57"/>
      <c r="V10" s="57"/>
      <c r="W10" s="57"/>
      <c r="X10" s="57">
        <f t="shared" si="11"/>
        <v>0</v>
      </c>
      <c r="Z10" s="2" t="s">
        <v>48</v>
      </c>
      <c r="AA10" s="55">
        <v>10387.4</v>
      </c>
      <c r="AB10" s="55">
        <v>10944.55</v>
      </c>
      <c r="AC10" s="66">
        <f t="shared" si="1"/>
        <v>0.05363709879</v>
      </c>
      <c r="AD10" s="229">
        <v>10702.8325</v>
      </c>
      <c r="AE10" s="229">
        <v>11651.22</v>
      </c>
      <c r="AF10" s="66">
        <f t="shared" si="2"/>
        <v>0.08861088875</v>
      </c>
      <c r="AG10" s="2" t="s">
        <v>48</v>
      </c>
      <c r="AH10" s="229">
        <v>12402.16</v>
      </c>
      <c r="AI10" s="274">
        <f t="shared" si="3"/>
        <v>13067.37588</v>
      </c>
      <c r="AJ10" s="75"/>
      <c r="AK10" s="229">
        <v>8692.46</v>
      </c>
      <c r="AL10" s="274">
        <f t="shared" si="4"/>
        <v>9462.706606</v>
      </c>
    </row>
    <row r="11" ht="15.75" customHeight="1">
      <c r="A11" s="8"/>
      <c r="B11" s="8"/>
      <c r="C11" s="207">
        <v>46298.0</v>
      </c>
      <c r="D11" s="208" t="str">
        <f t="shared" si="6"/>
        <v>sáb.</v>
      </c>
      <c r="E11" s="341">
        <v>25000.0</v>
      </c>
      <c r="F11" s="209"/>
      <c r="G11" s="51"/>
      <c r="H11" s="290"/>
      <c r="I11" s="265" t="str">
        <f t="shared" si="7"/>
        <v>#DIV/0!</v>
      </c>
      <c r="J11" s="57"/>
      <c r="K11" s="57"/>
      <c r="L11" s="57"/>
      <c r="M11" s="57">
        <f t="shared" si="8"/>
        <v>0</v>
      </c>
      <c r="N11" s="350">
        <f t="shared" ref="N11:O11" si="12">C11</f>
        <v>46298</v>
      </c>
      <c r="O11" s="204" t="str">
        <f t="shared" si="12"/>
        <v>sáb.</v>
      </c>
      <c r="P11" s="351">
        <v>13800.0</v>
      </c>
      <c r="Q11" s="213"/>
      <c r="R11" s="51"/>
      <c r="S11" s="291"/>
      <c r="T11" s="291" t="str">
        <f t="shared" si="10"/>
        <v>#DIV/0!</v>
      </c>
      <c r="U11" s="57"/>
      <c r="V11" s="57"/>
      <c r="W11" s="57"/>
      <c r="X11" s="57">
        <f t="shared" si="11"/>
        <v>0</v>
      </c>
      <c r="Z11" s="2" t="s">
        <v>171</v>
      </c>
      <c r="AA11" s="55">
        <v>16307.732500000002</v>
      </c>
      <c r="AB11" s="55">
        <v>18139.43</v>
      </c>
      <c r="AC11" s="66">
        <f t="shared" si="1"/>
        <v>0.1123207963</v>
      </c>
      <c r="AD11" s="229">
        <v>13893.575</v>
      </c>
      <c r="AE11" s="229">
        <v>13900.58</v>
      </c>
      <c r="AF11" s="66">
        <f t="shared" si="2"/>
        <v>0.0005041898863</v>
      </c>
      <c r="AG11" s="2" t="s">
        <v>171</v>
      </c>
      <c r="AH11" s="229">
        <v>21497.4</v>
      </c>
      <c r="AI11" s="274">
        <f t="shared" si="3"/>
        <v>23912.00509</v>
      </c>
      <c r="AJ11" s="75"/>
      <c r="AK11" s="229">
        <v>12983.64</v>
      </c>
      <c r="AL11" s="274">
        <f t="shared" si="4"/>
        <v>12990.18622</v>
      </c>
    </row>
    <row r="12" ht="15.75" customHeight="1">
      <c r="A12" s="8"/>
      <c r="B12" s="8"/>
      <c r="C12" s="207">
        <v>46299.0</v>
      </c>
      <c r="D12" s="208" t="str">
        <f t="shared" si="6"/>
        <v>dom.</v>
      </c>
      <c r="E12" s="341">
        <f>22600-22600*10%</f>
        <v>20340</v>
      </c>
      <c r="F12" s="209"/>
      <c r="G12" s="51"/>
      <c r="H12" s="290"/>
      <c r="I12" s="265" t="str">
        <f t="shared" si="7"/>
        <v>#DIV/0!</v>
      </c>
      <c r="J12" s="57"/>
      <c r="K12" s="57"/>
      <c r="L12" s="57"/>
      <c r="M12" s="57">
        <f t="shared" si="8"/>
        <v>0</v>
      </c>
      <c r="N12" s="350">
        <f t="shared" ref="N12:O12" si="13">C12</f>
        <v>46299</v>
      </c>
      <c r="O12" s="204" t="str">
        <f t="shared" si="13"/>
        <v>dom.</v>
      </c>
      <c r="P12" s="351">
        <f>17700+17700*40%</f>
        <v>24780</v>
      </c>
      <c r="Q12" s="213"/>
      <c r="R12" s="51"/>
      <c r="S12" s="291"/>
      <c r="T12" s="291" t="str">
        <f t="shared" si="10"/>
        <v>#DIV/0!</v>
      </c>
      <c r="U12" s="57"/>
      <c r="V12" s="57"/>
      <c r="W12" s="57"/>
      <c r="X12" s="57">
        <f t="shared" si="11"/>
        <v>0</v>
      </c>
      <c r="Z12" s="2" t="s">
        <v>44</v>
      </c>
      <c r="AA12" s="55">
        <v>14307.8</v>
      </c>
      <c r="AB12" s="55">
        <v>18056.14</v>
      </c>
      <c r="AC12" s="66">
        <f t="shared" si="1"/>
        <v>0.2619787808</v>
      </c>
      <c r="AD12" s="229">
        <v>20893.4225</v>
      </c>
      <c r="AE12" s="229">
        <v>19750.29</v>
      </c>
      <c r="AF12" s="66">
        <f t="shared" si="2"/>
        <v>-0.05471255368</v>
      </c>
      <c r="AG12" s="2" t="s">
        <v>44</v>
      </c>
      <c r="AH12" s="229">
        <v>19314.34</v>
      </c>
      <c r="AI12" s="274">
        <f t="shared" si="3"/>
        <v>24374.28725</v>
      </c>
      <c r="AJ12" s="75"/>
      <c r="AK12" s="229">
        <v>16807.18</v>
      </c>
      <c r="AL12" s="274">
        <f t="shared" si="4"/>
        <v>15887.61626</v>
      </c>
    </row>
    <row r="13" ht="15.75" customHeight="1">
      <c r="A13" s="8"/>
      <c r="B13" s="8"/>
      <c r="C13" s="207">
        <v>46300.0</v>
      </c>
      <c r="D13" s="208" t="str">
        <f t="shared" si="6"/>
        <v>seg.</v>
      </c>
      <c r="E13" s="341">
        <v>8700.0</v>
      </c>
      <c r="F13" s="209"/>
      <c r="G13" s="51"/>
      <c r="H13" s="290"/>
      <c r="I13" s="265" t="str">
        <f t="shared" si="7"/>
        <v>#DIV/0!</v>
      </c>
      <c r="J13" s="57"/>
      <c r="K13" s="57"/>
      <c r="L13" s="57"/>
      <c r="M13" s="57">
        <f t="shared" si="8"/>
        <v>0</v>
      </c>
      <c r="N13" s="350">
        <f t="shared" ref="N13:O13" si="14">C13</f>
        <v>46300</v>
      </c>
      <c r="O13" s="204" t="str">
        <f t="shared" si="14"/>
        <v>seg.</v>
      </c>
      <c r="P13" s="351">
        <v>4300.0</v>
      </c>
      <c r="Q13" s="213"/>
      <c r="R13" s="51"/>
      <c r="S13" s="291"/>
      <c r="T13" s="291" t="str">
        <f t="shared" si="10"/>
        <v>#DIV/0!</v>
      </c>
      <c r="U13" s="57"/>
      <c r="V13" s="57"/>
      <c r="W13" s="57"/>
      <c r="X13" s="57">
        <f t="shared" si="11"/>
        <v>0</v>
      </c>
      <c r="AA13" s="167">
        <f t="shared" ref="AA13:AB13" si="15">SUM(AA6:AA12)</f>
        <v>60351.0825</v>
      </c>
      <c r="AB13" s="167">
        <f t="shared" si="15"/>
        <v>68546.17</v>
      </c>
      <c r="AC13" s="61"/>
      <c r="AD13" s="167">
        <f t="shared" ref="AD13:AE13" si="16">SUM(AD6:AD12)</f>
        <v>62791.98</v>
      </c>
      <c r="AE13" s="167">
        <f t="shared" si="16"/>
        <v>69649.96</v>
      </c>
      <c r="AF13" s="61"/>
      <c r="AH13" s="167">
        <f t="shared" ref="AH13:AI13" si="17">SUM(AH6:AH12)</f>
        <v>72213.33</v>
      </c>
      <c r="AI13" s="167">
        <f t="shared" si="17"/>
        <v>83978.88253</v>
      </c>
      <c r="AJ13" s="61"/>
      <c r="AK13" s="167">
        <f t="shared" ref="AK13:AL13" si="18">SUM(AK6:AK12)</f>
        <v>56545.19</v>
      </c>
      <c r="AL13" s="167">
        <f t="shared" si="18"/>
        <v>64116.12931</v>
      </c>
    </row>
    <row r="14" ht="15.75" customHeight="1">
      <c r="A14" s="8"/>
      <c r="B14" s="8"/>
      <c r="C14" s="207">
        <v>46301.0</v>
      </c>
      <c r="D14" s="208" t="str">
        <f t="shared" si="6"/>
        <v>ter.</v>
      </c>
      <c r="E14" s="341">
        <v>7600.0</v>
      </c>
      <c r="F14" s="209"/>
      <c r="G14" s="51"/>
      <c r="H14" s="290"/>
      <c r="I14" s="265" t="str">
        <f t="shared" si="7"/>
        <v>#DIV/0!</v>
      </c>
      <c r="J14" s="57"/>
      <c r="K14" s="57"/>
      <c r="L14" s="57"/>
      <c r="M14" s="57">
        <f t="shared" si="8"/>
        <v>0</v>
      </c>
      <c r="N14" s="350">
        <f t="shared" ref="N14:O14" si="19">C14</f>
        <v>46301</v>
      </c>
      <c r="O14" s="204" t="str">
        <f t="shared" si="19"/>
        <v>ter.</v>
      </c>
      <c r="P14" s="351">
        <v>7200.0</v>
      </c>
      <c r="Q14" s="213"/>
      <c r="R14" s="51"/>
      <c r="S14" s="291"/>
      <c r="T14" s="291" t="str">
        <f t="shared" si="10"/>
        <v>#DIV/0!</v>
      </c>
      <c r="U14" s="57"/>
      <c r="V14" s="57"/>
      <c r="W14" s="57"/>
      <c r="X14" s="57">
        <f t="shared" si="11"/>
        <v>0</v>
      </c>
      <c r="AB14" s="66">
        <f>AB13/AA13-1</f>
        <v>0.1357902321</v>
      </c>
      <c r="AE14" s="66">
        <f>AE13/AD13-1</f>
        <v>0.109217451</v>
      </c>
      <c r="AI14" s="66">
        <f>AI13/AH13-1</f>
        <v>0.1629277105</v>
      </c>
      <c r="AL14" s="66">
        <f>AL13/AK13-1</f>
        <v>0.133891836</v>
      </c>
    </row>
    <row r="15" ht="15.75" customHeight="1">
      <c r="A15" s="8"/>
      <c r="B15" s="8"/>
      <c r="C15" s="207">
        <v>46302.0</v>
      </c>
      <c r="D15" s="208" t="str">
        <f t="shared" si="6"/>
        <v>qua.</v>
      </c>
      <c r="E15" s="341">
        <v>11400.0</v>
      </c>
      <c r="F15" s="209"/>
      <c r="G15" s="51"/>
      <c r="H15" s="290"/>
      <c r="I15" s="265" t="str">
        <f t="shared" si="7"/>
        <v>#DIV/0!</v>
      </c>
      <c r="J15" s="57"/>
      <c r="K15" s="57"/>
      <c r="L15" s="57"/>
      <c r="M15" s="57">
        <f t="shared" si="8"/>
        <v>0</v>
      </c>
      <c r="N15" s="350">
        <f t="shared" ref="N15:O15" si="20">C15</f>
        <v>46302</v>
      </c>
      <c r="O15" s="204" t="str">
        <f t="shared" si="20"/>
        <v>qua.</v>
      </c>
      <c r="P15" s="351">
        <v>4100.0</v>
      </c>
      <c r="Q15" s="213"/>
      <c r="R15" s="51"/>
      <c r="S15" s="291"/>
      <c r="T15" s="291" t="str">
        <f t="shared" si="10"/>
        <v>#DIV/0!</v>
      </c>
      <c r="U15" s="57"/>
      <c r="V15" s="57"/>
      <c r="W15" s="57"/>
      <c r="X15" s="57">
        <f t="shared" si="11"/>
        <v>0</v>
      </c>
    </row>
    <row r="16" ht="15.75" customHeight="1">
      <c r="A16" s="8"/>
      <c r="B16" s="8"/>
      <c r="C16" s="207">
        <v>46303.0</v>
      </c>
      <c r="D16" s="208" t="str">
        <f t="shared" si="6"/>
        <v>qui.</v>
      </c>
      <c r="E16" s="341">
        <v>12000.0</v>
      </c>
      <c r="F16" s="209"/>
      <c r="G16" s="51"/>
      <c r="H16" s="290"/>
      <c r="I16" s="265" t="str">
        <f t="shared" si="7"/>
        <v>#DIV/0!</v>
      </c>
      <c r="J16" s="57"/>
      <c r="K16" s="57"/>
      <c r="L16" s="57"/>
      <c r="M16" s="57">
        <f t="shared" si="8"/>
        <v>0</v>
      </c>
      <c r="N16" s="350">
        <f t="shared" ref="N16:O16" si="21">C16</f>
        <v>46303</v>
      </c>
      <c r="O16" s="204" t="str">
        <f t="shared" si="21"/>
        <v>qui.</v>
      </c>
      <c r="P16" s="351">
        <v>4510.0</v>
      </c>
      <c r="Q16" s="213"/>
      <c r="R16" s="51"/>
      <c r="S16" s="291"/>
      <c r="T16" s="291" t="str">
        <f t="shared" si="10"/>
        <v>#DIV/0!</v>
      </c>
      <c r="U16" s="57"/>
      <c r="V16" s="57"/>
      <c r="W16" s="57"/>
      <c r="X16" s="57">
        <f t="shared" si="11"/>
        <v>0</v>
      </c>
    </row>
    <row r="17" ht="15.75" customHeight="1">
      <c r="A17" s="8"/>
      <c r="B17" s="8"/>
      <c r="C17" s="207">
        <v>46304.0</v>
      </c>
      <c r="D17" s="208" t="str">
        <f t="shared" si="6"/>
        <v>sex.</v>
      </c>
      <c r="E17" s="341">
        <f>22600+22600*15%</f>
        <v>25990</v>
      </c>
      <c r="F17" s="209"/>
      <c r="G17" s="51"/>
      <c r="H17" s="290"/>
      <c r="I17" s="265" t="str">
        <f t="shared" si="7"/>
        <v>#DIV/0!</v>
      </c>
      <c r="J17" s="57"/>
      <c r="K17" s="57"/>
      <c r="L17" s="57"/>
      <c r="M17" s="57">
        <f t="shared" si="8"/>
        <v>0</v>
      </c>
      <c r="N17" s="350">
        <f t="shared" ref="N17:O17" si="22">C17</f>
        <v>46304</v>
      </c>
      <c r="O17" s="204" t="str">
        <f t="shared" si="22"/>
        <v>sex.</v>
      </c>
      <c r="P17" s="351">
        <v>11600.0</v>
      </c>
      <c r="Q17" s="213"/>
      <c r="R17" s="51"/>
      <c r="S17" s="291"/>
      <c r="T17" s="291" t="str">
        <f t="shared" si="10"/>
        <v>#DIV/0!</v>
      </c>
      <c r="U17" s="57"/>
      <c r="V17" s="57"/>
      <c r="W17" s="57"/>
      <c r="X17" s="57">
        <f t="shared" si="11"/>
        <v>0</v>
      </c>
    </row>
    <row r="18" ht="15.75" customHeight="1">
      <c r="A18" s="8"/>
      <c r="B18" s="8"/>
      <c r="C18" s="207">
        <v>46305.0</v>
      </c>
      <c r="D18" s="208" t="str">
        <f t="shared" si="6"/>
        <v>sáb.</v>
      </c>
      <c r="E18" s="341">
        <f>25000+25000*15%</f>
        <v>28750</v>
      </c>
      <c r="F18" s="209"/>
      <c r="G18" s="51"/>
      <c r="H18" s="290"/>
      <c r="I18" s="265" t="str">
        <f t="shared" si="7"/>
        <v>#DIV/0!</v>
      </c>
      <c r="J18" s="57"/>
      <c r="K18" s="57"/>
      <c r="L18" s="57"/>
      <c r="M18" s="57">
        <f t="shared" si="8"/>
        <v>0</v>
      </c>
      <c r="N18" s="350">
        <f t="shared" ref="N18:O18" si="23">C18</f>
        <v>46305</v>
      </c>
      <c r="O18" s="204" t="str">
        <f t="shared" si="23"/>
        <v>sáb.</v>
      </c>
      <c r="P18" s="351">
        <v>13800.0</v>
      </c>
      <c r="Q18" s="213"/>
      <c r="R18" s="51"/>
      <c r="S18" s="291"/>
      <c r="T18" s="291" t="str">
        <f t="shared" si="10"/>
        <v>#DIV/0!</v>
      </c>
      <c r="U18" s="57"/>
      <c r="V18" s="57"/>
      <c r="W18" s="57"/>
      <c r="X18" s="57">
        <f t="shared" si="11"/>
        <v>0</v>
      </c>
    </row>
    <row r="19" ht="15.75" customHeight="1">
      <c r="A19" s="8"/>
      <c r="B19" s="8"/>
      <c r="C19" s="207">
        <v>46306.0</v>
      </c>
      <c r="D19" s="208" t="str">
        <f t="shared" si="6"/>
        <v>dom.</v>
      </c>
      <c r="E19" s="341">
        <f>22600+22600*15%</f>
        <v>25990</v>
      </c>
      <c r="F19" s="209"/>
      <c r="G19" s="51"/>
      <c r="H19" s="290"/>
      <c r="I19" s="265" t="str">
        <f t="shared" si="7"/>
        <v>#DIV/0!</v>
      </c>
      <c r="J19" s="57"/>
      <c r="K19" s="57"/>
      <c r="L19" s="57"/>
      <c r="M19" s="57">
        <f t="shared" si="8"/>
        <v>0</v>
      </c>
      <c r="N19" s="350">
        <f t="shared" ref="N19:O19" si="24">C19</f>
        <v>46306</v>
      </c>
      <c r="O19" s="204" t="str">
        <f t="shared" si="24"/>
        <v>dom.</v>
      </c>
      <c r="P19" s="351">
        <v>17700.0</v>
      </c>
      <c r="Q19" s="213"/>
      <c r="R19" s="51"/>
      <c r="S19" s="291"/>
      <c r="T19" s="291" t="str">
        <f t="shared" si="10"/>
        <v>#DIV/0!</v>
      </c>
      <c r="U19" s="57"/>
      <c r="V19" s="57"/>
      <c r="W19" s="57"/>
      <c r="X19" s="57">
        <f t="shared" si="11"/>
        <v>0</v>
      </c>
      <c r="AB19" s="70"/>
      <c r="AC19" s="71" t="s">
        <v>52</v>
      </c>
      <c r="AD19" s="72"/>
      <c r="AE19" s="73" t="s">
        <v>53</v>
      </c>
      <c r="AI19" s="317"/>
      <c r="AJ19" s="271"/>
      <c r="AK19" s="317"/>
      <c r="AL19" s="317"/>
    </row>
    <row r="20" ht="15.75" customHeight="1">
      <c r="A20" s="8"/>
      <c r="B20" s="8"/>
      <c r="C20" s="207">
        <v>46307.0</v>
      </c>
      <c r="D20" s="208" t="str">
        <f t="shared" si="6"/>
        <v>seg.</v>
      </c>
      <c r="E20" s="341">
        <f>8700+8700*130%</f>
        <v>20010</v>
      </c>
      <c r="F20" s="209"/>
      <c r="G20" s="51"/>
      <c r="H20" s="290"/>
      <c r="I20" s="265" t="str">
        <f t="shared" si="7"/>
        <v>#DIV/0!</v>
      </c>
      <c r="J20" s="57"/>
      <c r="K20" s="57"/>
      <c r="L20" s="57"/>
      <c r="M20" s="57">
        <f t="shared" si="8"/>
        <v>0</v>
      </c>
      <c r="N20" s="350">
        <f t="shared" ref="N20:O20" si="25">C20</f>
        <v>46307</v>
      </c>
      <c r="O20" s="204" t="str">
        <f t="shared" si="25"/>
        <v>seg.</v>
      </c>
      <c r="P20" s="351">
        <f>4300+4300*200%</f>
        <v>12900</v>
      </c>
      <c r="Q20" s="213"/>
      <c r="R20" s="51"/>
      <c r="S20" s="291"/>
      <c r="T20" s="291" t="str">
        <f t="shared" si="10"/>
        <v>#DIV/0!</v>
      </c>
      <c r="U20" s="57"/>
      <c r="V20" s="57"/>
      <c r="W20" s="57"/>
      <c r="X20" s="57">
        <f t="shared" si="11"/>
        <v>0</v>
      </c>
      <c r="AB20" s="74" t="s">
        <v>29</v>
      </c>
      <c r="AC20" s="75">
        <v>350000.0</v>
      </c>
      <c r="AD20" s="2" t="s">
        <v>29</v>
      </c>
      <c r="AE20" s="76">
        <v>280000.0</v>
      </c>
      <c r="AI20" s="317"/>
      <c r="AJ20" s="271"/>
      <c r="AK20" s="271"/>
      <c r="AL20" s="366"/>
    </row>
    <row r="21" ht="15.75" customHeight="1">
      <c r="A21" s="8"/>
      <c r="B21" s="8"/>
      <c r="C21" s="207">
        <v>46308.0</v>
      </c>
      <c r="D21" s="208" t="str">
        <f t="shared" si="6"/>
        <v>ter.</v>
      </c>
      <c r="E21" s="341">
        <v>7600.0</v>
      </c>
      <c r="F21" s="209"/>
      <c r="G21" s="51"/>
      <c r="H21" s="290"/>
      <c r="I21" s="265" t="str">
        <f t="shared" si="7"/>
        <v>#DIV/0!</v>
      </c>
      <c r="J21" s="57"/>
      <c r="K21" s="57"/>
      <c r="L21" s="57"/>
      <c r="M21" s="57">
        <f t="shared" si="8"/>
        <v>0</v>
      </c>
      <c r="N21" s="350">
        <f t="shared" ref="N21:O21" si="26">C21</f>
        <v>46308</v>
      </c>
      <c r="O21" s="204" t="str">
        <f t="shared" si="26"/>
        <v>ter.</v>
      </c>
      <c r="P21" s="351">
        <v>7200.0</v>
      </c>
      <c r="Q21" s="213"/>
      <c r="R21" s="51"/>
      <c r="S21" s="291"/>
      <c r="T21" s="291" t="str">
        <f t="shared" si="10"/>
        <v>#DIV/0!</v>
      </c>
      <c r="U21" s="57"/>
      <c r="V21" s="57"/>
      <c r="W21" s="57"/>
      <c r="X21" s="57">
        <f t="shared" si="11"/>
        <v>0</v>
      </c>
      <c r="AB21" s="74"/>
      <c r="AC21" s="2"/>
      <c r="AD21" s="2"/>
      <c r="AE21" s="77"/>
      <c r="AI21" s="367"/>
      <c r="AJ21" s="367"/>
      <c r="AK21" s="368"/>
      <c r="AL21" s="368"/>
    </row>
    <row r="22" ht="15.75" customHeight="1">
      <c r="A22" s="8"/>
      <c r="B22" s="8"/>
      <c r="C22" s="207">
        <v>46309.0</v>
      </c>
      <c r="D22" s="208" t="str">
        <f t="shared" si="6"/>
        <v>qua.</v>
      </c>
      <c r="E22" s="341">
        <v>11400.0</v>
      </c>
      <c r="F22" s="209"/>
      <c r="G22" s="51"/>
      <c r="H22" s="290"/>
      <c r="I22" s="265" t="str">
        <f t="shared" si="7"/>
        <v>#DIV/0!</v>
      </c>
      <c r="J22" s="57"/>
      <c r="K22" s="57"/>
      <c r="L22" s="57"/>
      <c r="M22" s="57">
        <f t="shared" si="8"/>
        <v>0</v>
      </c>
      <c r="N22" s="350">
        <f t="shared" ref="N22:O22" si="27">C22</f>
        <v>46309</v>
      </c>
      <c r="O22" s="204" t="str">
        <f t="shared" si="27"/>
        <v>qua.</v>
      </c>
      <c r="P22" s="351">
        <v>4100.0</v>
      </c>
      <c r="Q22" s="213"/>
      <c r="R22" s="51"/>
      <c r="S22" s="291"/>
      <c r="T22" s="291" t="str">
        <f t="shared" si="10"/>
        <v>#DIV/0!</v>
      </c>
      <c r="U22" s="57"/>
      <c r="V22" s="57"/>
      <c r="W22" s="57"/>
      <c r="X22" s="57">
        <f t="shared" si="11"/>
        <v>0</v>
      </c>
      <c r="AB22" s="74" t="s">
        <v>58</v>
      </c>
      <c r="AC22" s="75">
        <f>SUM(F9:F15)</f>
        <v>0</v>
      </c>
      <c r="AD22" s="58" t="s">
        <v>58</v>
      </c>
      <c r="AE22" s="76">
        <f>SUM(Q9:Q15)</f>
        <v>0</v>
      </c>
      <c r="AI22" s="369"/>
      <c r="AJ22" s="317"/>
      <c r="AK22" s="271"/>
      <c r="AL22" s="370"/>
    </row>
    <row r="23" ht="15.75" customHeight="1">
      <c r="A23" s="8"/>
      <c r="B23" s="8"/>
      <c r="C23" s="207">
        <v>46310.0</v>
      </c>
      <c r="D23" s="208" t="str">
        <f t="shared" si="6"/>
        <v>qui.</v>
      </c>
      <c r="E23" s="341">
        <v>12000.0</v>
      </c>
      <c r="F23" s="209"/>
      <c r="G23" s="51"/>
      <c r="H23" s="290"/>
      <c r="I23" s="265" t="str">
        <f t="shared" si="7"/>
        <v>#DIV/0!</v>
      </c>
      <c r="J23" s="57"/>
      <c r="K23" s="57"/>
      <c r="L23" s="57"/>
      <c r="M23" s="57">
        <f t="shared" si="8"/>
        <v>0</v>
      </c>
      <c r="N23" s="350">
        <f t="shared" ref="N23:O23" si="28">C23</f>
        <v>46310</v>
      </c>
      <c r="O23" s="204" t="str">
        <f t="shared" si="28"/>
        <v>qui.</v>
      </c>
      <c r="P23" s="351">
        <v>4510.0</v>
      </c>
      <c r="Q23" s="213"/>
      <c r="R23" s="51"/>
      <c r="S23" s="291"/>
      <c r="T23" s="291" t="str">
        <f t="shared" si="10"/>
        <v>#DIV/0!</v>
      </c>
      <c r="U23" s="57"/>
      <c r="V23" s="57"/>
      <c r="W23" s="57"/>
      <c r="X23" s="57">
        <f t="shared" si="11"/>
        <v>0</v>
      </c>
      <c r="AB23" s="74"/>
      <c r="AC23" s="79">
        <f>AC22/AC20</f>
        <v>0</v>
      </c>
      <c r="AE23" s="80">
        <f>AE22/AE20</f>
        <v>0</v>
      </c>
      <c r="AF23" s="66"/>
      <c r="AI23" s="317"/>
      <c r="AJ23" s="317"/>
      <c r="AK23" s="271"/>
      <c r="AL23" s="370"/>
    </row>
    <row r="24" ht="15.75" customHeight="1">
      <c r="A24" s="8"/>
      <c r="B24" s="8"/>
      <c r="C24" s="207">
        <v>46311.0</v>
      </c>
      <c r="D24" s="208" t="str">
        <f t="shared" si="6"/>
        <v>sex.</v>
      </c>
      <c r="E24" s="341">
        <v>22600.0</v>
      </c>
      <c r="F24" s="209"/>
      <c r="G24" s="51"/>
      <c r="H24" s="290"/>
      <c r="I24" s="265" t="str">
        <f t="shared" si="7"/>
        <v>#DIV/0!</v>
      </c>
      <c r="J24" s="57"/>
      <c r="K24" s="57"/>
      <c r="L24" s="57"/>
      <c r="M24" s="57">
        <f t="shared" si="8"/>
        <v>0</v>
      </c>
      <c r="N24" s="350">
        <f t="shared" ref="N24:O24" si="29">C24</f>
        <v>46311</v>
      </c>
      <c r="O24" s="204" t="str">
        <f t="shared" si="29"/>
        <v>sex.</v>
      </c>
      <c r="P24" s="351">
        <v>11600.0</v>
      </c>
      <c r="Q24" s="213"/>
      <c r="R24" s="51"/>
      <c r="S24" s="291"/>
      <c r="T24" s="291" t="str">
        <f t="shared" si="10"/>
        <v>#DIV/0!</v>
      </c>
      <c r="U24" s="57"/>
      <c r="V24" s="57"/>
      <c r="W24" s="57"/>
      <c r="X24" s="57">
        <f t="shared" si="11"/>
        <v>0</v>
      </c>
      <c r="AB24" s="74"/>
      <c r="AC24" s="81"/>
      <c r="AE24" s="77"/>
      <c r="AI24" s="369"/>
      <c r="AJ24" s="317"/>
      <c r="AK24" s="271"/>
      <c r="AL24" s="370"/>
    </row>
    <row r="25" ht="15.75" customHeight="1">
      <c r="A25" s="8"/>
      <c r="B25" s="8"/>
      <c r="C25" s="207">
        <v>46312.0</v>
      </c>
      <c r="D25" s="208" t="str">
        <f t="shared" si="6"/>
        <v>sáb.</v>
      </c>
      <c r="E25" s="341">
        <v>25000.0</v>
      </c>
      <c r="F25" s="209"/>
      <c r="G25" s="51"/>
      <c r="H25" s="290"/>
      <c r="I25" s="265" t="str">
        <f t="shared" si="7"/>
        <v>#DIV/0!</v>
      </c>
      <c r="J25" s="57"/>
      <c r="K25" s="57"/>
      <c r="L25" s="57"/>
      <c r="M25" s="57">
        <f t="shared" si="8"/>
        <v>0</v>
      </c>
      <c r="N25" s="350">
        <f t="shared" ref="N25:O25" si="30">C25</f>
        <v>46312</v>
      </c>
      <c r="O25" s="204" t="str">
        <f t="shared" si="30"/>
        <v>sáb.</v>
      </c>
      <c r="P25" s="351">
        <v>13800.0</v>
      </c>
      <c r="Q25" s="213"/>
      <c r="R25" s="51"/>
      <c r="S25" s="291"/>
      <c r="T25" s="291" t="str">
        <f t="shared" si="10"/>
        <v>#DIV/0!</v>
      </c>
      <c r="U25" s="57"/>
      <c r="V25" s="57"/>
      <c r="W25" s="57"/>
      <c r="X25" s="57">
        <f t="shared" si="11"/>
        <v>0</v>
      </c>
      <c r="AB25" s="74" t="s">
        <v>62</v>
      </c>
      <c r="AC25" s="75">
        <f>SUM(F16:F22)</f>
        <v>0</v>
      </c>
      <c r="AD25" s="58" t="s">
        <v>62</v>
      </c>
      <c r="AE25" s="76">
        <f>SUM(Q16:Q22)</f>
        <v>0</v>
      </c>
      <c r="AI25" s="317"/>
      <c r="AJ25" s="317"/>
      <c r="AK25" s="271"/>
      <c r="AL25" s="370"/>
    </row>
    <row r="26" ht="15.75" customHeight="1">
      <c r="A26" s="8"/>
      <c r="B26" s="8"/>
      <c r="C26" s="207">
        <v>46313.0</v>
      </c>
      <c r="D26" s="208" t="str">
        <f t="shared" si="6"/>
        <v>dom.</v>
      </c>
      <c r="E26" s="341">
        <v>22600.0</v>
      </c>
      <c r="F26" s="209"/>
      <c r="G26" s="51"/>
      <c r="H26" s="290"/>
      <c r="I26" s="265" t="str">
        <f t="shared" si="7"/>
        <v>#DIV/0!</v>
      </c>
      <c r="J26" s="57"/>
      <c r="K26" s="57"/>
      <c r="L26" s="57"/>
      <c r="M26" s="57">
        <f t="shared" si="8"/>
        <v>0</v>
      </c>
      <c r="N26" s="350">
        <f t="shared" ref="N26:O26" si="31">C26</f>
        <v>46313</v>
      </c>
      <c r="O26" s="204" t="str">
        <f t="shared" si="31"/>
        <v>dom.</v>
      </c>
      <c r="P26" s="351">
        <v>17700.0</v>
      </c>
      <c r="Q26" s="213"/>
      <c r="R26" s="51"/>
      <c r="S26" s="291"/>
      <c r="T26" s="291" t="str">
        <f t="shared" si="10"/>
        <v>#DIV/0!</v>
      </c>
      <c r="U26" s="57"/>
      <c r="V26" s="57"/>
      <c r="W26" s="57"/>
      <c r="X26" s="57">
        <f t="shared" si="11"/>
        <v>0</v>
      </c>
      <c r="AB26" s="74"/>
      <c r="AC26" s="79">
        <f>AC25/AC20</f>
        <v>0</v>
      </c>
      <c r="AE26" s="80">
        <f>AE25/AE20</f>
        <v>0</v>
      </c>
      <c r="AI26" s="369"/>
      <c r="AJ26" s="317"/>
      <c r="AK26" s="271"/>
      <c r="AL26" s="370"/>
    </row>
    <row r="27" ht="15.75" customHeight="1">
      <c r="A27" s="8"/>
      <c r="B27" s="8"/>
      <c r="C27" s="207">
        <v>46314.0</v>
      </c>
      <c r="D27" s="208" t="str">
        <f t="shared" si="6"/>
        <v>seg.</v>
      </c>
      <c r="E27" s="341">
        <v>8700.0</v>
      </c>
      <c r="F27" s="209"/>
      <c r="G27" s="51"/>
      <c r="H27" s="290"/>
      <c r="I27" s="265" t="str">
        <f t="shared" si="7"/>
        <v>#DIV/0!</v>
      </c>
      <c r="J27" s="57"/>
      <c r="K27" s="57"/>
      <c r="L27" s="57"/>
      <c r="M27" s="57">
        <f t="shared" si="8"/>
        <v>0</v>
      </c>
      <c r="N27" s="350">
        <f t="shared" ref="N27:O27" si="32">C27</f>
        <v>46314</v>
      </c>
      <c r="O27" s="204" t="str">
        <f t="shared" si="32"/>
        <v>seg.</v>
      </c>
      <c r="P27" s="351">
        <v>4300.0</v>
      </c>
      <c r="Q27" s="213"/>
      <c r="R27" s="51"/>
      <c r="S27" s="291"/>
      <c r="T27" s="291" t="str">
        <f t="shared" si="10"/>
        <v>#DIV/0!</v>
      </c>
      <c r="U27" s="57"/>
      <c r="V27" s="57"/>
      <c r="W27" s="57"/>
      <c r="X27" s="57">
        <f t="shared" si="11"/>
        <v>0</v>
      </c>
      <c r="AB27" s="74"/>
      <c r="AC27" s="81"/>
      <c r="AE27" s="77"/>
      <c r="AI27" s="317"/>
      <c r="AJ27" s="317"/>
      <c r="AK27" s="271"/>
      <c r="AL27" s="370"/>
    </row>
    <row r="28" ht="15.75" customHeight="1">
      <c r="A28" s="8"/>
      <c r="B28" s="8"/>
      <c r="C28" s="207">
        <v>46315.0</v>
      </c>
      <c r="D28" s="208" t="str">
        <f t="shared" si="6"/>
        <v>ter.</v>
      </c>
      <c r="E28" s="341">
        <v>7600.0</v>
      </c>
      <c r="F28" s="209"/>
      <c r="G28" s="51"/>
      <c r="H28" s="290"/>
      <c r="I28" s="265" t="str">
        <f t="shared" si="7"/>
        <v>#DIV/0!</v>
      </c>
      <c r="J28" s="57"/>
      <c r="K28" s="57"/>
      <c r="L28" s="57"/>
      <c r="M28" s="57">
        <f t="shared" si="8"/>
        <v>0</v>
      </c>
      <c r="N28" s="350">
        <f t="shared" ref="N28:O28" si="33">C28</f>
        <v>46315</v>
      </c>
      <c r="O28" s="204" t="str">
        <f t="shared" si="33"/>
        <v>ter.</v>
      </c>
      <c r="P28" s="351">
        <v>7200.0</v>
      </c>
      <c r="Q28" s="213"/>
      <c r="R28" s="51"/>
      <c r="S28" s="291"/>
      <c r="T28" s="291" t="str">
        <f t="shared" si="10"/>
        <v>#DIV/0!</v>
      </c>
      <c r="U28" s="57"/>
      <c r="V28" s="57"/>
      <c r="W28" s="57"/>
      <c r="X28" s="57">
        <f t="shared" si="11"/>
        <v>0</v>
      </c>
      <c r="AB28" s="74" t="s">
        <v>63</v>
      </c>
      <c r="AC28" s="75">
        <f>SUM(F23:F29)</f>
        <v>0</v>
      </c>
      <c r="AD28" s="58" t="s">
        <v>63</v>
      </c>
      <c r="AE28" s="76">
        <f>SUM(Q23:Q29)</f>
        <v>0</v>
      </c>
      <c r="AI28" s="317"/>
      <c r="AJ28" s="317"/>
      <c r="AK28" s="271"/>
      <c r="AL28" s="317"/>
    </row>
    <row r="29" ht="15.75" customHeight="1">
      <c r="A29" s="8"/>
      <c r="B29" s="8"/>
      <c r="C29" s="207">
        <v>46316.0</v>
      </c>
      <c r="D29" s="208" t="str">
        <f t="shared" si="6"/>
        <v>qua.</v>
      </c>
      <c r="E29" s="341">
        <v>11400.0</v>
      </c>
      <c r="F29" s="209"/>
      <c r="G29" s="51"/>
      <c r="H29" s="290"/>
      <c r="I29" s="265" t="str">
        <f t="shared" si="7"/>
        <v>#DIV/0!</v>
      </c>
      <c r="J29" s="57"/>
      <c r="K29" s="57"/>
      <c r="L29" s="57"/>
      <c r="M29" s="57">
        <f t="shared" si="8"/>
        <v>0</v>
      </c>
      <c r="N29" s="350">
        <f t="shared" ref="N29:O29" si="34">C29</f>
        <v>46316</v>
      </c>
      <c r="O29" s="204" t="str">
        <f t="shared" si="34"/>
        <v>qua.</v>
      </c>
      <c r="P29" s="351">
        <v>4100.0</v>
      </c>
      <c r="Q29" s="213"/>
      <c r="R29" s="51"/>
      <c r="S29" s="291"/>
      <c r="T29" s="291" t="str">
        <f t="shared" si="10"/>
        <v>#DIV/0!</v>
      </c>
      <c r="U29" s="57"/>
      <c r="V29" s="57"/>
      <c r="W29" s="57"/>
      <c r="X29" s="57">
        <f t="shared" si="11"/>
        <v>0</v>
      </c>
      <c r="AB29" s="74"/>
      <c r="AC29" s="79">
        <f>AC28/AC20</f>
        <v>0</v>
      </c>
      <c r="AE29" s="80">
        <f>AE28/AE20</f>
        <v>0</v>
      </c>
      <c r="AI29" s="317"/>
      <c r="AJ29" s="317"/>
      <c r="AK29" s="317"/>
      <c r="AL29" s="317"/>
    </row>
    <row r="30" ht="15.75" customHeight="1">
      <c r="A30" s="8"/>
      <c r="B30" s="8"/>
      <c r="C30" s="207">
        <v>46317.0</v>
      </c>
      <c r="D30" s="208" t="str">
        <f t="shared" si="6"/>
        <v>qui.</v>
      </c>
      <c r="E30" s="341">
        <v>12000.0</v>
      </c>
      <c r="F30" s="209"/>
      <c r="G30" s="51"/>
      <c r="H30" s="290"/>
      <c r="I30" s="265" t="str">
        <f t="shared" si="7"/>
        <v>#DIV/0!</v>
      </c>
      <c r="J30" s="57"/>
      <c r="K30" s="57"/>
      <c r="L30" s="57"/>
      <c r="M30" s="57">
        <f t="shared" si="8"/>
        <v>0</v>
      </c>
      <c r="N30" s="350">
        <f t="shared" ref="N30:O30" si="35">C30</f>
        <v>46317</v>
      </c>
      <c r="O30" s="204" t="str">
        <f t="shared" si="35"/>
        <v>qui.</v>
      </c>
      <c r="P30" s="351">
        <v>4510.0</v>
      </c>
      <c r="Q30" s="213"/>
      <c r="R30" s="51"/>
      <c r="S30" s="291"/>
      <c r="T30" s="291" t="str">
        <f t="shared" si="10"/>
        <v>#DIV/0!</v>
      </c>
      <c r="U30" s="57"/>
      <c r="V30" s="57"/>
      <c r="W30" s="57"/>
      <c r="X30" s="57">
        <f t="shared" si="11"/>
        <v>0</v>
      </c>
      <c r="AB30" s="74"/>
      <c r="AE30" s="82"/>
      <c r="AI30" s="369"/>
      <c r="AJ30" s="317"/>
      <c r="AK30" s="317"/>
      <c r="AL30" s="317"/>
    </row>
    <row r="31" ht="15.75" customHeight="1">
      <c r="A31" s="8"/>
      <c r="B31" s="8"/>
      <c r="C31" s="207">
        <v>46318.0</v>
      </c>
      <c r="D31" s="208" t="str">
        <f t="shared" si="6"/>
        <v>sex.</v>
      </c>
      <c r="E31" s="341">
        <v>22600.0</v>
      </c>
      <c r="F31" s="209"/>
      <c r="G31" s="51"/>
      <c r="H31" s="290"/>
      <c r="I31" s="265" t="str">
        <f t="shared" si="7"/>
        <v>#DIV/0!</v>
      </c>
      <c r="J31" s="57"/>
      <c r="K31" s="57"/>
      <c r="L31" s="57"/>
      <c r="M31" s="57">
        <f t="shared" si="8"/>
        <v>0</v>
      </c>
      <c r="N31" s="350">
        <f t="shared" ref="N31:O31" si="36">C31</f>
        <v>46318</v>
      </c>
      <c r="O31" s="204" t="str">
        <f t="shared" si="36"/>
        <v>sex.</v>
      </c>
      <c r="P31" s="351">
        <v>11600.0</v>
      </c>
      <c r="Q31" s="213"/>
      <c r="R31" s="51"/>
      <c r="S31" s="291"/>
      <c r="T31" s="291" t="str">
        <f t="shared" si="10"/>
        <v>#DIV/0!</v>
      </c>
      <c r="U31" s="57"/>
      <c r="V31" s="57"/>
      <c r="W31" s="57"/>
      <c r="X31" s="57">
        <f t="shared" si="11"/>
        <v>0</v>
      </c>
      <c r="AB31" s="74" t="s">
        <v>64</v>
      </c>
      <c r="AC31" s="61">
        <f>SUM(F30:F36)</f>
        <v>0</v>
      </c>
      <c r="AD31" s="58" t="s">
        <v>64</v>
      </c>
      <c r="AE31" s="83">
        <f>SUM(Q30:Q36)</f>
        <v>0</v>
      </c>
      <c r="AI31" s="317"/>
      <c r="AJ31" s="317"/>
      <c r="AK31" s="271"/>
      <c r="AL31" s="317"/>
    </row>
    <row r="32" ht="15.75" customHeight="1">
      <c r="A32" s="8"/>
      <c r="B32" s="8"/>
      <c r="C32" s="207">
        <v>46319.0</v>
      </c>
      <c r="D32" s="208" t="str">
        <f t="shared" si="6"/>
        <v>sáb.</v>
      </c>
      <c r="E32" s="341">
        <f>25000+25000*15%</f>
        <v>28750</v>
      </c>
      <c r="F32" s="209"/>
      <c r="G32" s="51"/>
      <c r="H32" s="290"/>
      <c r="I32" s="265" t="str">
        <f t="shared" si="7"/>
        <v>#DIV/0!</v>
      </c>
      <c r="J32" s="57"/>
      <c r="K32" s="57"/>
      <c r="L32" s="57"/>
      <c r="M32" s="57">
        <f t="shared" si="8"/>
        <v>0</v>
      </c>
      <c r="N32" s="350">
        <f t="shared" ref="N32:O32" si="37">C32</f>
        <v>46319</v>
      </c>
      <c r="O32" s="204" t="str">
        <f t="shared" si="37"/>
        <v>sáb.</v>
      </c>
      <c r="P32" s="351">
        <f>13800+13800*15%</f>
        <v>15870</v>
      </c>
      <c r="Q32" s="213"/>
      <c r="R32" s="51"/>
      <c r="S32" s="291"/>
      <c r="T32" s="291" t="str">
        <f t="shared" si="10"/>
        <v>#DIV/0!</v>
      </c>
      <c r="U32" s="57"/>
      <c r="V32" s="57"/>
      <c r="W32" s="57"/>
      <c r="X32" s="57">
        <f t="shared" si="11"/>
        <v>0</v>
      </c>
      <c r="AB32" s="74"/>
      <c r="AC32" s="79">
        <f>AC31/AC20</f>
        <v>0</v>
      </c>
      <c r="AE32" s="80">
        <f>AE31/AE20</f>
        <v>0</v>
      </c>
      <c r="AI32" s="317"/>
      <c r="AJ32" s="317"/>
      <c r="AK32" s="317"/>
      <c r="AL32" s="317"/>
    </row>
    <row r="33" ht="15.75" customHeight="1">
      <c r="A33" s="8"/>
      <c r="B33" s="8"/>
      <c r="C33" s="207">
        <v>46320.0</v>
      </c>
      <c r="D33" s="208" t="str">
        <f t="shared" si="6"/>
        <v>dom.</v>
      </c>
      <c r="E33" s="341">
        <v>22600.0</v>
      </c>
      <c r="F33" s="209"/>
      <c r="G33" s="51"/>
      <c r="H33" s="290"/>
      <c r="I33" s="265" t="str">
        <f t="shared" si="7"/>
        <v>#DIV/0!</v>
      </c>
      <c r="J33" s="57"/>
      <c r="K33" s="57"/>
      <c r="L33" s="57"/>
      <c r="M33" s="57">
        <f t="shared" si="8"/>
        <v>0</v>
      </c>
      <c r="N33" s="350">
        <f t="shared" ref="N33:O33" si="38">C33</f>
        <v>46320</v>
      </c>
      <c r="O33" s="204" t="str">
        <f t="shared" si="38"/>
        <v>dom.</v>
      </c>
      <c r="P33" s="351">
        <v>17700.0</v>
      </c>
      <c r="Q33" s="213"/>
      <c r="R33" s="51"/>
      <c r="S33" s="291"/>
      <c r="T33" s="291" t="str">
        <f t="shared" si="10"/>
        <v>#DIV/0!</v>
      </c>
      <c r="U33" s="57"/>
      <c r="V33" s="57"/>
      <c r="W33" s="57"/>
      <c r="X33" s="57">
        <f t="shared" si="11"/>
        <v>0</v>
      </c>
      <c r="AB33" s="74" t="s">
        <v>65</v>
      </c>
      <c r="AC33" s="61">
        <f>SUM(F37:F39)</f>
        <v>0</v>
      </c>
      <c r="AD33" s="58" t="s">
        <v>65</v>
      </c>
      <c r="AE33" s="83">
        <f>SUM(Q37:Q39)</f>
        <v>0</v>
      </c>
      <c r="AI33" s="317"/>
      <c r="AJ33" s="317"/>
      <c r="AK33" s="317"/>
      <c r="AL33" s="317"/>
    </row>
    <row r="34" ht="15.75" customHeight="1">
      <c r="A34" s="8"/>
      <c r="B34" s="8"/>
      <c r="C34" s="207">
        <v>46321.0</v>
      </c>
      <c r="D34" s="208" t="str">
        <f t="shared" si="6"/>
        <v>seg.</v>
      </c>
      <c r="E34" s="341">
        <v>8700.0</v>
      </c>
      <c r="F34" s="209"/>
      <c r="G34" s="51"/>
      <c r="H34" s="290"/>
      <c r="I34" s="265" t="str">
        <f t="shared" si="7"/>
        <v>#DIV/0!</v>
      </c>
      <c r="J34" s="57"/>
      <c r="K34" s="57"/>
      <c r="L34" s="57"/>
      <c r="M34" s="57">
        <f t="shared" si="8"/>
        <v>0</v>
      </c>
      <c r="N34" s="350">
        <f t="shared" ref="N34:O34" si="39">C34</f>
        <v>46321</v>
      </c>
      <c r="O34" s="204" t="str">
        <f t="shared" si="39"/>
        <v>seg.</v>
      </c>
      <c r="P34" s="351">
        <v>4300.0</v>
      </c>
      <c r="Q34" s="213"/>
      <c r="R34" s="51"/>
      <c r="S34" s="291"/>
      <c r="T34" s="291" t="str">
        <f t="shared" si="10"/>
        <v>#DIV/0!</v>
      </c>
      <c r="U34" s="57"/>
      <c r="V34" s="57"/>
      <c r="W34" s="57"/>
      <c r="X34" s="57">
        <f t="shared" si="11"/>
        <v>0</v>
      </c>
      <c r="AB34" s="84"/>
      <c r="AC34" s="85">
        <f>AC33/AC20</f>
        <v>0</v>
      </c>
      <c r="AD34" s="84"/>
      <c r="AE34" s="87">
        <f>AE33/AE20</f>
        <v>0</v>
      </c>
    </row>
    <row r="35" ht="15.75" customHeight="1">
      <c r="A35" s="8"/>
      <c r="B35" s="8"/>
      <c r="C35" s="207">
        <v>46322.0</v>
      </c>
      <c r="D35" s="208" t="str">
        <f t="shared" si="6"/>
        <v>ter.</v>
      </c>
      <c r="E35" s="341">
        <v>7600.0</v>
      </c>
      <c r="F35" s="209"/>
      <c r="G35" s="51"/>
      <c r="H35" s="290"/>
      <c r="I35" s="265" t="str">
        <f t="shared" si="7"/>
        <v>#DIV/0!</v>
      </c>
      <c r="J35" s="57"/>
      <c r="K35" s="57"/>
      <c r="L35" s="57"/>
      <c r="M35" s="57">
        <f t="shared" si="8"/>
        <v>0</v>
      </c>
      <c r="N35" s="350">
        <f t="shared" ref="N35:O35" si="40">C35</f>
        <v>46322</v>
      </c>
      <c r="O35" s="204" t="str">
        <f t="shared" si="40"/>
        <v>ter.</v>
      </c>
      <c r="P35" s="351">
        <v>7200.0</v>
      </c>
      <c r="Q35" s="213"/>
      <c r="R35" s="51"/>
      <c r="S35" s="291"/>
      <c r="T35" s="291" t="str">
        <f t="shared" si="10"/>
        <v>#DIV/0!</v>
      </c>
      <c r="U35" s="57"/>
      <c r="V35" s="57"/>
      <c r="W35" s="57"/>
      <c r="X35" s="57">
        <f t="shared" si="11"/>
        <v>0</v>
      </c>
      <c r="AK35" s="271"/>
    </row>
    <row r="36" ht="15.75" customHeight="1">
      <c r="A36" s="8"/>
      <c r="B36" s="8"/>
      <c r="C36" s="207">
        <v>46323.0</v>
      </c>
      <c r="D36" s="208" t="str">
        <f t="shared" si="6"/>
        <v>qua.</v>
      </c>
      <c r="E36" s="341">
        <v>11400.0</v>
      </c>
      <c r="F36" s="209"/>
      <c r="G36" s="51"/>
      <c r="H36" s="290"/>
      <c r="I36" s="265" t="str">
        <f t="shared" si="7"/>
        <v>#DIV/0!</v>
      </c>
      <c r="J36" s="57"/>
      <c r="K36" s="57"/>
      <c r="L36" s="57"/>
      <c r="M36" s="57">
        <f t="shared" si="8"/>
        <v>0</v>
      </c>
      <c r="N36" s="350">
        <f t="shared" ref="N36:O36" si="41">C36</f>
        <v>46323</v>
      </c>
      <c r="O36" s="204" t="str">
        <f t="shared" si="41"/>
        <v>qua.</v>
      </c>
      <c r="P36" s="351">
        <v>4100.0</v>
      </c>
      <c r="Q36" s="213"/>
      <c r="R36" s="51"/>
      <c r="S36" s="291"/>
      <c r="T36" s="291" t="str">
        <f t="shared" si="10"/>
        <v>#DIV/0!</v>
      </c>
      <c r="U36" s="57"/>
      <c r="V36" s="57"/>
      <c r="W36" s="57"/>
      <c r="X36" s="57"/>
      <c r="AA36" s="92" t="s">
        <v>72</v>
      </c>
      <c r="AB36" s="93" t="s">
        <v>73</v>
      </c>
      <c r="AC36" s="94">
        <f>F40</f>
        <v>0</v>
      </c>
      <c r="AD36" s="164" t="s">
        <v>74</v>
      </c>
      <c r="AE36" s="96">
        <f>Q40</f>
        <v>0</v>
      </c>
      <c r="AF36" s="92" t="s">
        <v>72</v>
      </c>
      <c r="AJ36" s="317"/>
      <c r="AK36" s="271"/>
      <c r="AL36" s="317"/>
    </row>
    <row r="37" ht="15.75" customHeight="1">
      <c r="A37" s="8"/>
      <c r="B37" s="8"/>
      <c r="C37" s="207">
        <v>46324.0</v>
      </c>
      <c r="D37" s="208" t="str">
        <f t="shared" si="6"/>
        <v>qui.</v>
      </c>
      <c r="E37" s="341">
        <v>12000.0</v>
      </c>
      <c r="F37" s="209"/>
      <c r="G37" s="51"/>
      <c r="H37" s="290"/>
      <c r="I37" s="265" t="str">
        <f t="shared" si="7"/>
        <v>#DIV/0!</v>
      </c>
      <c r="J37" s="57"/>
      <c r="K37" s="57"/>
      <c r="L37" s="57"/>
      <c r="M37" s="57">
        <f t="shared" si="8"/>
        <v>0</v>
      </c>
      <c r="N37" s="350">
        <f t="shared" ref="N37:O37" si="42">C37</f>
        <v>46324</v>
      </c>
      <c r="O37" s="204" t="str">
        <f t="shared" si="42"/>
        <v>qui.</v>
      </c>
      <c r="P37" s="351">
        <v>4510.0</v>
      </c>
      <c r="Q37" s="213"/>
      <c r="R37" s="51"/>
      <c r="S37" s="291"/>
      <c r="T37" s="291" t="str">
        <f t="shared" si="10"/>
        <v>#DIV/0!</v>
      </c>
      <c r="U37" s="57"/>
      <c r="V37" s="57"/>
      <c r="W37" s="57"/>
      <c r="X37" s="57"/>
      <c r="AA37" s="97">
        <f>AC37-AD37</f>
        <v>-0.1</v>
      </c>
      <c r="AB37" s="98"/>
      <c r="AC37" s="99">
        <f>AC36/AC20</f>
        <v>0</v>
      </c>
      <c r="AD37" s="165">
        <f>3/30</f>
        <v>0.1</v>
      </c>
      <c r="AE37" s="100">
        <f>AE36/AE20</f>
        <v>0</v>
      </c>
      <c r="AF37" s="97">
        <f>AE37-AD37</f>
        <v>-0.1</v>
      </c>
      <c r="AK37" s="61"/>
    </row>
    <row r="38" ht="15.75" customHeight="1">
      <c r="A38" s="8"/>
      <c r="B38" s="8"/>
      <c r="C38" s="207">
        <v>46325.0</v>
      </c>
      <c r="D38" s="208" t="str">
        <f t="shared" si="6"/>
        <v>sex.</v>
      </c>
      <c r="E38" s="341">
        <v>22600.0</v>
      </c>
      <c r="F38" s="209"/>
      <c r="G38" s="51"/>
      <c r="H38" s="290"/>
      <c r="I38" s="265" t="str">
        <f t="shared" si="7"/>
        <v>#DIV/0!</v>
      </c>
      <c r="J38" s="57"/>
      <c r="K38" s="57"/>
      <c r="L38" s="57"/>
      <c r="M38" s="57">
        <f t="shared" si="8"/>
        <v>0</v>
      </c>
      <c r="N38" s="350">
        <f t="shared" ref="N38:O38" si="43">C38</f>
        <v>46325</v>
      </c>
      <c r="O38" s="204" t="str">
        <f t="shared" si="43"/>
        <v>sex.</v>
      </c>
      <c r="P38" s="351">
        <v>11600.0</v>
      </c>
      <c r="Q38" s="213"/>
      <c r="R38" s="51"/>
      <c r="S38" s="291"/>
      <c r="T38" s="291" t="str">
        <f t="shared" si="10"/>
        <v>#DIV/0!</v>
      </c>
      <c r="U38" s="57"/>
      <c r="V38" s="57"/>
      <c r="W38" s="57"/>
      <c r="X38" s="57"/>
      <c r="AB38" s="98" t="s">
        <v>76</v>
      </c>
      <c r="AC38" s="104">
        <f>AC20-AC36</f>
        <v>350000</v>
      </c>
      <c r="AD38" s="99"/>
      <c r="AE38" s="106">
        <f>AE20-AE36</f>
        <v>280000</v>
      </c>
    </row>
    <row r="39" ht="15.75" customHeight="1">
      <c r="A39" s="8"/>
      <c r="B39" s="8"/>
      <c r="C39" s="207">
        <v>46326.0</v>
      </c>
      <c r="D39" s="208" t="str">
        <f t="shared" si="6"/>
        <v>sáb.</v>
      </c>
      <c r="E39" s="341">
        <f>25000</f>
        <v>25000</v>
      </c>
      <c r="F39" s="209"/>
      <c r="G39" s="51"/>
      <c r="H39" s="290"/>
      <c r="I39" s="265" t="str">
        <f t="shared" si="7"/>
        <v>#DIV/0!</v>
      </c>
      <c r="J39" s="57"/>
      <c r="K39" s="57"/>
      <c r="L39" s="57"/>
      <c r="M39" s="57">
        <f t="shared" si="8"/>
        <v>0</v>
      </c>
      <c r="N39" s="350">
        <f t="shared" ref="N39:O39" si="44">C39</f>
        <v>46326</v>
      </c>
      <c r="O39" s="204" t="str">
        <f t="shared" si="44"/>
        <v>sáb.</v>
      </c>
      <c r="P39" s="351">
        <v>13800.0</v>
      </c>
      <c r="Q39" s="213"/>
      <c r="R39" s="51"/>
      <c r="S39" s="291"/>
      <c r="T39" s="291" t="str">
        <f t="shared" si="10"/>
        <v>#DIV/0!</v>
      </c>
      <c r="U39" s="57"/>
      <c r="V39" s="57"/>
      <c r="W39" s="57"/>
      <c r="X39" s="57">
        <f>U39+V39+W39</f>
        <v>0</v>
      </c>
      <c r="AE39" s="61"/>
    </row>
    <row r="40" ht="15.75" customHeight="1">
      <c r="A40" s="8"/>
      <c r="B40" s="8"/>
      <c r="C40" s="218"/>
      <c r="D40" s="218"/>
      <c r="E40" s="219">
        <f t="shared" ref="E40:H40" si="45">SUM(E9:E39)</f>
        <v>522530</v>
      </c>
      <c r="F40" s="219">
        <f t="shared" si="45"/>
        <v>0</v>
      </c>
      <c r="G40" s="105">
        <f t="shared" si="45"/>
        <v>0</v>
      </c>
      <c r="H40" s="105">
        <f t="shared" si="45"/>
        <v>0</v>
      </c>
      <c r="I40" s="105"/>
      <c r="J40" s="105">
        <f t="shared" ref="J40:M40" si="46">SUM(J9:J39)</f>
        <v>0</v>
      </c>
      <c r="K40" s="105">
        <f t="shared" si="46"/>
        <v>0</v>
      </c>
      <c r="L40" s="105">
        <f t="shared" si="46"/>
        <v>0</v>
      </c>
      <c r="M40" s="105">
        <f t="shared" si="46"/>
        <v>0</v>
      </c>
      <c r="N40" s="286"/>
      <c r="O40" s="287"/>
      <c r="P40" s="222">
        <f t="shared" ref="P40:S40" si="47">SUM(P9:P39)</f>
        <v>300500</v>
      </c>
      <c r="Q40" s="222">
        <f t="shared" si="47"/>
        <v>0</v>
      </c>
      <c r="R40" s="105">
        <f t="shared" si="47"/>
        <v>0</v>
      </c>
      <c r="S40" s="223">
        <f t="shared" si="47"/>
        <v>0</v>
      </c>
      <c r="T40" s="223"/>
      <c r="U40" s="223">
        <f t="shared" ref="U40:X40" si="48">SUM(U9:U39)</f>
        <v>0</v>
      </c>
      <c r="V40" s="223">
        <f t="shared" si="48"/>
        <v>0</v>
      </c>
      <c r="W40" s="223">
        <f t="shared" si="48"/>
        <v>0</v>
      </c>
      <c r="X40" s="223">
        <f t="shared" si="48"/>
        <v>0</v>
      </c>
    </row>
    <row r="41" ht="15.75" customHeight="1">
      <c r="D41" s="61"/>
      <c r="E41" s="61"/>
      <c r="F41" s="225"/>
      <c r="G41" s="114"/>
      <c r="H41" s="356" t="s">
        <v>354</v>
      </c>
      <c r="I41" s="226"/>
      <c r="N41" s="61"/>
      <c r="P41" s="61"/>
      <c r="Q41" s="275"/>
      <c r="R41" s="114"/>
      <c r="S41" s="199"/>
      <c r="T41" s="199"/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199"/>
    </row>
    <row r="43" ht="15.75" customHeight="1">
      <c r="A43" s="2"/>
      <c r="B43" s="2"/>
      <c r="C43" s="2"/>
      <c r="D43" s="2"/>
      <c r="E43" s="174" t="s">
        <v>77</v>
      </c>
      <c r="F43" s="118">
        <f>E40+G40</f>
        <v>522530</v>
      </c>
      <c r="P43" s="115" t="s">
        <v>77</v>
      </c>
      <c r="Q43" s="118">
        <f>P40+R40</f>
        <v>300500</v>
      </c>
      <c r="S43" s="199"/>
      <c r="T43" s="199"/>
    </row>
    <row r="44" ht="15.75" customHeight="1">
      <c r="A44" s="2"/>
      <c r="B44" s="2"/>
      <c r="C44" s="122" t="s">
        <v>29</v>
      </c>
      <c r="D44" s="394">
        <v>522000.0</v>
      </c>
      <c r="E44" s="75"/>
      <c r="F44" s="2"/>
      <c r="N44" s="126" t="s">
        <v>29</v>
      </c>
      <c r="O44" s="394">
        <v>300000.0</v>
      </c>
      <c r="P44" s="2"/>
      <c r="Q44" s="2"/>
      <c r="S44" s="199"/>
      <c r="T44" s="199"/>
    </row>
    <row r="45" ht="15.75" customHeight="1">
      <c r="A45" s="61"/>
      <c r="B45" s="61"/>
      <c r="C45" s="61"/>
      <c r="D45" s="175"/>
      <c r="N45" s="175"/>
      <c r="O45" s="61"/>
      <c r="S45" s="199"/>
      <c r="T45" s="199"/>
    </row>
    <row r="46" ht="15.75" customHeight="1">
      <c r="A46" s="61"/>
      <c r="B46" s="61"/>
      <c r="C46" s="61"/>
      <c r="O46" s="61"/>
      <c r="S46" s="199"/>
      <c r="T46" s="199"/>
    </row>
    <row r="47" ht="15.75" customHeight="1">
      <c r="A47" s="61"/>
      <c r="B47" s="61"/>
      <c r="C47" s="61"/>
      <c r="N47" s="61"/>
      <c r="S47" s="199"/>
      <c r="T47" s="199"/>
    </row>
    <row r="48" ht="15.75" customHeight="1">
      <c r="A48" s="61"/>
      <c r="B48" s="61"/>
      <c r="C48" s="61"/>
      <c r="N48" s="121"/>
      <c r="S48" s="199"/>
      <c r="T48" s="199"/>
    </row>
    <row r="49" ht="15.75" customHeight="1">
      <c r="A49" s="61"/>
      <c r="B49" s="61"/>
      <c r="C49" s="61"/>
      <c r="S49" s="199"/>
      <c r="T49" s="19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4:M6"/>
    <mergeCell ref="N4:X6"/>
    <mergeCell ref="AA4:AB4"/>
    <mergeCell ref="AD4:AE4"/>
    <mergeCell ref="AH4:AI4"/>
    <mergeCell ref="AK4:AL4"/>
    <mergeCell ref="C7:M7"/>
    <mergeCell ref="N7:X7"/>
  </mergeCells>
  <conditionalFormatting sqref="G9:G40 H40:M40 R9:R40">
    <cfRule type="cellIs" dxfId="0" priority="1" operator="greaterThanOrEqual">
      <formula>0</formula>
    </cfRule>
  </conditionalFormatting>
  <conditionalFormatting sqref="G9:G40 H40:M40 R9:R40">
    <cfRule type="cellIs" dxfId="1" priority="2" operator="lessThan">
      <formula>0</formula>
    </cfRule>
  </conditionalFormatting>
  <conditionalFormatting sqref="G9:G40 H40:M40 R9:R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8.33"/>
    <col customWidth="1" min="5" max="6" width="23.0"/>
    <col customWidth="1" min="7" max="7" width="12.67"/>
    <col customWidth="1" min="8" max="8" width="15.44"/>
    <col customWidth="1" min="9" max="9" width="10.56"/>
    <col customWidth="1" min="10" max="10" width="14.11"/>
    <col customWidth="1" min="11" max="11" width="12.78"/>
    <col customWidth="1" min="12" max="12" width="15.44"/>
    <col customWidth="1" min="13" max="13" width="17.0"/>
    <col customWidth="1" min="14" max="14" width="10.56"/>
    <col customWidth="1" min="15" max="15" width="18.33"/>
    <col customWidth="1" min="16" max="17" width="17.44"/>
    <col customWidth="1" min="18" max="19" width="10.56"/>
    <col customWidth="1" min="20" max="20" width="12.67"/>
    <col customWidth="1" min="21" max="21" width="14.11"/>
    <col customWidth="1" min="22" max="22" width="12.78"/>
    <col customWidth="1" min="23" max="23" width="12.44"/>
    <col customWidth="1" min="24" max="24" width="17.0"/>
    <col customWidth="1" min="25" max="26" width="10.56"/>
    <col customWidth="1" min="27" max="28" width="14.78"/>
    <col customWidth="1" min="29" max="29" width="14.0"/>
    <col customWidth="1" min="30" max="30" width="13.0"/>
    <col customWidth="1" min="31" max="31" width="14.0"/>
    <col customWidth="1" min="32" max="33" width="10.56"/>
    <col customWidth="1" min="34" max="34" width="13.0"/>
    <col customWidth="1" min="35" max="35" width="14.78"/>
    <col customWidth="1" min="36" max="36" width="10.56"/>
    <col customWidth="1" min="37" max="37" width="33.78"/>
    <col customWidth="1" min="38" max="38" width="14.78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</row>
    <row r="5" ht="15.75" customHeight="1">
      <c r="A5" s="288"/>
      <c r="B5" s="288"/>
      <c r="C5" s="31"/>
      <c r="M5" s="32"/>
      <c r="N5" s="31"/>
      <c r="X5" s="32"/>
      <c r="AA5" s="261">
        <v>45689.0</v>
      </c>
      <c r="AB5" s="261">
        <v>45717.0</v>
      </c>
      <c r="AD5" s="261">
        <v>45689.0</v>
      </c>
      <c r="AE5" s="261">
        <v>45717.0</v>
      </c>
      <c r="AH5" s="261">
        <v>46054.0</v>
      </c>
      <c r="AI5" s="261">
        <v>46082.0</v>
      </c>
      <c r="AK5" s="261">
        <v>46054.0</v>
      </c>
      <c r="AL5" s="261">
        <v>46082.0</v>
      </c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" t="s">
        <v>45</v>
      </c>
      <c r="AA6" s="55">
        <v>3652.4075000000003</v>
      </c>
      <c r="AB6" s="55">
        <v>4545.63</v>
      </c>
      <c r="AC6" s="66">
        <f t="shared" ref="AC6:AC12" si="1">AB6/AA6-1</f>
        <v>0.2445571859</v>
      </c>
      <c r="AD6" s="229">
        <v>3812.5525000000002</v>
      </c>
      <c r="AE6" s="229">
        <v>5771.93</v>
      </c>
      <c r="AF6" s="66">
        <f t="shared" ref="AF6:AF12" si="2">AE6/AD6-1</f>
        <v>0.5139280049</v>
      </c>
      <c r="AG6" s="2" t="s">
        <v>45</v>
      </c>
      <c r="AH6" s="229">
        <v>4714.78</v>
      </c>
      <c r="AI6" s="274">
        <f t="shared" ref="AI6:AI12" si="3">AH6*AC6+AH6</f>
        <v>5867.813329</v>
      </c>
      <c r="AJ6" s="75"/>
      <c r="AK6" s="229">
        <v>3549.79</v>
      </c>
      <c r="AL6" s="274">
        <f t="shared" ref="AL6:AL12" si="4">AK6*AF6+AK6</f>
        <v>5374.126493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Z7" s="8" t="s">
        <v>46</v>
      </c>
      <c r="AA7" s="55">
        <v>3437.8125</v>
      </c>
      <c r="AB7" s="55">
        <v>5976.19</v>
      </c>
      <c r="AC7" s="66">
        <f t="shared" si="1"/>
        <v>0.7383699664</v>
      </c>
      <c r="AD7" s="229">
        <v>4137.565</v>
      </c>
      <c r="AE7" s="229">
        <v>7407.2</v>
      </c>
      <c r="AF7" s="66">
        <f t="shared" si="2"/>
        <v>0.7902316942</v>
      </c>
      <c r="AG7" s="8" t="s">
        <v>46</v>
      </c>
      <c r="AH7" s="229">
        <v>4782.03</v>
      </c>
      <c r="AI7" s="274">
        <f t="shared" si="3"/>
        <v>8312.93733</v>
      </c>
      <c r="AJ7" s="75"/>
      <c r="AK7" s="229">
        <v>4412.95</v>
      </c>
      <c r="AL7" s="274">
        <f t="shared" si="4"/>
        <v>7900.202955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165</v>
      </c>
      <c r="X8" s="44" t="s">
        <v>166</v>
      </c>
      <c r="Z8" s="2" t="s">
        <v>40</v>
      </c>
      <c r="AA8" s="55">
        <v>6062.825000000001</v>
      </c>
      <c r="AB8" s="55">
        <v>5450.1</v>
      </c>
      <c r="AC8" s="66">
        <f t="shared" si="1"/>
        <v>-0.1010626234</v>
      </c>
      <c r="AD8" s="229">
        <v>4168.594999999999</v>
      </c>
      <c r="AE8" s="229">
        <v>6082.42</v>
      </c>
      <c r="AF8" s="66">
        <f t="shared" si="2"/>
        <v>0.459105526</v>
      </c>
      <c r="AG8" s="2" t="s">
        <v>40</v>
      </c>
      <c r="AH8" s="229">
        <v>5010.82</v>
      </c>
      <c r="AI8" s="274">
        <f t="shared" si="3"/>
        <v>4504.413385</v>
      </c>
      <c r="AJ8" s="75"/>
      <c r="AK8" s="229">
        <v>5423.01</v>
      </c>
      <c r="AL8" s="274">
        <f t="shared" si="4"/>
        <v>7912.743858</v>
      </c>
    </row>
    <row r="9" ht="15.75" customHeight="1">
      <c r="A9" s="8"/>
      <c r="B9" s="8"/>
      <c r="C9" s="207">
        <v>46327.0</v>
      </c>
      <c r="D9" s="208" t="str">
        <f t="shared" ref="D9:D38" si="6">TEXT(C9,"ddd")</f>
        <v>dom.</v>
      </c>
      <c r="E9" s="209"/>
      <c r="F9" s="209"/>
      <c r="G9" s="51"/>
      <c r="H9" s="290"/>
      <c r="I9" s="265" t="str">
        <f t="shared" ref="I9:I39" si="7">F9/H9</f>
        <v>#DIV/0!</v>
      </c>
      <c r="J9" s="57"/>
      <c r="K9" s="57"/>
      <c r="L9" s="57"/>
      <c r="M9" s="57">
        <f t="shared" ref="M9:M39" si="8">J9+K9+L9</f>
        <v>0</v>
      </c>
      <c r="N9" s="350">
        <f t="shared" ref="N9:O9" si="5">C9</f>
        <v>46327</v>
      </c>
      <c r="O9" s="350" t="str">
        <f t="shared" si="5"/>
        <v>dom.</v>
      </c>
      <c r="P9" s="213"/>
      <c r="Q9" s="213"/>
      <c r="R9" s="51">
        <f t="shared" ref="R9:R11" si="10">Q9-P9</f>
        <v>0</v>
      </c>
      <c r="S9" s="291"/>
      <c r="T9" s="291" t="str">
        <f t="shared" ref="T9:T39" si="11">Q9/S9</f>
        <v>#DIV/0!</v>
      </c>
      <c r="U9" s="57"/>
      <c r="V9" s="57"/>
      <c r="W9" s="57"/>
      <c r="X9" s="57">
        <f t="shared" ref="X9:X35" si="12">U9+V9+W9</f>
        <v>0</v>
      </c>
      <c r="Z9" s="2" t="s">
        <v>47</v>
      </c>
      <c r="AA9" s="55">
        <v>6195.1050000000005</v>
      </c>
      <c r="AB9" s="55">
        <v>5434.13</v>
      </c>
      <c r="AC9" s="66">
        <f t="shared" si="1"/>
        <v>-0.1228348833</v>
      </c>
      <c r="AD9" s="229">
        <v>5183.4375</v>
      </c>
      <c r="AE9" s="229">
        <v>5086.32</v>
      </c>
      <c r="AF9" s="66">
        <f t="shared" si="2"/>
        <v>-0.01873611865</v>
      </c>
      <c r="AG9" s="2" t="s">
        <v>47</v>
      </c>
      <c r="AH9" s="229">
        <v>4491.8</v>
      </c>
      <c r="AI9" s="274">
        <f t="shared" si="3"/>
        <v>3940.050271</v>
      </c>
      <c r="AJ9" s="75"/>
      <c r="AK9" s="229">
        <v>4676.16</v>
      </c>
      <c r="AL9" s="274">
        <f t="shared" si="4"/>
        <v>4588.546911</v>
      </c>
    </row>
    <row r="10" ht="15.75" customHeight="1">
      <c r="A10" s="8"/>
      <c r="B10" s="8"/>
      <c r="C10" s="207">
        <v>46328.0</v>
      </c>
      <c r="D10" s="208" t="str">
        <f t="shared" si="6"/>
        <v>seg.</v>
      </c>
      <c r="E10" s="209"/>
      <c r="F10" s="209"/>
      <c r="G10" s="51"/>
      <c r="H10" s="290"/>
      <c r="I10" s="265" t="str">
        <f t="shared" si="7"/>
        <v>#DIV/0!</v>
      </c>
      <c r="J10" s="57"/>
      <c r="K10" s="57"/>
      <c r="L10" s="57"/>
      <c r="M10" s="57">
        <f t="shared" si="8"/>
        <v>0</v>
      </c>
      <c r="N10" s="350">
        <f t="shared" ref="N10:O10" si="9">C10</f>
        <v>46328</v>
      </c>
      <c r="O10" s="350" t="str">
        <f t="shared" si="9"/>
        <v>seg.</v>
      </c>
      <c r="P10" s="213"/>
      <c r="Q10" s="213"/>
      <c r="R10" s="51">
        <f t="shared" si="10"/>
        <v>0</v>
      </c>
      <c r="S10" s="291"/>
      <c r="T10" s="291" t="str">
        <f t="shared" si="11"/>
        <v>#DIV/0!</v>
      </c>
      <c r="U10" s="57"/>
      <c r="V10" s="57"/>
      <c r="W10" s="57"/>
      <c r="X10" s="57">
        <f t="shared" si="12"/>
        <v>0</v>
      </c>
      <c r="Z10" s="2" t="s">
        <v>48</v>
      </c>
      <c r="AA10" s="55">
        <v>10387.4</v>
      </c>
      <c r="AB10" s="55">
        <v>10944.55</v>
      </c>
      <c r="AC10" s="66">
        <f t="shared" si="1"/>
        <v>0.05363709879</v>
      </c>
      <c r="AD10" s="229">
        <v>10702.8325</v>
      </c>
      <c r="AE10" s="229">
        <v>11651.22</v>
      </c>
      <c r="AF10" s="66">
        <f t="shared" si="2"/>
        <v>0.08861088875</v>
      </c>
      <c r="AG10" s="2" t="s">
        <v>48</v>
      </c>
      <c r="AH10" s="229">
        <v>12402.16</v>
      </c>
      <c r="AI10" s="274">
        <f t="shared" si="3"/>
        <v>13067.37588</v>
      </c>
      <c r="AJ10" s="75"/>
      <c r="AK10" s="229">
        <v>8692.46</v>
      </c>
      <c r="AL10" s="274">
        <f t="shared" si="4"/>
        <v>9462.706606</v>
      </c>
    </row>
    <row r="11" ht="15.75" customHeight="1">
      <c r="A11" s="8"/>
      <c r="B11" s="8"/>
      <c r="C11" s="207">
        <v>46329.0</v>
      </c>
      <c r="D11" s="208" t="str">
        <f t="shared" si="6"/>
        <v>ter.</v>
      </c>
      <c r="E11" s="209"/>
      <c r="F11" s="209"/>
      <c r="G11" s="51"/>
      <c r="H11" s="290"/>
      <c r="I11" s="265" t="str">
        <f t="shared" si="7"/>
        <v>#DIV/0!</v>
      </c>
      <c r="J11" s="57"/>
      <c r="K11" s="57"/>
      <c r="L11" s="57"/>
      <c r="M11" s="57">
        <f t="shared" si="8"/>
        <v>0</v>
      </c>
      <c r="N11" s="350">
        <f t="shared" ref="N11:O11" si="13">C11</f>
        <v>46329</v>
      </c>
      <c r="O11" s="350" t="str">
        <f t="shared" si="13"/>
        <v>ter.</v>
      </c>
      <c r="P11" s="213"/>
      <c r="Q11" s="213"/>
      <c r="R11" s="51">
        <f t="shared" si="10"/>
        <v>0</v>
      </c>
      <c r="S11" s="291"/>
      <c r="T11" s="291" t="str">
        <f t="shared" si="11"/>
        <v>#DIV/0!</v>
      </c>
      <c r="U11" s="57"/>
      <c r="V11" s="57"/>
      <c r="W11" s="57"/>
      <c r="X11" s="57">
        <f t="shared" si="12"/>
        <v>0</v>
      </c>
      <c r="Z11" s="2" t="s">
        <v>171</v>
      </c>
      <c r="AA11" s="55">
        <v>16307.732500000002</v>
      </c>
      <c r="AB11" s="55">
        <v>18139.43</v>
      </c>
      <c r="AC11" s="66">
        <f t="shared" si="1"/>
        <v>0.1123207963</v>
      </c>
      <c r="AD11" s="229">
        <v>13893.575</v>
      </c>
      <c r="AE11" s="229">
        <v>13900.58</v>
      </c>
      <c r="AF11" s="66">
        <f t="shared" si="2"/>
        <v>0.0005041898863</v>
      </c>
      <c r="AG11" s="2" t="s">
        <v>171</v>
      </c>
      <c r="AH11" s="229">
        <v>21497.4</v>
      </c>
      <c r="AI11" s="274">
        <f t="shared" si="3"/>
        <v>23912.00509</v>
      </c>
      <c r="AJ11" s="75"/>
      <c r="AK11" s="229">
        <v>12983.64</v>
      </c>
      <c r="AL11" s="274">
        <f t="shared" si="4"/>
        <v>12990.18622</v>
      </c>
    </row>
    <row r="12" ht="15.75" customHeight="1">
      <c r="A12" s="8"/>
      <c r="B12" s="8"/>
      <c r="C12" s="207">
        <v>46330.0</v>
      </c>
      <c r="D12" s="208" t="str">
        <f t="shared" si="6"/>
        <v>qua.</v>
      </c>
      <c r="E12" s="209"/>
      <c r="F12" s="209"/>
      <c r="G12" s="51"/>
      <c r="H12" s="290"/>
      <c r="I12" s="265" t="str">
        <f t="shared" si="7"/>
        <v>#DIV/0!</v>
      </c>
      <c r="J12" s="57"/>
      <c r="K12" s="57"/>
      <c r="L12" s="57"/>
      <c r="M12" s="57">
        <f t="shared" si="8"/>
        <v>0</v>
      </c>
      <c r="N12" s="350">
        <f t="shared" ref="N12:O12" si="14">C12</f>
        <v>46330</v>
      </c>
      <c r="O12" s="350" t="str">
        <f t="shared" si="14"/>
        <v>qua.</v>
      </c>
      <c r="P12" s="213"/>
      <c r="Q12" s="213"/>
      <c r="R12" s="51"/>
      <c r="S12" s="291"/>
      <c r="T12" s="291" t="str">
        <f t="shared" si="11"/>
        <v>#DIV/0!</v>
      </c>
      <c r="U12" s="57"/>
      <c r="V12" s="57"/>
      <c r="W12" s="57"/>
      <c r="X12" s="57">
        <f t="shared" si="12"/>
        <v>0</v>
      </c>
      <c r="Z12" s="2" t="s">
        <v>44</v>
      </c>
      <c r="AA12" s="55">
        <v>14307.8</v>
      </c>
      <c r="AB12" s="55">
        <v>18056.14</v>
      </c>
      <c r="AC12" s="66">
        <f t="shared" si="1"/>
        <v>0.2619787808</v>
      </c>
      <c r="AD12" s="229">
        <v>20893.4225</v>
      </c>
      <c r="AE12" s="229">
        <v>19750.29</v>
      </c>
      <c r="AF12" s="66">
        <f t="shared" si="2"/>
        <v>-0.05471255368</v>
      </c>
      <c r="AG12" s="2" t="s">
        <v>44</v>
      </c>
      <c r="AH12" s="229">
        <v>19314.34</v>
      </c>
      <c r="AI12" s="274">
        <f t="shared" si="3"/>
        <v>24374.28725</v>
      </c>
      <c r="AJ12" s="75"/>
      <c r="AK12" s="229">
        <v>16807.18</v>
      </c>
      <c r="AL12" s="274">
        <f t="shared" si="4"/>
        <v>15887.61626</v>
      </c>
    </row>
    <row r="13" ht="15.75" customHeight="1">
      <c r="A13" s="8"/>
      <c r="B13" s="8"/>
      <c r="C13" s="207">
        <v>46331.0</v>
      </c>
      <c r="D13" s="208" t="str">
        <f t="shared" si="6"/>
        <v>qui.</v>
      </c>
      <c r="E13" s="209"/>
      <c r="F13" s="209"/>
      <c r="G13" s="51"/>
      <c r="H13" s="290"/>
      <c r="I13" s="265" t="str">
        <f t="shared" si="7"/>
        <v>#DIV/0!</v>
      </c>
      <c r="J13" s="57"/>
      <c r="K13" s="57"/>
      <c r="L13" s="57"/>
      <c r="M13" s="57">
        <f t="shared" si="8"/>
        <v>0</v>
      </c>
      <c r="N13" s="350">
        <f t="shared" ref="N13:O13" si="15">C13</f>
        <v>46331</v>
      </c>
      <c r="O13" s="350" t="str">
        <f t="shared" si="15"/>
        <v>qui.</v>
      </c>
      <c r="P13" s="213"/>
      <c r="Q13" s="213"/>
      <c r="R13" s="51"/>
      <c r="S13" s="291"/>
      <c r="T13" s="291" t="str">
        <f t="shared" si="11"/>
        <v>#DIV/0!</v>
      </c>
      <c r="U13" s="57"/>
      <c r="V13" s="57"/>
      <c r="W13" s="57"/>
      <c r="X13" s="57">
        <f t="shared" si="12"/>
        <v>0</v>
      </c>
      <c r="AA13" s="167">
        <f t="shared" ref="AA13:AB13" si="16">SUM(AA6:AA12)</f>
        <v>60351.0825</v>
      </c>
      <c r="AB13" s="167">
        <f t="shared" si="16"/>
        <v>68546.17</v>
      </c>
      <c r="AC13" s="61"/>
      <c r="AD13" s="167">
        <f t="shared" ref="AD13:AE13" si="17">SUM(AD6:AD12)</f>
        <v>62791.98</v>
      </c>
      <c r="AE13" s="167">
        <f t="shared" si="17"/>
        <v>69649.96</v>
      </c>
      <c r="AF13" s="61"/>
      <c r="AH13" s="167">
        <f t="shared" ref="AH13:AI13" si="18">SUM(AH6:AH12)</f>
        <v>72213.33</v>
      </c>
      <c r="AI13" s="167">
        <f t="shared" si="18"/>
        <v>83978.88253</v>
      </c>
      <c r="AJ13" s="61"/>
      <c r="AK13" s="167">
        <f t="shared" ref="AK13:AL13" si="19">SUM(AK6:AK12)</f>
        <v>56545.19</v>
      </c>
      <c r="AL13" s="167">
        <f t="shared" si="19"/>
        <v>64116.12931</v>
      </c>
    </row>
    <row r="14" ht="15.75" customHeight="1">
      <c r="A14" s="8"/>
      <c r="B14" s="8"/>
      <c r="C14" s="207">
        <v>46332.0</v>
      </c>
      <c r="D14" s="208" t="str">
        <f t="shared" si="6"/>
        <v>sex.</v>
      </c>
      <c r="E14" s="209"/>
      <c r="F14" s="209"/>
      <c r="G14" s="51"/>
      <c r="H14" s="290"/>
      <c r="I14" s="265" t="str">
        <f t="shared" si="7"/>
        <v>#DIV/0!</v>
      </c>
      <c r="J14" s="57"/>
      <c r="K14" s="57"/>
      <c r="L14" s="57"/>
      <c r="M14" s="57">
        <f t="shared" si="8"/>
        <v>0</v>
      </c>
      <c r="N14" s="350">
        <f t="shared" ref="N14:O14" si="20">C14</f>
        <v>46332</v>
      </c>
      <c r="O14" s="350" t="str">
        <f t="shared" si="20"/>
        <v>sex.</v>
      </c>
      <c r="P14" s="213"/>
      <c r="Q14" s="213"/>
      <c r="R14" s="51"/>
      <c r="S14" s="291"/>
      <c r="T14" s="291" t="str">
        <f t="shared" si="11"/>
        <v>#DIV/0!</v>
      </c>
      <c r="U14" s="57"/>
      <c r="V14" s="57"/>
      <c r="W14" s="57"/>
      <c r="X14" s="57">
        <f t="shared" si="12"/>
        <v>0</v>
      </c>
      <c r="AB14" s="66">
        <f>AB13/AA13-1</f>
        <v>0.1357902321</v>
      </c>
      <c r="AE14" s="66">
        <f>AE13/AD13-1</f>
        <v>0.109217451</v>
      </c>
      <c r="AI14" s="66">
        <f>AI13/AH13-1</f>
        <v>0.1629277105</v>
      </c>
      <c r="AL14" s="66">
        <f>AL13/AK13-1</f>
        <v>0.133891836</v>
      </c>
    </row>
    <row r="15" ht="15.75" customHeight="1">
      <c r="A15" s="8"/>
      <c r="B15" s="8"/>
      <c r="C15" s="207">
        <v>46333.0</v>
      </c>
      <c r="D15" s="208" t="str">
        <f t="shared" si="6"/>
        <v>sáb.</v>
      </c>
      <c r="E15" s="209"/>
      <c r="F15" s="209"/>
      <c r="G15" s="51"/>
      <c r="H15" s="290"/>
      <c r="I15" s="265" t="str">
        <f t="shared" si="7"/>
        <v>#DIV/0!</v>
      </c>
      <c r="J15" s="57"/>
      <c r="K15" s="57"/>
      <c r="L15" s="57"/>
      <c r="M15" s="57">
        <f t="shared" si="8"/>
        <v>0</v>
      </c>
      <c r="N15" s="350">
        <f t="shared" ref="N15:O15" si="21">C15</f>
        <v>46333</v>
      </c>
      <c r="O15" s="350" t="str">
        <f t="shared" si="21"/>
        <v>sáb.</v>
      </c>
      <c r="P15" s="213"/>
      <c r="Q15" s="213"/>
      <c r="R15" s="51"/>
      <c r="S15" s="291"/>
      <c r="T15" s="291" t="str">
        <f t="shared" si="11"/>
        <v>#DIV/0!</v>
      </c>
      <c r="U15" s="57"/>
      <c r="V15" s="57"/>
      <c r="W15" s="57"/>
      <c r="X15" s="57">
        <f t="shared" si="12"/>
        <v>0</v>
      </c>
    </row>
    <row r="16" ht="15.75" customHeight="1">
      <c r="A16" s="8"/>
      <c r="B16" s="8"/>
      <c r="C16" s="207">
        <v>46334.0</v>
      </c>
      <c r="D16" s="208" t="str">
        <f t="shared" si="6"/>
        <v>dom.</v>
      </c>
      <c r="E16" s="209"/>
      <c r="F16" s="209"/>
      <c r="G16" s="51"/>
      <c r="H16" s="290"/>
      <c r="I16" s="265" t="str">
        <f t="shared" si="7"/>
        <v>#DIV/0!</v>
      </c>
      <c r="J16" s="57"/>
      <c r="K16" s="57"/>
      <c r="L16" s="57"/>
      <c r="M16" s="57">
        <f t="shared" si="8"/>
        <v>0</v>
      </c>
      <c r="N16" s="350">
        <f t="shared" ref="N16:O16" si="22">C16</f>
        <v>46334</v>
      </c>
      <c r="O16" s="350" t="str">
        <f t="shared" si="22"/>
        <v>dom.</v>
      </c>
      <c r="P16" s="213"/>
      <c r="Q16" s="213"/>
      <c r="R16" s="51"/>
      <c r="S16" s="291"/>
      <c r="T16" s="291" t="str">
        <f t="shared" si="11"/>
        <v>#DIV/0!</v>
      </c>
      <c r="U16" s="57"/>
      <c r="V16" s="57"/>
      <c r="W16" s="57"/>
      <c r="X16" s="57">
        <f t="shared" si="12"/>
        <v>0</v>
      </c>
    </row>
    <row r="17" ht="15.75" customHeight="1">
      <c r="A17" s="8"/>
      <c r="B17" s="8"/>
      <c r="C17" s="207">
        <v>46335.0</v>
      </c>
      <c r="D17" s="208" t="str">
        <f t="shared" si="6"/>
        <v>seg.</v>
      </c>
      <c r="E17" s="209"/>
      <c r="F17" s="209"/>
      <c r="G17" s="51"/>
      <c r="H17" s="290"/>
      <c r="I17" s="265" t="str">
        <f t="shared" si="7"/>
        <v>#DIV/0!</v>
      </c>
      <c r="J17" s="57"/>
      <c r="K17" s="57"/>
      <c r="L17" s="57"/>
      <c r="M17" s="57">
        <f t="shared" si="8"/>
        <v>0</v>
      </c>
      <c r="N17" s="350">
        <f t="shared" ref="N17:O17" si="23">C17</f>
        <v>46335</v>
      </c>
      <c r="O17" s="350" t="str">
        <f t="shared" si="23"/>
        <v>seg.</v>
      </c>
      <c r="P17" s="213"/>
      <c r="Q17" s="213"/>
      <c r="R17" s="51"/>
      <c r="S17" s="291"/>
      <c r="T17" s="291" t="str">
        <f t="shared" si="11"/>
        <v>#DIV/0!</v>
      </c>
      <c r="U17" s="57"/>
      <c r="V17" s="57"/>
      <c r="W17" s="57"/>
      <c r="X17" s="57">
        <f t="shared" si="12"/>
        <v>0</v>
      </c>
    </row>
    <row r="18" ht="15.75" customHeight="1">
      <c r="A18" s="8"/>
      <c r="B18" s="8"/>
      <c r="C18" s="207">
        <v>46336.0</v>
      </c>
      <c r="D18" s="208" t="str">
        <f t="shared" si="6"/>
        <v>ter.</v>
      </c>
      <c r="E18" s="209"/>
      <c r="F18" s="209"/>
      <c r="G18" s="51"/>
      <c r="H18" s="290"/>
      <c r="I18" s="265" t="str">
        <f t="shared" si="7"/>
        <v>#DIV/0!</v>
      </c>
      <c r="J18" s="57"/>
      <c r="K18" s="57"/>
      <c r="L18" s="57"/>
      <c r="M18" s="57">
        <f t="shared" si="8"/>
        <v>0</v>
      </c>
      <c r="N18" s="350">
        <f t="shared" ref="N18:O18" si="24">C18</f>
        <v>46336</v>
      </c>
      <c r="O18" s="350" t="str">
        <f t="shared" si="24"/>
        <v>ter.</v>
      </c>
      <c r="P18" s="213"/>
      <c r="Q18" s="213"/>
      <c r="R18" s="51"/>
      <c r="S18" s="291"/>
      <c r="T18" s="291" t="str">
        <f t="shared" si="11"/>
        <v>#DIV/0!</v>
      </c>
      <c r="U18" s="57"/>
      <c r="V18" s="57"/>
      <c r="W18" s="57"/>
      <c r="X18" s="57">
        <f t="shared" si="12"/>
        <v>0</v>
      </c>
    </row>
    <row r="19" ht="15.75" customHeight="1">
      <c r="A19" s="8"/>
      <c r="B19" s="8"/>
      <c r="C19" s="207">
        <v>46337.0</v>
      </c>
      <c r="D19" s="208" t="str">
        <f t="shared" si="6"/>
        <v>qua.</v>
      </c>
      <c r="E19" s="209"/>
      <c r="F19" s="209"/>
      <c r="G19" s="51"/>
      <c r="H19" s="290"/>
      <c r="I19" s="265" t="str">
        <f t="shared" si="7"/>
        <v>#DIV/0!</v>
      </c>
      <c r="J19" s="57"/>
      <c r="K19" s="57"/>
      <c r="L19" s="57"/>
      <c r="M19" s="57">
        <f t="shared" si="8"/>
        <v>0</v>
      </c>
      <c r="N19" s="350">
        <f t="shared" ref="N19:O19" si="25">C19</f>
        <v>46337</v>
      </c>
      <c r="O19" s="350" t="str">
        <f t="shared" si="25"/>
        <v>qua.</v>
      </c>
      <c r="P19" s="213"/>
      <c r="Q19" s="213"/>
      <c r="R19" s="51"/>
      <c r="S19" s="291"/>
      <c r="T19" s="291" t="str">
        <f t="shared" si="11"/>
        <v>#DIV/0!</v>
      </c>
      <c r="U19" s="57"/>
      <c r="V19" s="57"/>
      <c r="W19" s="57"/>
      <c r="X19" s="57">
        <f t="shared" si="12"/>
        <v>0</v>
      </c>
      <c r="AB19" s="70"/>
      <c r="AC19" s="71" t="s">
        <v>52</v>
      </c>
      <c r="AD19" s="72"/>
      <c r="AE19" s="73" t="s">
        <v>53</v>
      </c>
      <c r="AI19" s="317"/>
      <c r="AJ19" s="271"/>
      <c r="AK19" s="317"/>
      <c r="AL19" s="317"/>
    </row>
    <row r="20" ht="15.75" customHeight="1">
      <c r="A20" s="8"/>
      <c r="B20" s="8"/>
      <c r="C20" s="207">
        <v>46338.0</v>
      </c>
      <c r="D20" s="208" t="str">
        <f t="shared" si="6"/>
        <v>qui.</v>
      </c>
      <c r="E20" s="209"/>
      <c r="F20" s="209"/>
      <c r="G20" s="51"/>
      <c r="H20" s="290"/>
      <c r="I20" s="265" t="str">
        <f t="shared" si="7"/>
        <v>#DIV/0!</v>
      </c>
      <c r="J20" s="57"/>
      <c r="K20" s="57"/>
      <c r="L20" s="57"/>
      <c r="M20" s="57">
        <f t="shared" si="8"/>
        <v>0</v>
      </c>
      <c r="N20" s="350">
        <f t="shared" ref="N20:O20" si="26">C20</f>
        <v>46338</v>
      </c>
      <c r="O20" s="350" t="str">
        <f t="shared" si="26"/>
        <v>qui.</v>
      </c>
      <c r="P20" s="213"/>
      <c r="Q20" s="213"/>
      <c r="R20" s="51"/>
      <c r="S20" s="291"/>
      <c r="T20" s="291" t="str">
        <f t="shared" si="11"/>
        <v>#DIV/0!</v>
      </c>
      <c r="U20" s="57"/>
      <c r="V20" s="57"/>
      <c r="W20" s="57"/>
      <c r="X20" s="57">
        <f t="shared" si="12"/>
        <v>0</v>
      </c>
      <c r="AB20" s="74" t="s">
        <v>29</v>
      </c>
      <c r="AC20" s="75">
        <v>350000.0</v>
      </c>
      <c r="AD20" s="2" t="s">
        <v>29</v>
      </c>
      <c r="AE20" s="76">
        <v>280000.0</v>
      </c>
      <c r="AI20" s="317"/>
      <c r="AJ20" s="271"/>
      <c r="AK20" s="271"/>
      <c r="AL20" s="366"/>
    </row>
    <row r="21" ht="15.75" customHeight="1">
      <c r="A21" s="8"/>
      <c r="B21" s="8"/>
      <c r="C21" s="207">
        <v>46339.0</v>
      </c>
      <c r="D21" s="208" t="str">
        <f t="shared" si="6"/>
        <v>sex.</v>
      </c>
      <c r="E21" s="209"/>
      <c r="F21" s="209"/>
      <c r="G21" s="51"/>
      <c r="H21" s="290"/>
      <c r="I21" s="265" t="str">
        <f t="shared" si="7"/>
        <v>#DIV/0!</v>
      </c>
      <c r="J21" s="57"/>
      <c r="K21" s="57"/>
      <c r="L21" s="57"/>
      <c r="M21" s="57">
        <f t="shared" si="8"/>
        <v>0</v>
      </c>
      <c r="N21" s="350">
        <f t="shared" ref="N21:O21" si="27">C21</f>
        <v>46339</v>
      </c>
      <c r="O21" s="350" t="str">
        <f t="shared" si="27"/>
        <v>sex.</v>
      </c>
      <c r="P21" s="213"/>
      <c r="Q21" s="213"/>
      <c r="R21" s="51"/>
      <c r="S21" s="291"/>
      <c r="T21" s="291" t="str">
        <f t="shared" si="11"/>
        <v>#DIV/0!</v>
      </c>
      <c r="U21" s="57"/>
      <c r="V21" s="57"/>
      <c r="W21" s="57"/>
      <c r="X21" s="57">
        <f t="shared" si="12"/>
        <v>0</v>
      </c>
      <c r="AB21" s="74"/>
      <c r="AC21" s="2"/>
      <c r="AD21" s="2"/>
      <c r="AE21" s="77"/>
      <c r="AI21" s="367"/>
      <c r="AJ21" s="367"/>
      <c r="AK21" s="368"/>
      <c r="AL21" s="368"/>
    </row>
    <row r="22" ht="15.75" customHeight="1">
      <c r="A22" s="8"/>
      <c r="B22" s="8"/>
      <c r="C22" s="207">
        <v>46340.0</v>
      </c>
      <c r="D22" s="208" t="str">
        <f t="shared" si="6"/>
        <v>sáb.</v>
      </c>
      <c r="E22" s="209"/>
      <c r="F22" s="209"/>
      <c r="G22" s="51"/>
      <c r="H22" s="290"/>
      <c r="I22" s="265" t="str">
        <f t="shared" si="7"/>
        <v>#DIV/0!</v>
      </c>
      <c r="J22" s="57"/>
      <c r="K22" s="57"/>
      <c r="L22" s="57"/>
      <c r="M22" s="57">
        <f t="shared" si="8"/>
        <v>0</v>
      </c>
      <c r="N22" s="350">
        <f t="shared" ref="N22:O22" si="28">C22</f>
        <v>46340</v>
      </c>
      <c r="O22" s="350" t="str">
        <f t="shared" si="28"/>
        <v>sáb.</v>
      </c>
      <c r="P22" s="213"/>
      <c r="Q22" s="213"/>
      <c r="R22" s="51"/>
      <c r="S22" s="291"/>
      <c r="T22" s="291" t="str">
        <f t="shared" si="11"/>
        <v>#DIV/0!</v>
      </c>
      <c r="U22" s="57"/>
      <c r="V22" s="57"/>
      <c r="W22" s="57"/>
      <c r="X22" s="57">
        <f t="shared" si="12"/>
        <v>0</v>
      </c>
      <c r="AB22" s="74" t="s">
        <v>58</v>
      </c>
      <c r="AC22" s="75">
        <f>SUM(F9:F15)</f>
        <v>0</v>
      </c>
      <c r="AD22" s="58" t="s">
        <v>58</v>
      </c>
      <c r="AE22" s="76">
        <f>SUM(Q9:Q15)</f>
        <v>0</v>
      </c>
      <c r="AI22" s="369"/>
      <c r="AJ22" s="317"/>
      <c r="AK22" s="271"/>
      <c r="AL22" s="370"/>
    </row>
    <row r="23" ht="15.75" customHeight="1">
      <c r="A23" s="8"/>
      <c r="B23" s="8"/>
      <c r="C23" s="207">
        <v>46341.0</v>
      </c>
      <c r="D23" s="208" t="str">
        <f t="shared" si="6"/>
        <v>dom.</v>
      </c>
      <c r="E23" s="209"/>
      <c r="F23" s="209"/>
      <c r="G23" s="51"/>
      <c r="H23" s="290"/>
      <c r="I23" s="265" t="str">
        <f t="shared" si="7"/>
        <v>#DIV/0!</v>
      </c>
      <c r="J23" s="57"/>
      <c r="K23" s="57"/>
      <c r="L23" s="57"/>
      <c r="M23" s="57">
        <f t="shared" si="8"/>
        <v>0</v>
      </c>
      <c r="N23" s="350">
        <f t="shared" ref="N23:O23" si="29">C23</f>
        <v>46341</v>
      </c>
      <c r="O23" s="350" t="str">
        <f t="shared" si="29"/>
        <v>dom.</v>
      </c>
      <c r="P23" s="213"/>
      <c r="Q23" s="213"/>
      <c r="R23" s="51"/>
      <c r="S23" s="291"/>
      <c r="T23" s="291" t="str">
        <f t="shared" si="11"/>
        <v>#DIV/0!</v>
      </c>
      <c r="U23" s="57"/>
      <c r="V23" s="57"/>
      <c r="W23" s="57"/>
      <c r="X23" s="57">
        <f t="shared" si="12"/>
        <v>0</v>
      </c>
      <c r="AB23" s="74"/>
      <c r="AC23" s="79">
        <f>AC22/AC20</f>
        <v>0</v>
      </c>
      <c r="AE23" s="80">
        <f>AE22/AE20</f>
        <v>0</v>
      </c>
      <c r="AF23" s="66"/>
      <c r="AI23" s="317"/>
      <c r="AJ23" s="317"/>
      <c r="AK23" s="271"/>
      <c r="AL23" s="370"/>
    </row>
    <row r="24" ht="15.75" customHeight="1">
      <c r="A24" s="8"/>
      <c r="B24" s="8"/>
      <c r="C24" s="207">
        <v>46342.0</v>
      </c>
      <c r="D24" s="208" t="str">
        <f t="shared" si="6"/>
        <v>seg.</v>
      </c>
      <c r="E24" s="209"/>
      <c r="F24" s="209"/>
      <c r="G24" s="51"/>
      <c r="H24" s="290"/>
      <c r="I24" s="265" t="str">
        <f t="shared" si="7"/>
        <v>#DIV/0!</v>
      </c>
      <c r="J24" s="57"/>
      <c r="K24" s="57"/>
      <c r="L24" s="57"/>
      <c r="M24" s="57">
        <f t="shared" si="8"/>
        <v>0</v>
      </c>
      <c r="N24" s="350">
        <f t="shared" ref="N24:O24" si="30">C24</f>
        <v>46342</v>
      </c>
      <c r="O24" s="350" t="str">
        <f t="shared" si="30"/>
        <v>seg.</v>
      </c>
      <c r="P24" s="213"/>
      <c r="Q24" s="213"/>
      <c r="R24" s="51"/>
      <c r="S24" s="291"/>
      <c r="T24" s="291" t="str">
        <f t="shared" si="11"/>
        <v>#DIV/0!</v>
      </c>
      <c r="U24" s="57"/>
      <c r="V24" s="57"/>
      <c r="W24" s="57"/>
      <c r="X24" s="57">
        <f t="shared" si="12"/>
        <v>0</v>
      </c>
      <c r="AB24" s="74"/>
      <c r="AC24" s="81"/>
      <c r="AE24" s="77"/>
      <c r="AI24" s="369"/>
      <c r="AJ24" s="317"/>
      <c r="AK24" s="271"/>
      <c r="AL24" s="370"/>
    </row>
    <row r="25" ht="15.75" customHeight="1">
      <c r="A25" s="8"/>
      <c r="B25" s="8"/>
      <c r="C25" s="207">
        <v>46343.0</v>
      </c>
      <c r="D25" s="208" t="str">
        <f t="shared" si="6"/>
        <v>ter.</v>
      </c>
      <c r="E25" s="209"/>
      <c r="F25" s="209"/>
      <c r="G25" s="51"/>
      <c r="H25" s="290"/>
      <c r="I25" s="265" t="str">
        <f t="shared" si="7"/>
        <v>#DIV/0!</v>
      </c>
      <c r="J25" s="57"/>
      <c r="K25" s="57"/>
      <c r="L25" s="57"/>
      <c r="M25" s="57">
        <f t="shared" si="8"/>
        <v>0</v>
      </c>
      <c r="N25" s="350">
        <f t="shared" ref="N25:O25" si="31">C25</f>
        <v>46343</v>
      </c>
      <c r="O25" s="350" t="str">
        <f t="shared" si="31"/>
        <v>ter.</v>
      </c>
      <c r="P25" s="213"/>
      <c r="Q25" s="213"/>
      <c r="R25" s="51"/>
      <c r="S25" s="291"/>
      <c r="T25" s="291" t="str">
        <f t="shared" si="11"/>
        <v>#DIV/0!</v>
      </c>
      <c r="U25" s="57"/>
      <c r="V25" s="57"/>
      <c r="W25" s="57"/>
      <c r="X25" s="57">
        <f t="shared" si="12"/>
        <v>0</v>
      </c>
      <c r="AB25" s="74" t="s">
        <v>62</v>
      </c>
      <c r="AC25" s="75">
        <f>SUM(F16:F22)</f>
        <v>0</v>
      </c>
      <c r="AD25" s="58" t="s">
        <v>62</v>
      </c>
      <c r="AE25" s="76">
        <f>SUM(Q16:Q22)</f>
        <v>0</v>
      </c>
      <c r="AI25" s="317"/>
      <c r="AJ25" s="317"/>
      <c r="AK25" s="271"/>
      <c r="AL25" s="370"/>
    </row>
    <row r="26" ht="15.75" customHeight="1">
      <c r="A26" s="8"/>
      <c r="B26" s="8"/>
      <c r="C26" s="207">
        <v>46344.0</v>
      </c>
      <c r="D26" s="208" t="str">
        <f t="shared" si="6"/>
        <v>qua.</v>
      </c>
      <c r="E26" s="209"/>
      <c r="F26" s="209"/>
      <c r="G26" s="51"/>
      <c r="H26" s="290"/>
      <c r="I26" s="265" t="str">
        <f t="shared" si="7"/>
        <v>#DIV/0!</v>
      </c>
      <c r="J26" s="57"/>
      <c r="K26" s="57"/>
      <c r="L26" s="57"/>
      <c r="M26" s="57">
        <f t="shared" si="8"/>
        <v>0</v>
      </c>
      <c r="N26" s="350">
        <f t="shared" ref="N26:O26" si="32">C26</f>
        <v>46344</v>
      </c>
      <c r="O26" s="350" t="str">
        <f t="shared" si="32"/>
        <v>qua.</v>
      </c>
      <c r="P26" s="213"/>
      <c r="Q26" s="213"/>
      <c r="R26" s="51"/>
      <c r="S26" s="291"/>
      <c r="T26" s="291" t="str">
        <f t="shared" si="11"/>
        <v>#DIV/0!</v>
      </c>
      <c r="U26" s="57"/>
      <c r="V26" s="57"/>
      <c r="W26" s="57"/>
      <c r="X26" s="57">
        <f t="shared" si="12"/>
        <v>0</v>
      </c>
      <c r="AB26" s="74"/>
      <c r="AC26" s="79">
        <f>AC25/AC20</f>
        <v>0</v>
      </c>
      <c r="AE26" s="80">
        <f>AE25/AE20</f>
        <v>0</v>
      </c>
      <c r="AI26" s="369"/>
      <c r="AJ26" s="317"/>
      <c r="AK26" s="271"/>
      <c r="AL26" s="370"/>
    </row>
    <row r="27" ht="15.75" customHeight="1">
      <c r="A27" s="8"/>
      <c r="B27" s="8"/>
      <c r="C27" s="207">
        <v>46345.0</v>
      </c>
      <c r="D27" s="208" t="str">
        <f t="shared" si="6"/>
        <v>qui.</v>
      </c>
      <c r="E27" s="209"/>
      <c r="F27" s="209"/>
      <c r="G27" s="51"/>
      <c r="H27" s="290"/>
      <c r="I27" s="265" t="str">
        <f t="shared" si="7"/>
        <v>#DIV/0!</v>
      </c>
      <c r="J27" s="57"/>
      <c r="K27" s="57"/>
      <c r="L27" s="57"/>
      <c r="M27" s="57">
        <f t="shared" si="8"/>
        <v>0</v>
      </c>
      <c r="N27" s="350">
        <f t="shared" ref="N27:O27" si="33">C27</f>
        <v>46345</v>
      </c>
      <c r="O27" s="350" t="str">
        <f t="shared" si="33"/>
        <v>qui.</v>
      </c>
      <c r="P27" s="213"/>
      <c r="Q27" s="213"/>
      <c r="R27" s="51"/>
      <c r="S27" s="291"/>
      <c r="T27" s="291" t="str">
        <f t="shared" si="11"/>
        <v>#DIV/0!</v>
      </c>
      <c r="U27" s="57"/>
      <c r="V27" s="57"/>
      <c r="W27" s="57"/>
      <c r="X27" s="57">
        <f t="shared" si="12"/>
        <v>0</v>
      </c>
      <c r="AB27" s="74"/>
      <c r="AC27" s="81"/>
      <c r="AE27" s="77"/>
      <c r="AI27" s="317"/>
      <c r="AJ27" s="317"/>
      <c r="AK27" s="271"/>
      <c r="AL27" s="370"/>
    </row>
    <row r="28" ht="15.75" customHeight="1">
      <c r="A28" s="8"/>
      <c r="B28" s="8"/>
      <c r="C28" s="207">
        <v>46346.0</v>
      </c>
      <c r="D28" s="208" t="str">
        <f t="shared" si="6"/>
        <v>sex.</v>
      </c>
      <c r="E28" s="209"/>
      <c r="F28" s="209"/>
      <c r="G28" s="51"/>
      <c r="H28" s="290"/>
      <c r="I28" s="265" t="str">
        <f t="shared" si="7"/>
        <v>#DIV/0!</v>
      </c>
      <c r="J28" s="57"/>
      <c r="K28" s="57"/>
      <c r="L28" s="57"/>
      <c r="M28" s="57">
        <f t="shared" si="8"/>
        <v>0</v>
      </c>
      <c r="N28" s="350">
        <f t="shared" ref="N28:O28" si="34">C28</f>
        <v>46346</v>
      </c>
      <c r="O28" s="350" t="str">
        <f t="shared" si="34"/>
        <v>sex.</v>
      </c>
      <c r="P28" s="213"/>
      <c r="Q28" s="213"/>
      <c r="R28" s="51"/>
      <c r="S28" s="291"/>
      <c r="T28" s="291" t="str">
        <f t="shared" si="11"/>
        <v>#DIV/0!</v>
      </c>
      <c r="U28" s="57"/>
      <c r="V28" s="57"/>
      <c r="W28" s="57"/>
      <c r="X28" s="57">
        <f t="shared" si="12"/>
        <v>0</v>
      </c>
      <c r="AB28" s="74" t="s">
        <v>63</v>
      </c>
      <c r="AC28" s="75">
        <f>SUM(F23:F29)</f>
        <v>0</v>
      </c>
      <c r="AD28" s="58" t="s">
        <v>63</v>
      </c>
      <c r="AE28" s="76">
        <f>SUM(Q23:Q29)</f>
        <v>0</v>
      </c>
      <c r="AI28" s="317"/>
      <c r="AJ28" s="317"/>
      <c r="AK28" s="271"/>
      <c r="AL28" s="317"/>
    </row>
    <row r="29" ht="15.75" customHeight="1">
      <c r="A29" s="8"/>
      <c r="B29" s="8"/>
      <c r="C29" s="207">
        <v>46347.0</v>
      </c>
      <c r="D29" s="208" t="str">
        <f t="shared" si="6"/>
        <v>sáb.</v>
      </c>
      <c r="E29" s="209"/>
      <c r="F29" s="209"/>
      <c r="G29" s="51"/>
      <c r="H29" s="290"/>
      <c r="I29" s="265" t="str">
        <f t="shared" si="7"/>
        <v>#DIV/0!</v>
      </c>
      <c r="J29" s="57"/>
      <c r="K29" s="57"/>
      <c r="L29" s="57"/>
      <c r="M29" s="57">
        <f t="shared" si="8"/>
        <v>0</v>
      </c>
      <c r="N29" s="350">
        <f t="shared" ref="N29:O29" si="35">C29</f>
        <v>46347</v>
      </c>
      <c r="O29" s="350" t="str">
        <f t="shared" si="35"/>
        <v>sáb.</v>
      </c>
      <c r="P29" s="213"/>
      <c r="Q29" s="213"/>
      <c r="R29" s="51"/>
      <c r="S29" s="291"/>
      <c r="T29" s="291" t="str">
        <f t="shared" si="11"/>
        <v>#DIV/0!</v>
      </c>
      <c r="U29" s="57"/>
      <c r="V29" s="57"/>
      <c r="W29" s="57"/>
      <c r="X29" s="57">
        <f t="shared" si="12"/>
        <v>0</v>
      </c>
      <c r="AB29" s="74"/>
      <c r="AC29" s="79">
        <f>AC28/AC20</f>
        <v>0</v>
      </c>
      <c r="AE29" s="80">
        <f>AE28/AE20</f>
        <v>0</v>
      </c>
      <c r="AI29" s="317"/>
      <c r="AJ29" s="317"/>
      <c r="AK29" s="317"/>
      <c r="AL29" s="317"/>
    </row>
    <row r="30" ht="15.75" customHeight="1">
      <c r="A30" s="8"/>
      <c r="B30" s="8"/>
      <c r="C30" s="207">
        <v>46348.0</v>
      </c>
      <c r="D30" s="208" t="str">
        <f t="shared" si="6"/>
        <v>dom.</v>
      </c>
      <c r="E30" s="209"/>
      <c r="F30" s="209"/>
      <c r="G30" s="51"/>
      <c r="H30" s="290"/>
      <c r="I30" s="265" t="str">
        <f t="shared" si="7"/>
        <v>#DIV/0!</v>
      </c>
      <c r="J30" s="57"/>
      <c r="K30" s="57"/>
      <c r="L30" s="57"/>
      <c r="M30" s="57">
        <f t="shared" si="8"/>
        <v>0</v>
      </c>
      <c r="N30" s="350">
        <f t="shared" ref="N30:O30" si="36">C30</f>
        <v>46348</v>
      </c>
      <c r="O30" s="350" t="str">
        <f t="shared" si="36"/>
        <v>dom.</v>
      </c>
      <c r="P30" s="213"/>
      <c r="Q30" s="213"/>
      <c r="R30" s="51"/>
      <c r="S30" s="291"/>
      <c r="T30" s="291" t="str">
        <f t="shared" si="11"/>
        <v>#DIV/0!</v>
      </c>
      <c r="U30" s="57"/>
      <c r="V30" s="57"/>
      <c r="W30" s="57"/>
      <c r="X30" s="57">
        <f t="shared" si="12"/>
        <v>0</v>
      </c>
      <c r="AB30" s="74"/>
      <c r="AE30" s="82"/>
      <c r="AI30" s="369"/>
      <c r="AJ30" s="317"/>
      <c r="AK30" s="317"/>
      <c r="AL30" s="317"/>
    </row>
    <row r="31" ht="15.75" customHeight="1">
      <c r="A31" s="8"/>
      <c r="B31" s="8"/>
      <c r="C31" s="207">
        <v>46349.0</v>
      </c>
      <c r="D31" s="208" t="str">
        <f t="shared" si="6"/>
        <v>seg.</v>
      </c>
      <c r="E31" s="209"/>
      <c r="F31" s="209"/>
      <c r="G31" s="51"/>
      <c r="H31" s="290"/>
      <c r="I31" s="265" t="str">
        <f t="shared" si="7"/>
        <v>#DIV/0!</v>
      </c>
      <c r="J31" s="57"/>
      <c r="K31" s="57"/>
      <c r="L31" s="57"/>
      <c r="M31" s="57">
        <f t="shared" si="8"/>
        <v>0</v>
      </c>
      <c r="N31" s="350">
        <f t="shared" ref="N31:O31" si="37">C31</f>
        <v>46349</v>
      </c>
      <c r="O31" s="350" t="str">
        <f t="shared" si="37"/>
        <v>seg.</v>
      </c>
      <c r="P31" s="213"/>
      <c r="Q31" s="213"/>
      <c r="R31" s="51"/>
      <c r="S31" s="291"/>
      <c r="T31" s="291" t="str">
        <f t="shared" si="11"/>
        <v>#DIV/0!</v>
      </c>
      <c r="U31" s="57"/>
      <c r="V31" s="57"/>
      <c r="W31" s="57"/>
      <c r="X31" s="57">
        <f t="shared" si="12"/>
        <v>0</v>
      </c>
      <c r="AB31" s="74" t="s">
        <v>64</v>
      </c>
      <c r="AC31" s="61">
        <f>SUM(F30:F36)</f>
        <v>0</v>
      </c>
      <c r="AD31" s="58" t="s">
        <v>64</v>
      </c>
      <c r="AE31" s="83">
        <f>SUM(Q30:Q36)</f>
        <v>0</v>
      </c>
      <c r="AI31" s="317"/>
      <c r="AJ31" s="317"/>
      <c r="AK31" s="271"/>
      <c r="AL31" s="317"/>
    </row>
    <row r="32" ht="15.75" customHeight="1">
      <c r="A32" s="8"/>
      <c r="B32" s="8"/>
      <c r="C32" s="207">
        <v>46350.0</v>
      </c>
      <c r="D32" s="208" t="str">
        <f t="shared" si="6"/>
        <v>ter.</v>
      </c>
      <c r="E32" s="209"/>
      <c r="F32" s="209"/>
      <c r="G32" s="51"/>
      <c r="H32" s="290"/>
      <c r="I32" s="265" t="str">
        <f t="shared" si="7"/>
        <v>#DIV/0!</v>
      </c>
      <c r="J32" s="57"/>
      <c r="K32" s="57"/>
      <c r="L32" s="57"/>
      <c r="M32" s="57">
        <f t="shared" si="8"/>
        <v>0</v>
      </c>
      <c r="N32" s="350">
        <f t="shared" ref="N32:O32" si="38">C32</f>
        <v>46350</v>
      </c>
      <c r="O32" s="350" t="str">
        <f t="shared" si="38"/>
        <v>ter.</v>
      </c>
      <c r="P32" s="213"/>
      <c r="Q32" s="213"/>
      <c r="R32" s="51"/>
      <c r="S32" s="291"/>
      <c r="T32" s="291" t="str">
        <f t="shared" si="11"/>
        <v>#DIV/0!</v>
      </c>
      <c r="U32" s="57"/>
      <c r="V32" s="57"/>
      <c r="W32" s="57"/>
      <c r="X32" s="57">
        <f t="shared" si="12"/>
        <v>0</v>
      </c>
      <c r="AB32" s="74"/>
      <c r="AC32" s="79">
        <f>AC31/AC20</f>
        <v>0</v>
      </c>
      <c r="AE32" s="80">
        <f>AE31/AE20</f>
        <v>0</v>
      </c>
      <c r="AI32" s="317"/>
      <c r="AJ32" s="317"/>
      <c r="AK32" s="317"/>
      <c r="AL32" s="317"/>
    </row>
    <row r="33" ht="15.75" customHeight="1">
      <c r="A33" s="8"/>
      <c r="B33" s="8"/>
      <c r="C33" s="207">
        <v>46351.0</v>
      </c>
      <c r="D33" s="208" t="str">
        <f t="shared" si="6"/>
        <v>qua.</v>
      </c>
      <c r="E33" s="209"/>
      <c r="F33" s="209"/>
      <c r="G33" s="51"/>
      <c r="H33" s="290"/>
      <c r="I33" s="265" t="str">
        <f t="shared" si="7"/>
        <v>#DIV/0!</v>
      </c>
      <c r="J33" s="57"/>
      <c r="K33" s="57"/>
      <c r="L33" s="57"/>
      <c r="M33" s="57">
        <f t="shared" si="8"/>
        <v>0</v>
      </c>
      <c r="N33" s="350">
        <f t="shared" ref="N33:O33" si="39">C33</f>
        <v>46351</v>
      </c>
      <c r="O33" s="350" t="str">
        <f t="shared" si="39"/>
        <v>qua.</v>
      </c>
      <c r="P33" s="213"/>
      <c r="Q33" s="213"/>
      <c r="R33" s="51"/>
      <c r="S33" s="291"/>
      <c r="T33" s="291" t="str">
        <f t="shared" si="11"/>
        <v>#DIV/0!</v>
      </c>
      <c r="U33" s="57"/>
      <c r="V33" s="57"/>
      <c r="W33" s="57"/>
      <c r="X33" s="57">
        <f t="shared" si="12"/>
        <v>0</v>
      </c>
      <c r="AB33" s="74" t="s">
        <v>65</v>
      </c>
      <c r="AC33" s="61">
        <f>SUM(F37:F39)</f>
        <v>0</v>
      </c>
      <c r="AD33" s="58" t="s">
        <v>65</v>
      </c>
      <c r="AE33" s="83">
        <f>SUM(Q37:Q39)</f>
        <v>0</v>
      </c>
      <c r="AI33" s="317"/>
      <c r="AJ33" s="317"/>
      <c r="AK33" s="317"/>
      <c r="AL33" s="317"/>
    </row>
    <row r="34" ht="15.75" customHeight="1">
      <c r="A34" s="8"/>
      <c r="B34" s="8"/>
      <c r="C34" s="207">
        <v>46352.0</v>
      </c>
      <c r="D34" s="208" t="str">
        <f t="shared" si="6"/>
        <v>qui.</v>
      </c>
      <c r="E34" s="209"/>
      <c r="F34" s="209"/>
      <c r="G34" s="51"/>
      <c r="H34" s="290"/>
      <c r="I34" s="265" t="str">
        <f t="shared" si="7"/>
        <v>#DIV/0!</v>
      </c>
      <c r="J34" s="57"/>
      <c r="K34" s="57"/>
      <c r="L34" s="57"/>
      <c r="M34" s="57">
        <f t="shared" si="8"/>
        <v>0</v>
      </c>
      <c r="N34" s="350">
        <f t="shared" ref="N34:O34" si="40">C34</f>
        <v>46352</v>
      </c>
      <c r="O34" s="350" t="str">
        <f t="shared" si="40"/>
        <v>qui.</v>
      </c>
      <c r="P34" s="213"/>
      <c r="Q34" s="213"/>
      <c r="R34" s="51"/>
      <c r="S34" s="291"/>
      <c r="T34" s="291" t="str">
        <f t="shared" si="11"/>
        <v>#DIV/0!</v>
      </c>
      <c r="U34" s="57"/>
      <c r="V34" s="57"/>
      <c r="W34" s="57"/>
      <c r="X34" s="57">
        <f t="shared" si="12"/>
        <v>0</v>
      </c>
      <c r="AB34" s="84"/>
      <c r="AC34" s="85">
        <f>AC33/AC20</f>
        <v>0</v>
      </c>
      <c r="AD34" s="84"/>
      <c r="AE34" s="87">
        <f>AE33/AE20</f>
        <v>0</v>
      </c>
    </row>
    <row r="35" ht="15.75" customHeight="1">
      <c r="A35" s="8"/>
      <c r="B35" s="8"/>
      <c r="C35" s="207">
        <v>46353.0</v>
      </c>
      <c r="D35" s="208" t="str">
        <f t="shared" si="6"/>
        <v>sex.</v>
      </c>
      <c r="E35" s="209"/>
      <c r="F35" s="209"/>
      <c r="G35" s="51"/>
      <c r="H35" s="290"/>
      <c r="I35" s="265" t="str">
        <f t="shared" si="7"/>
        <v>#DIV/0!</v>
      </c>
      <c r="J35" s="57"/>
      <c r="K35" s="57"/>
      <c r="L35" s="57"/>
      <c r="M35" s="57">
        <f t="shared" si="8"/>
        <v>0</v>
      </c>
      <c r="N35" s="350">
        <f t="shared" ref="N35:O35" si="41">C35</f>
        <v>46353</v>
      </c>
      <c r="O35" s="350" t="str">
        <f t="shared" si="41"/>
        <v>sex.</v>
      </c>
      <c r="P35" s="213"/>
      <c r="Q35" s="213"/>
      <c r="R35" s="51"/>
      <c r="S35" s="291"/>
      <c r="T35" s="291" t="str">
        <f t="shared" si="11"/>
        <v>#DIV/0!</v>
      </c>
      <c r="U35" s="57"/>
      <c r="V35" s="57"/>
      <c r="W35" s="57"/>
      <c r="X35" s="57">
        <f t="shared" si="12"/>
        <v>0</v>
      </c>
      <c r="AK35" s="271"/>
    </row>
    <row r="36" ht="15.75" customHeight="1">
      <c r="A36" s="8"/>
      <c r="B36" s="8"/>
      <c r="C36" s="207">
        <v>46354.0</v>
      </c>
      <c r="D36" s="208" t="str">
        <f t="shared" si="6"/>
        <v>sáb.</v>
      </c>
      <c r="E36" s="209"/>
      <c r="F36" s="209"/>
      <c r="G36" s="51"/>
      <c r="H36" s="290"/>
      <c r="I36" s="265" t="str">
        <f t="shared" si="7"/>
        <v>#DIV/0!</v>
      </c>
      <c r="J36" s="57"/>
      <c r="K36" s="57"/>
      <c r="L36" s="57"/>
      <c r="M36" s="57">
        <f t="shared" si="8"/>
        <v>0</v>
      </c>
      <c r="N36" s="350">
        <f t="shared" ref="N36:O36" si="42">C36</f>
        <v>46354</v>
      </c>
      <c r="O36" s="350" t="str">
        <f t="shared" si="42"/>
        <v>sáb.</v>
      </c>
      <c r="P36" s="213"/>
      <c r="Q36" s="213"/>
      <c r="R36" s="51"/>
      <c r="S36" s="291"/>
      <c r="T36" s="291" t="str">
        <f t="shared" si="11"/>
        <v>#DIV/0!</v>
      </c>
      <c r="U36" s="57"/>
      <c r="V36" s="57"/>
      <c r="W36" s="57"/>
      <c r="X36" s="57"/>
      <c r="AA36" s="92" t="s">
        <v>72</v>
      </c>
      <c r="AB36" s="93" t="s">
        <v>73</v>
      </c>
      <c r="AC36" s="94">
        <f>F40</f>
        <v>0</v>
      </c>
      <c r="AD36" s="164" t="s">
        <v>74</v>
      </c>
      <c r="AE36" s="96">
        <f>Q40</f>
        <v>0</v>
      </c>
      <c r="AF36" s="92" t="s">
        <v>72</v>
      </c>
      <c r="AJ36" s="317"/>
      <c r="AK36" s="271"/>
      <c r="AL36" s="317"/>
    </row>
    <row r="37" ht="15.75" customHeight="1">
      <c r="A37" s="8"/>
      <c r="B37" s="8"/>
      <c r="C37" s="207">
        <v>46355.0</v>
      </c>
      <c r="D37" s="208" t="str">
        <f t="shared" si="6"/>
        <v>dom.</v>
      </c>
      <c r="E37" s="209"/>
      <c r="F37" s="209"/>
      <c r="G37" s="51"/>
      <c r="H37" s="290"/>
      <c r="I37" s="265" t="str">
        <f t="shared" si="7"/>
        <v>#DIV/0!</v>
      </c>
      <c r="J37" s="57"/>
      <c r="K37" s="57"/>
      <c r="L37" s="57"/>
      <c r="M37" s="57">
        <f t="shared" si="8"/>
        <v>0</v>
      </c>
      <c r="N37" s="350">
        <f t="shared" ref="N37:O37" si="43">C37</f>
        <v>46355</v>
      </c>
      <c r="O37" s="350" t="str">
        <f t="shared" si="43"/>
        <v>dom.</v>
      </c>
      <c r="P37" s="213"/>
      <c r="Q37" s="213"/>
      <c r="R37" s="51"/>
      <c r="S37" s="291"/>
      <c r="T37" s="291" t="str">
        <f t="shared" si="11"/>
        <v>#DIV/0!</v>
      </c>
      <c r="U37" s="57"/>
      <c r="V37" s="57"/>
      <c r="W37" s="57"/>
      <c r="X37" s="57"/>
      <c r="AA37" s="97">
        <f>AC37-AD37</f>
        <v>-0.1</v>
      </c>
      <c r="AB37" s="98"/>
      <c r="AC37" s="99">
        <f>AC36/AC20</f>
        <v>0</v>
      </c>
      <c r="AD37" s="165">
        <f>3/30</f>
        <v>0.1</v>
      </c>
      <c r="AE37" s="100">
        <f>AE36/AE20</f>
        <v>0</v>
      </c>
      <c r="AF37" s="97">
        <f>AE37-AD37</f>
        <v>-0.1</v>
      </c>
      <c r="AK37" s="61"/>
    </row>
    <row r="38" ht="15.75" customHeight="1">
      <c r="A38" s="8"/>
      <c r="B38" s="8"/>
      <c r="C38" s="207">
        <v>46356.0</v>
      </c>
      <c r="D38" s="208" t="str">
        <f t="shared" si="6"/>
        <v>seg.</v>
      </c>
      <c r="E38" s="209"/>
      <c r="F38" s="209"/>
      <c r="G38" s="51"/>
      <c r="H38" s="290"/>
      <c r="I38" s="265" t="str">
        <f t="shared" si="7"/>
        <v>#DIV/0!</v>
      </c>
      <c r="J38" s="57"/>
      <c r="K38" s="57"/>
      <c r="L38" s="57"/>
      <c r="M38" s="57">
        <f t="shared" si="8"/>
        <v>0</v>
      </c>
      <c r="N38" s="350">
        <f t="shared" ref="N38:O38" si="44">C38</f>
        <v>46356</v>
      </c>
      <c r="O38" s="350" t="str">
        <f t="shared" si="44"/>
        <v>seg.</v>
      </c>
      <c r="P38" s="213"/>
      <c r="Q38" s="213"/>
      <c r="R38" s="51"/>
      <c r="S38" s="291"/>
      <c r="T38" s="291" t="str">
        <f t="shared" si="11"/>
        <v>#DIV/0!</v>
      </c>
      <c r="U38" s="57"/>
      <c r="V38" s="57"/>
      <c r="W38" s="57"/>
      <c r="X38" s="57"/>
      <c r="AB38" s="98" t="s">
        <v>76</v>
      </c>
      <c r="AC38" s="104">
        <f>AC20-AC36</f>
        <v>350000</v>
      </c>
      <c r="AD38" s="99"/>
      <c r="AE38" s="106">
        <f>AE20-AE36</f>
        <v>280000</v>
      </c>
    </row>
    <row r="39" ht="15.75" customHeight="1">
      <c r="A39" s="8"/>
      <c r="B39" s="8"/>
      <c r="C39" s="207"/>
      <c r="D39" s="147"/>
      <c r="E39" s="209"/>
      <c r="F39" s="209"/>
      <c r="G39" s="51"/>
      <c r="H39" s="290"/>
      <c r="I39" s="265" t="str">
        <f t="shared" si="7"/>
        <v>#DIV/0!</v>
      </c>
      <c r="J39" s="57"/>
      <c r="K39" s="57"/>
      <c r="L39" s="57"/>
      <c r="M39" s="57">
        <f t="shared" si="8"/>
        <v>0</v>
      </c>
      <c r="N39" s="350" t="str">
        <f t="shared" ref="N39:O39" si="45">C39</f>
        <v/>
      </c>
      <c r="O39" s="350" t="str">
        <f t="shared" si="45"/>
        <v/>
      </c>
      <c r="P39" s="213"/>
      <c r="Q39" s="213"/>
      <c r="R39" s="51"/>
      <c r="S39" s="291"/>
      <c r="T39" s="291" t="str">
        <f t="shared" si="11"/>
        <v>#DIV/0!</v>
      </c>
      <c r="U39" s="57"/>
      <c r="V39" s="57"/>
      <c r="W39" s="57"/>
      <c r="X39" s="57">
        <f>U39+V39+W39</f>
        <v>0</v>
      </c>
      <c r="AE39" s="61"/>
    </row>
    <row r="40" ht="15.75" customHeight="1">
      <c r="A40" s="8"/>
      <c r="B40" s="8"/>
      <c r="C40" s="218"/>
      <c r="D40" s="218"/>
      <c r="E40" s="219">
        <f t="shared" ref="E40:H40" si="46">SUM(E9:E39)</f>
        <v>0</v>
      </c>
      <c r="F40" s="219">
        <f t="shared" si="46"/>
        <v>0</v>
      </c>
      <c r="G40" s="105">
        <f t="shared" si="46"/>
        <v>0</v>
      </c>
      <c r="H40" s="105">
        <f t="shared" si="46"/>
        <v>0</v>
      </c>
      <c r="I40" s="105"/>
      <c r="J40" s="105">
        <f t="shared" ref="J40:M40" si="47">SUM(J9:J39)</f>
        <v>0</v>
      </c>
      <c r="K40" s="105">
        <f t="shared" si="47"/>
        <v>0</v>
      </c>
      <c r="L40" s="105">
        <f t="shared" si="47"/>
        <v>0</v>
      </c>
      <c r="M40" s="105">
        <f t="shared" si="47"/>
        <v>0</v>
      </c>
      <c r="N40" s="286"/>
      <c r="O40" s="287"/>
      <c r="P40" s="222">
        <f t="shared" ref="P40:S40" si="48">SUM(P9:P39)</f>
        <v>0</v>
      </c>
      <c r="Q40" s="222">
        <f t="shared" si="48"/>
        <v>0</v>
      </c>
      <c r="R40" s="105">
        <f t="shared" si="48"/>
        <v>0</v>
      </c>
      <c r="S40" s="223">
        <f t="shared" si="48"/>
        <v>0</v>
      </c>
      <c r="T40" s="223"/>
      <c r="U40" s="223">
        <f t="shared" ref="U40:X40" si="49">SUM(U9:U39)</f>
        <v>0</v>
      </c>
      <c r="V40" s="223">
        <f t="shared" si="49"/>
        <v>0</v>
      </c>
      <c r="W40" s="223">
        <f t="shared" si="49"/>
        <v>0</v>
      </c>
      <c r="X40" s="223">
        <f t="shared" si="49"/>
        <v>0</v>
      </c>
    </row>
    <row r="41" ht="15.75" customHeight="1">
      <c r="D41" s="61"/>
      <c r="E41" s="61"/>
      <c r="F41" s="225"/>
      <c r="G41" s="114"/>
      <c r="H41" s="356" t="s">
        <v>354</v>
      </c>
      <c r="I41" s="226"/>
      <c r="N41" s="61"/>
      <c r="P41" s="61"/>
      <c r="Q41" s="275"/>
      <c r="R41" s="114"/>
      <c r="S41" s="199"/>
      <c r="T41" s="199"/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199"/>
    </row>
    <row r="43" ht="15.75" customHeight="1">
      <c r="A43" s="2"/>
      <c r="B43" s="2"/>
      <c r="C43" s="2"/>
      <c r="D43" s="2"/>
      <c r="E43" s="174" t="s">
        <v>77</v>
      </c>
      <c r="F43" s="118">
        <f>E40+G40</f>
        <v>0</v>
      </c>
      <c r="P43" s="115" t="s">
        <v>77</v>
      </c>
      <c r="Q43" s="118">
        <f>P40+R40</f>
        <v>0</v>
      </c>
      <c r="S43" s="199"/>
      <c r="T43" s="199"/>
    </row>
    <row r="44" ht="15.75" customHeight="1">
      <c r="A44" s="2"/>
      <c r="B44" s="2"/>
      <c r="C44" s="122" t="s">
        <v>29</v>
      </c>
      <c r="D44" s="124">
        <v>350000.0</v>
      </c>
      <c r="E44" s="75"/>
      <c r="F44" s="2"/>
      <c r="N44" s="126" t="s">
        <v>29</v>
      </c>
      <c r="O44" s="124">
        <v>280000.0</v>
      </c>
      <c r="P44" s="2"/>
      <c r="Q44" s="2"/>
      <c r="S44" s="199"/>
      <c r="T44" s="199"/>
    </row>
    <row r="45" ht="15.75" customHeight="1">
      <c r="A45" s="61"/>
      <c r="B45" s="61"/>
      <c r="C45" s="61"/>
      <c r="D45" s="175"/>
      <c r="N45" s="175"/>
      <c r="O45" s="61"/>
      <c r="S45" s="199"/>
      <c r="T45" s="199"/>
    </row>
    <row r="46" ht="15.75" customHeight="1">
      <c r="A46" s="61"/>
      <c r="B46" s="61"/>
      <c r="C46" s="61"/>
      <c r="O46" s="61"/>
      <c r="S46" s="199"/>
      <c r="T46" s="199"/>
    </row>
    <row r="47" ht="15.75" customHeight="1">
      <c r="A47" s="61"/>
      <c r="B47" s="61"/>
      <c r="C47" s="61"/>
      <c r="N47" s="61"/>
      <c r="S47" s="199"/>
      <c r="T47" s="199"/>
    </row>
    <row r="48" ht="15.75" customHeight="1">
      <c r="A48" s="61"/>
      <c r="B48" s="61"/>
      <c r="C48" s="61"/>
      <c r="N48" s="121"/>
      <c r="S48" s="199"/>
      <c r="T48" s="199"/>
    </row>
    <row r="49" ht="15.75" customHeight="1">
      <c r="A49" s="61"/>
      <c r="B49" s="61"/>
      <c r="C49" s="61"/>
      <c r="S49" s="199"/>
      <c r="T49" s="19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4:M6"/>
    <mergeCell ref="N4:X6"/>
    <mergeCell ref="AA4:AB4"/>
    <mergeCell ref="AD4:AE4"/>
    <mergeCell ref="AH4:AI4"/>
    <mergeCell ref="AK4:AL4"/>
    <mergeCell ref="C7:M7"/>
    <mergeCell ref="N7:X7"/>
  </mergeCells>
  <conditionalFormatting sqref="G9:G40 H40:M40 R9:R40">
    <cfRule type="cellIs" dxfId="0" priority="1" operator="greaterThanOrEqual">
      <formula>0</formula>
    </cfRule>
  </conditionalFormatting>
  <conditionalFormatting sqref="G9:G40 H40:M40 R9:R40">
    <cfRule type="cellIs" dxfId="1" priority="2" operator="lessThan">
      <formula>0</formula>
    </cfRule>
  </conditionalFormatting>
  <conditionalFormatting sqref="G9:G40 H40:M40 R9:R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8.33"/>
    <col customWidth="1" min="5" max="6" width="23.0"/>
    <col customWidth="1" min="7" max="7" width="12.67"/>
    <col customWidth="1" min="8" max="8" width="15.44"/>
    <col customWidth="1" min="9" max="9" width="10.56"/>
    <col customWidth="1" min="10" max="10" width="14.11"/>
    <col customWidth="1" min="11" max="11" width="12.78"/>
    <col customWidth="1" min="12" max="12" width="15.44"/>
    <col customWidth="1" min="13" max="13" width="17.0"/>
    <col customWidth="1" min="14" max="14" width="10.56"/>
    <col customWidth="1" min="15" max="15" width="18.33"/>
    <col customWidth="1" min="16" max="17" width="17.44"/>
    <col customWidth="1" min="18" max="19" width="10.56"/>
    <col customWidth="1" min="20" max="20" width="12.67"/>
    <col customWidth="1" min="21" max="21" width="14.11"/>
    <col customWidth="1" min="22" max="22" width="12.78"/>
    <col customWidth="1" min="23" max="23" width="12.44"/>
    <col customWidth="1" min="24" max="24" width="17.0"/>
    <col customWidth="1" min="25" max="26" width="10.56"/>
    <col customWidth="1" min="27" max="28" width="14.78"/>
    <col customWidth="1" min="29" max="29" width="14.0"/>
    <col customWidth="1" min="30" max="30" width="13.0"/>
    <col customWidth="1" min="31" max="31" width="14.0"/>
    <col customWidth="1" min="32" max="33" width="10.56"/>
    <col customWidth="1" min="34" max="34" width="13.0"/>
    <col customWidth="1" min="35" max="35" width="14.78"/>
    <col customWidth="1" min="36" max="36" width="10.56"/>
    <col customWidth="1" min="37" max="37" width="33.78"/>
    <col customWidth="1" min="38" max="38" width="14.78"/>
  </cols>
  <sheetData>
    <row r="1" ht="15.75" customHeight="1"/>
    <row r="2" ht="15.75" customHeight="1"/>
    <row r="3" ht="15.75" customHeight="1"/>
    <row r="4" ht="15.75" customHeight="1">
      <c r="A4" s="288"/>
      <c r="B4" s="288"/>
      <c r="C4" s="17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27" t="s">
        <v>22</v>
      </c>
      <c r="O4" s="18"/>
      <c r="P4" s="18"/>
      <c r="Q4" s="18"/>
      <c r="R4" s="18"/>
      <c r="S4" s="18"/>
      <c r="T4" s="18"/>
      <c r="U4" s="18"/>
      <c r="V4" s="18"/>
      <c r="W4" s="18"/>
      <c r="X4" s="19"/>
      <c r="AA4" s="46" t="s">
        <v>211</v>
      </c>
      <c r="AB4" s="6"/>
      <c r="AD4" s="46" t="s">
        <v>212</v>
      </c>
      <c r="AE4" s="6"/>
      <c r="AH4" s="46" t="s">
        <v>217</v>
      </c>
      <c r="AI4" s="6"/>
      <c r="AK4" s="46" t="s">
        <v>218</v>
      </c>
      <c r="AL4" s="6"/>
    </row>
    <row r="5" ht="15.75" customHeight="1">
      <c r="A5" s="288"/>
      <c r="B5" s="288"/>
      <c r="C5" s="31"/>
      <c r="M5" s="32"/>
      <c r="N5" s="31"/>
      <c r="X5" s="32"/>
      <c r="AA5" s="261">
        <v>45689.0</v>
      </c>
      <c r="AB5" s="261">
        <v>45717.0</v>
      </c>
      <c r="AD5" s="261">
        <v>45689.0</v>
      </c>
      <c r="AE5" s="261">
        <v>45717.0</v>
      </c>
      <c r="AH5" s="261">
        <v>46054.0</v>
      </c>
      <c r="AI5" s="261">
        <v>46082.0</v>
      </c>
      <c r="AK5" s="261">
        <v>46054.0</v>
      </c>
      <c r="AL5" s="261">
        <v>46082.0</v>
      </c>
    </row>
    <row r="6" ht="15.75" customHeight="1">
      <c r="A6" s="288"/>
      <c r="B6" s="288"/>
      <c r="C6" s="34"/>
      <c r="D6" s="35"/>
      <c r="E6" s="35"/>
      <c r="F6" s="35"/>
      <c r="G6" s="35"/>
      <c r="H6" s="35"/>
      <c r="I6" s="35"/>
      <c r="J6" s="35"/>
      <c r="K6" s="35"/>
      <c r="L6" s="35"/>
      <c r="M6" s="36"/>
      <c r="N6" s="34"/>
      <c r="O6" s="35"/>
      <c r="P6" s="35"/>
      <c r="Q6" s="35"/>
      <c r="R6" s="35"/>
      <c r="S6" s="35"/>
      <c r="T6" s="35"/>
      <c r="U6" s="35"/>
      <c r="V6" s="35"/>
      <c r="W6" s="35"/>
      <c r="X6" s="36"/>
      <c r="Z6" s="2" t="s">
        <v>45</v>
      </c>
      <c r="AA6" s="55">
        <v>3652.4075000000003</v>
      </c>
      <c r="AB6" s="55">
        <v>4545.63</v>
      </c>
      <c r="AC6" s="66">
        <f t="shared" ref="AC6:AC12" si="1">AB6/AA6-1</f>
        <v>0.2445571859</v>
      </c>
      <c r="AD6" s="229">
        <v>3812.5525000000002</v>
      </c>
      <c r="AE6" s="229">
        <v>5771.93</v>
      </c>
      <c r="AF6" s="66">
        <f t="shared" ref="AF6:AF12" si="2">AE6/AD6-1</f>
        <v>0.5139280049</v>
      </c>
      <c r="AG6" s="2" t="s">
        <v>45</v>
      </c>
      <c r="AH6" s="229">
        <v>4714.78</v>
      </c>
      <c r="AI6" s="274">
        <f t="shared" ref="AI6:AI12" si="3">AH6*AC6+AH6</f>
        <v>5867.813329</v>
      </c>
      <c r="AJ6" s="75"/>
      <c r="AK6" s="229">
        <v>3549.79</v>
      </c>
      <c r="AL6" s="274">
        <f t="shared" ref="AL6:AL12" si="4">AK6*AF6+AK6</f>
        <v>5374.126493</v>
      </c>
    </row>
    <row r="7" ht="15.75" customHeight="1">
      <c r="A7" s="289"/>
      <c r="B7" s="289"/>
      <c r="C7" s="202" t="s">
        <v>28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202" t="s">
        <v>28</v>
      </c>
      <c r="O7" s="35"/>
      <c r="P7" s="35"/>
      <c r="Q7" s="35"/>
      <c r="R7" s="35"/>
      <c r="S7" s="35"/>
      <c r="T7" s="35"/>
      <c r="U7" s="35"/>
      <c r="V7" s="35"/>
      <c r="W7" s="35"/>
      <c r="X7" s="35"/>
      <c r="Z7" s="8" t="s">
        <v>46</v>
      </c>
      <c r="AA7" s="55">
        <v>3437.8125</v>
      </c>
      <c r="AB7" s="55">
        <v>5976.19</v>
      </c>
      <c r="AC7" s="66">
        <f t="shared" si="1"/>
        <v>0.7383699664</v>
      </c>
      <c r="AD7" s="229">
        <v>4137.565</v>
      </c>
      <c r="AE7" s="229">
        <v>7407.2</v>
      </c>
      <c r="AF7" s="66">
        <f t="shared" si="2"/>
        <v>0.7902316942</v>
      </c>
      <c r="AG7" s="8" t="s">
        <v>46</v>
      </c>
      <c r="AH7" s="229">
        <v>4782.03</v>
      </c>
      <c r="AI7" s="274">
        <f t="shared" si="3"/>
        <v>8312.93733</v>
      </c>
      <c r="AJ7" s="75"/>
      <c r="AK7" s="229">
        <v>4412.95</v>
      </c>
      <c r="AL7" s="274">
        <f t="shared" si="4"/>
        <v>7900.202955</v>
      </c>
    </row>
    <row r="8" ht="15.75" customHeight="1">
      <c r="A8" s="8"/>
      <c r="B8" s="8"/>
      <c r="C8" s="147" t="s">
        <v>32</v>
      </c>
      <c r="D8" s="147" t="s">
        <v>33</v>
      </c>
      <c r="E8" s="203" t="s">
        <v>36</v>
      </c>
      <c r="F8" s="147" t="s">
        <v>37</v>
      </c>
      <c r="G8" s="44" t="s">
        <v>38</v>
      </c>
      <c r="H8" s="47" t="s">
        <v>161</v>
      </c>
      <c r="I8" s="47" t="s">
        <v>162</v>
      </c>
      <c r="J8" s="44" t="s">
        <v>163</v>
      </c>
      <c r="K8" s="44" t="s">
        <v>164</v>
      </c>
      <c r="L8" s="44" t="s">
        <v>254</v>
      </c>
      <c r="M8" s="44" t="s">
        <v>166</v>
      </c>
      <c r="N8" s="204" t="s">
        <v>32</v>
      </c>
      <c r="O8" s="204" t="s">
        <v>33</v>
      </c>
      <c r="P8" s="204" t="s">
        <v>36</v>
      </c>
      <c r="Q8" s="204" t="s">
        <v>37</v>
      </c>
      <c r="R8" s="44" t="s">
        <v>38</v>
      </c>
      <c r="S8" s="205" t="s">
        <v>161</v>
      </c>
      <c r="T8" s="47" t="s">
        <v>255</v>
      </c>
      <c r="U8" s="44" t="s">
        <v>163</v>
      </c>
      <c r="V8" s="44" t="s">
        <v>164</v>
      </c>
      <c r="W8" s="44" t="s">
        <v>165</v>
      </c>
      <c r="X8" s="44" t="s">
        <v>166</v>
      </c>
      <c r="Z8" s="2" t="s">
        <v>40</v>
      </c>
      <c r="AA8" s="55">
        <v>6062.825000000001</v>
      </c>
      <c r="AB8" s="55">
        <v>5450.1</v>
      </c>
      <c r="AC8" s="66">
        <f t="shared" si="1"/>
        <v>-0.1010626234</v>
      </c>
      <c r="AD8" s="229">
        <v>4168.594999999999</v>
      </c>
      <c r="AE8" s="229">
        <v>6082.42</v>
      </c>
      <c r="AF8" s="66">
        <f t="shared" si="2"/>
        <v>0.459105526</v>
      </c>
      <c r="AG8" s="2" t="s">
        <v>40</v>
      </c>
      <c r="AH8" s="229">
        <v>5010.82</v>
      </c>
      <c r="AI8" s="274">
        <f t="shared" si="3"/>
        <v>4504.413385</v>
      </c>
      <c r="AJ8" s="75"/>
      <c r="AK8" s="229">
        <v>5423.01</v>
      </c>
      <c r="AL8" s="274">
        <f t="shared" si="4"/>
        <v>7912.743858</v>
      </c>
    </row>
    <row r="9" ht="15.75" customHeight="1">
      <c r="A9" s="8"/>
      <c r="B9" s="8"/>
      <c r="C9" s="207">
        <v>46357.0</v>
      </c>
      <c r="D9" s="208" t="str">
        <f t="shared" ref="D9:D39" si="6">TEXT(C9,"ddd")</f>
        <v>ter.</v>
      </c>
      <c r="E9" s="209"/>
      <c r="F9" s="209"/>
      <c r="G9" s="51"/>
      <c r="H9" s="290"/>
      <c r="I9" s="265" t="str">
        <f t="shared" ref="I9:I39" si="7">F9/H9</f>
        <v>#DIV/0!</v>
      </c>
      <c r="J9" s="57"/>
      <c r="K9" s="57"/>
      <c r="L9" s="57"/>
      <c r="M9" s="57">
        <f t="shared" ref="M9:M39" si="8">J9+K9+L9</f>
        <v>0</v>
      </c>
      <c r="N9" s="350">
        <f t="shared" ref="N9:O9" si="5">C9</f>
        <v>46357</v>
      </c>
      <c r="O9" s="350" t="str">
        <f t="shared" si="5"/>
        <v>ter.</v>
      </c>
      <c r="P9" s="213"/>
      <c r="Q9" s="213"/>
      <c r="R9" s="51">
        <f t="shared" ref="R9:R11" si="10">Q9-P9</f>
        <v>0</v>
      </c>
      <c r="S9" s="291"/>
      <c r="T9" s="291" t="str">
        <f t="shared" ref="T9:T39" si="11">Q9/S9</f>
        <v>#DIV/0!</v>
      </c>
      <c r="U9" s="57"/>
      <c r="V9" s="57"/>
      <c r="W9" s="57"/>
      <c r="X9" s="57">
        <f t="shared" ref="X9:X35" si="12">U9+V9+W9</f>
        <v>0</v>
      </c>
      <c r="Z9" s="2" t="s">
        <v>47</v>
      </c>
      <c r="AA9" s="55">
        <v>6195.1050000000005</v>
      </c>
      <c r="AB9" s="55">
        <v>5434.13</v>
      </c>
      <c r="AC9" s="66">
        <f t="shared" si="1"/>
        <v>-0.1228348833</v>
      </c>
      <c r="AD9" s="229">
        <v>5183.4375</v>
      </c>
      <c r="AE9" s="229">
        <v>5086.32</v>
      </c>
      <c r="AF9" s="66">
        <f t="shared" si="2"/>
        <v>-0.01873611865</v>
      </c>
      <c r="AG9" s="2" t="s">
        <v>47</v>
      </c>
      <c r="AH9" s="229">
        <v>4491.8</v>
      </c>
      <c r="AI9" s="274">
        <f t="shared" si="3"/>
        <v>3940.050271</v>
      </c>
      <c r="AJ9" s="75"/>
      <c r="AK9" s="229">
        <v>4676.16</v>
      </c>
      <c r="AL9" s="274">
        <f t="shared" si="4"/>
        <v>4588.546911</v>
      </c>
    </row>
    <row r="10" ht="15.75" customHeight="1">
      <c r="A10" s="8"/>
      <c r="B10" s="8"/>
      <c r="C10" s="207">
        <v>46358.0</v>
      </c>
      <c r="D10" s="208" t="str">
        <f t="shared" si="6"/>
        <v>qua.</v>
      </c>
      <c r="E10" s="209"/>
      <c r="F10" s="209"/>
      <c r="G10" s="51"/>
      <c r="H10" s="290"/>
      <c r="I10" s="265" t="str">
        <f t="shared" si="7"/>
        <v>#DIV/0!</v>
      </c>
      <c r="J10" s="57"/>
      <c r="K10" s="57"/>
      <c r="L10" s="57"/>
      <c r="M10" s="57">
        <f t="shared" si="8"/>
        <v>0</v>
      </c>
      <c r="N10" s="350">
        <f t="shared" ref="N10:O10" si="9">C10</f>
        <v>46358</v>
      </c>
      <c r="O10" s="350" t="str">
        <f t="shared" si="9"/>
        <v>qua.</v>
      </c>
      <c r="P10" s="213"/>
      <c r="Q10" s="213"/>
      <c r="R10" s="51">
        <f t="shared" si="10"/>
        <v>0</v>
      </c>
      <c r="S10" s="291"/>
      <c r="T10" s="291" t="str">
        <f t="shared" si="11"/>
        <v>#DIV/0!</v>
      </c>
      <c r="U10" s="57"/>
      <c r="V10" s="57"/>
      <c r="W10" s="57"/>
      <c r="X10" s="57">
        <f t="shared" si="12"/>
        <v>0</v>
      </c>
      <c r="Z10" s="2" t="s">
        <v>48</v>
      </c>
      <c r="AA10" s="55">
        <v>10387.4</v>
      </c>
      <c r="AB10" s="55">
        <v>10944.55</v>
      </c>
      <c r="AC10" s="66">
        <f t="shared" si="1"/>
        <v>0.05363709879</v>
      </c>
      <c r="AD10" s="229">
        <v>10702.8325</v>
      </c>
      <c r="AE10" s="229">
        <v>11651.22</v>
      </c>
      <c r="AF10" s="66">
        <f t="shared" si="2"/>
        <v>0.08861088875</v>
      </c>
      <c r="AG10" s="2" t="s">
        <v>48</v>
      </c>
      <c r="AH10" s="229">
        <v>12402.16</v>
      </c>
      <c r="AI10" s="274">
        <f t="shared" si="3"/>
        <v>13067.37588</v>
      </c>
      <c r="AJ10" s="75"/>
      <c r="AK10" s="229">
        <v>8692.46</v>
      </c>
      <c r="AL10" s="274">
        <f t="shared" si="4"/>
        <v>9462.706606</v>
      </c>
    </row>
    <row r="11" ht="15.75" customHeight="1">
      <c r="A11" s="8"/>
      <c r="B11" s="8"/>
      <c r="C11" s="207">
        <v>46359.0</v>
      </c>
      <c r="D11" s="208" t="str">
        <f t="shared" si="6"/>
        <v>qui.</v>
      </c>
      <c r="E11" s="209"/>
      <c r="F11" s="209"/>
      <c r="G11" s="51"/>
      <c r="H11" s="290"/>
      <c r="I11" s="265" t="str">
        <f t="shared" si="7"/>
        <v>#DIV/0!</v>
      </c>
      <c r="J11" s="57"/>
      <c r="K11" s="57"/>
      <c r="L11" s="57"/>
      <c r="M11" s="57">
        <f t="shared" si="8"/>
        <v>0</v>
      </c>
      <c r="N11" s="350">
        <f t="shared" ref="N11:O11" si="13">C11</f>
        <v>46359</v>
      </c>
      <c r="O11" s="350" t="str">
        <f t="shared" si="13"/>
        <v>qui.</v>
      </c>
      <c r="P11" s="213"/>
      <c r="Q11" s="213"/>
      <c r="R11" s="51">
        <f t="shared" si="10"/>
        <v>0</v>
      </c>
      <c r="S11" s="291"/>
      <c r="T11" s="291" t="str">
        <f t="shared" si="11"/>
        <v>#DIV/0!</v>
      </c>
      <c r="U11" s="57"/>
      <c r="V11" s="57"/>
      <c r="W11" s="57"/>
      <c r="X11" s="57">
        <f t="shared" si="12"/>
        <v>0</v>
      </c>
      <c r="Z11" s="2" t="s">
        <v>171</v>
      </c>
      <c r="AA11" s="55">
        <v>16307.732500000002</v>
      </c>
      <c r="AB11" s="55">
        <v>18139.43</v>
      </c>
      <c r="AC11" s="66">
        <f t="shared" si="1"/>
        <v>0.1123207963</v>
      </c>
      <c r="AD11" s="229">
        <v>13893.575</v>
      </c>
      <c r="AE11" s="229">
        <v>13900.58</v>
      </c>
      <c r="AF11" s="66">
        <f t="shared" si="2"/>
        <v>0.0005041898863</v>
      </c>
      <c r="AG11" s="2" t="s">
        <v>171</v>
      </c>
      <c r="AH11" s="229">
        <v>21497.4</v>
      </c>
      <c r="AI11" s="274">
        <f t="shared" si="3"/>
        <v>23912.00509</v>
      </c>
      <c r="AJ11" s="75"/>
      <c r="AK11" s="229">
        <v>12983.64</v>
      </c>
      <c r="AL11" s="274">
        <f t="shared" si="4"/>
        <v>12990.18622</v>
      </c>
    </row>
    <row r="12" ht="15.75" customHeight="1">
      <c r="A12" s="8"/>
      <c r="B12" s="8"/>
      <c r="C12" s="207">
        <v>46360.0</v>
      </c>
      <c r="D12" s="208" t="str">
        <f t="shared" si="6"/>
        <v>sex.</v>
      </c>
      <c r="E12" s="209"/>
      <c r="F12" s="209"/>
      <c r="G12" s="51"/>
      <c r="H12" s="290"/>
      <c r="I12" s="265" t="str">
        <f t="shared" si="7"/>
        <v>#DIV/0!</v>
      </c>
      <c r="J12" s="57"/>
      <c r="K12" s="57"/>
      <c r="L12" s="57"/>
      <c r="M12" s="57">
        <f t="shared" si="8"/>
        <v>0</v>
      </c>
      <c r="N12" s="350">
        <f t="shared" ref="N12:O12" si="14">C12</f>
        <v>46360</v>
      </c>
      <c r="O12" s="350" t="str">
        <f t="shared" si="14"/>
        <v>sex.</v>
      </c>
      <c r="P12" s="213"/>
      <c r="Q12" s="213"/>
      <c r="R12" s="51"/>
      <c r="S12" s="291"/>
      <c r="T12" s="291" t="str">
        <f t="shared" si="11"/>
        <v>#DIV/0!</v>
      </c>
      <c r="U12" s="57"/>
      <c r="V12" s="57"/>
      <c r="W12" s="57"/>
      <c r="X12" s="57">
        <f t="shared" si="12"/>
        <v>0</v>
      </c>
      <c r="Z12" s="2" t="s">
        <v>44</v>
      </c>
      <c r="AA12" s="55">
        <v>14307.8</v>
      </c>
      <c r="AB12" s="55">
        <v>18056.14</v>
      </c>
      <c r="AC12" s="66">
        <f t="shared" si="1"/>
        <v>0.2619787808</v>
      </c>
      <c r="AD12" s="229">
        <v>20893.4225</v>
      </c>
      <c r="AE12" s="229">
        <v>19750.29</v>
      </c>
      <c r="AF12" s="66">
        <f t="shared" si="2"/>
        <v>-0.05471255368</v>
      </c>
      <c r="AG12" s="2" t="s">
        <v>44</v>
      </c>
      <c r="AH12" s="229">
        <v>19314.34</v>
      </c>
      <c r="AI12" s="274">
        <f t="shared" si="3"/>
        <v>24374.28725</v>
      </c>
      <c r="AJ12" s="75"/>
      <c r="AK12" s="229">
        <v>16807.18</v>
      </c>
      <c r="AL12" s="274">
        <f t="shared" si="4"/>
        <v>15887.61626</v>
      </c>
    </row>
    <row r="13" ht="15.75" customHeight="1">
      <c r="A13" s="8"/>
      <c r="B13" s="8"/>
      <c r="C13" s="207">
        <v>46361.0</v>
      </c>
      <c r="D13" s="208" t="str">
        <f t="shared" si="6"/>
        <v>sáb.</v>
      </c>
      <c r="E13" s="209"/>
      <c r="F13" s="209"/>
      <c r="G13" s="51"/>
      <c r="H13" s="290"/>
      <c r="I13" s="265" t="str">
        <f t="shared" si="7"/>
        <v>#DIV/0!</v>
      </c>
      <c r="J13" s="57"/>
      <c r="K13" s="57"/>
      <c r="L13" s="57"/>
      <c r="M13" s="57">
        <f t="shared" si="8"/>
        <v>0</v>
      </c>
      <c r="N13" s="350">
        <f t="shared" ref="N13:O13" si="15">C13</f>
        <v>46361</v>
      </c>
      <c r="O13" s="350" t="str">
        <f t="shared" si="15"/>
        <v>sáb.</v>
      </c>
      <c r="P13" s="213"/>
      <c r="Q13" s="213"/>
      <c r="R13" s="51"/>
      <c r="S13" s="291"/>
      <c r="T13" s="291" t="str">
        <f t="shared" si="11"/>
        <v>#DIV/0!</v>
      </c>
      <c r="U13" s="57"/>
      <c r="V13" s="57"/>
      <c r="W13" s="57"/>
      <c r="X13" s="57">
        <f t="shared" si="12"/>
        <v>0</v>
      </c>
      <c r="AA13" s="167">
        <f t="shared" ref="AA13:AB13" si="16">SUM(AA6:AA12)</f>
        <v>60351.0825</v>
      </c>
      <c r="AB13" s="167">
        <f t="shared" si="16"/>
        <v>68546.17</v>
      </c>
      <c r="AC13" s="61"/>
      <c r="AD13" s="167">
        <f t="shared" ref="AD13:AE13" si="17">SUM(AD6:AD12)</f>
        <v>62791.98</v>
      </c>
      <c r="AE13" s="167">
        <f t="shared" si="17"/>
        <v>69649.96</v>
      </c>
      <c r="AF13" s="61"/>
      <c r="AH13" s="167">
        <f t="shared" ref="AH13:AI13" si="18">SUM(AH6:AH12)</f>
        <v>72213.33</v>
      </c>
      <c r="AI13" s="167">
        <f t="shared" si="18"/>
        <v>83978.88253</v>
      </c>
      <c r="AJ13" s="61"/>
      <c r="AK13" s="167">
        <f t="shared" ref="AK13:AL13" si="19">SUM(AK6:AK12)</f>
        <v>56545.19</v>
      </c>
      <c r="AL13" s="167">
        <f t="shared" si="19"/>
        <v>64116.12931</v>
      </c>
    </row>
    <row r="14" ht="15.75" customHeight="1">
      <c r="A14" s="8"/>
      <c r="B14" s="8"/>
      <c r="C14" s="207">
        <v>46362.0</v>
      </c>
      <c r="D14" s="208" t="str">
        <f t="shared" si="6"/>
        <v>dom.</v>
      </c>
      <c r="E14" s="209"/>
      <c r="F14" s="209"/>
      <c r="G14" s="51"/>
      <c r="H14" s="290"/>
      <c r="I14" s="265" t="str">
        <f t="shared" si="7"/>
        <v>#DIV/0!</v>
      </c>
      <c r="J14" s="57"/>
      <c r="K14" s="57"/>
      <c r="L14" s="57"/>
      <c r="M14" s="57">
        <f t="shared" si="8"/>
        <v>0</v>
      </c>
      <c r="N14" s="350">
        <f t="shared" ref="N14:O14" si="20">C14</f>
        <v>46362</v>
      </c>
      <c r="O14" s="350" t="str">
        <f t="shared" si="20"/>
        <v>dom.</v>
      </c>
      <c r="P14" s="213"/>
      <c r="Q14" s="213"/>
      <c r="R14" s="51"/>
      <c r="S14" s="291"/>
      <c r="T14" s="291" t="str">
        <f t="shared" si="11"/>
        <v>#DIV/0!</v>
      </c>
      <c r="U14" s="57"/>
      <c r="V14" s="57"/>
      <c r="W14" s="57"/>
      <c r="X14" s="57">
        <f t="shared" si="12"/>
        <v>0</v>
      </c>
      <c r="AB14" s="66">
        <f>AB13/AA13-1</f>
        <v>0.1357902321</v>
      </c>
      <c r="AE14" s="66">
        <f>AE13/AD13-1</f>
        <v>0.109217451</v>
      </c>
      <c r="AI14" s="66">
        <f>AI13/AH13-1</f>
        <v>0.1629277105</v>
      </c>
      <c r="AL14" s="66">
        <f>AL13/AK13-1</f>
        <v>0.133891836</v>
      </c>
    </row>
    <row r="15" ht="15.75" customHeight="1">
      <c r="A15" s="8"/>
      <c r="B15" s="8"/>
      <c r="C15" s="207">
        <v>46363.0</v>
      </c>
      <c r="D15" s="208" t="str">
        <f t="shared" si="6"/>
        <v>seg.</v>
      </c>
      <c r="E15" s="209"/>
      <c r="F15" s="209"/>
      <c r="G15" s="51"/>
      <c r="H15" s="290"/>
      <c r="I15" s="265" t="str">
        <f t="shared" si="7"/>
        <v>#DIV/0!</v>
      </c>
      <c r="J15" s="57"/>
      <c r="K15" s="57"/>
      <c r="L15" s="57"/>
      <c r="M15" s="57">
        <f t="shared" si="8"/>
        <v>0</v>
      </c>
      <c r="N15" s="350">
        <f t="shared" ref="N15:O15" si="21">C15</f>
        <v>46363</v>
      </c>
      <c r="O15" s="350" t="str">
        <f t="shared" si="21"/>
        <v>seg.</v>
      </c>
      <c r="P15" s="213"/>
      <c r="Q15" s="213"/>
      <c r="R15" s="51"/>
      <c r="S15" s="291"/>
      <c r="T15" s="291" t="str">
        <f t="shared" si="11"/>
        <v>#DIV/0!</v>
      </c>
      <c r="U15" s="57"/>
      <c r="V15" s="57"/>
      <c r="W15" s="57"/>
      <c r="X15" s="57">
        <f t="shared" si="12"/>
        <v>0</v>
      </c>
    </row>
    <row r="16" ht="15.75" customHeight="1">
      <c r="A16" s="8"/>
      <c r="B16" s="8"/>
      <c r="C16" s="207">
        <v>46364.0</v>
      </c>
      <c r="D16" s="208" t="str">
        <f t="shared" si="6"/>
        <v>ter.</v>
      </c>
      <c r="E16" s="209"/>
      <c r="F16" s="209"/>
      <c r="G16" s="51"/>
      <c r="H16" s="290"/>
      <c r="I16" s="265" t="str">
        <f t="shared" si="7"/>
        <v>#DIV/0!</v>
      </c>
      <c r="J16" s="57"/>
      <c r="K16" s="57"/>
      <c r="L16" s="57"/>
      <c r="M16" s="57">
        <f t="shared" si="8"/>
        <v>0</v>
      </c>
      <c r="N16" s="350">
        <f t="shared" ref="N16:O16" si="22">C16</f>
        <v>46364</v>
      </c>
      <c r="O16" s="350" t="str">
        <f t="shared" si="22"/>
        <v>ter.</v>
      </c>
      <c r="P16" s="213"/>
      <c r="Q16" s="213"/>
      <c r="R16" s="51"/>
      <c r="S16" s="291"/>
      <c r="T16" s="291" t="str">
        <f t="shared" si="11"/>
        <v>#DIV/0!</v>
      </c>
      <c r="U16" s="57"/>
      <c r="V16" s="57"/>
      <c r="W16" s="57"/>
      <c r="X16" s="57">
        <f t="shared" si="12"/>
        <v>0</v>
      </c>
    </row>
    <row r="17" ht="15.75" customHeight="1">
      <c r="A17" s="8"/>
      <c r="B17" s="8"/>
      <c r="C17" s="207">
        <v>46365.0</v>
      </c>
      <c r="D17" s="208" t="str">
        <f t="shared" si="6"/>
        <v>qua.</v>
      </c>
      <c r="E17" s="209"/>
      <c r="F17" s="209"/>
      <c r="G17" s="51"/>
      <c r="H17" s="290"/>
      <c r="I17" s="265" t="str">
        <f t="shared" si="7"/>
        <v>#DIV/0!</v>
      </c>
      <c r="J17" s="57"/>
      <c r="K17" s="57"/>
      <c r="L17" s="57"/>
      <c r="M17" s="57">
        <f t="shared" si="8"/>
        <v>0</v>
      </c>
      <c r="N17" s="350">
        <f t="shared" ref="N17:O17" si="23">C17</f>
        <v>46365</v>
      </c>
      <c r="O17" s="350" t="str">
        <f t="shared" si="23"/>
        <v>qua.</v>
      </c>
      <c r="P17" s="213"/>
      <c r="Q17" s="213"/>
      <c r="R17" s="51"/>
      <c r="S17" s="291"/>
      <c r="T17" s="291" t="str">
        <f t="shared" si="11"/>
        <v>#DIV/0!</v>
      </c>
      <c r="U17" s="57"/>
      <c r="V17" s="57"/>
      <c r="W17" s="57"/>
      <c r="X17" s="57">
        <f t="shared" si="12"/>
        <v>0</v>
      </c>
    </row>
    <row r="18" ht="15.75" customHeight="1">
      <c r="A18" s="8"/>
      <c r="B18" s="8"/>
      <c r="C18" s="207">
        <v>46366.0</v>
      </c>
      <c r="D18" s="208" t="str">
        <f t="shared" si="6"/>
        <v>qui.</v>
      </c>
      <c r="E18" s="209"/>
      <c r="F18" s="209"/>
      <c r="G18" s="51"/>
      <c r="H18" s="290"/>
      <c r="I18" s="265" t="str">
        <f t="shared" si="7"/>
        <v>#DIV/0!</v>
      </c>
      <c r="J18" s="57"/>
      <c r="K18" s="57"/>
      <c r="L18" s="57"/>
      <c r="M18" s="57">
        <f t="shared" si="8"/>
        <v>0</v>
      </c>
      <c r="N18" s="350">
        <f t="shared" ref="N18:O18" si="24">C18</f>
        <v>46366</v>
      </c>
      <c r="O18" s="350" t="str">
        <f t="shared" si="24"/>
        <v>qui.</v>
      </c>
      <c r="P18" s="213"/>
      <c r="Q18" s="213"/>
      <c r="R18" s="51"/>
      <c r="S18" s="291"/>
      <c r="T18" s="291" t="str">
        <f t="shared" si="11"/>
        <v>#DIV/0!</v>
      </c>
      <c r="U18" s="57"/>
      <c r="V18" s="57"/>
      <c r="W18" s="57"/>
      <c r="X18" s="57">
        <f t="shared" si="12"/>
        <v>0</v>
      </c>
    </row>
    <row r="19" ht="15.75" customHeight="1">
      <c r="A19" s="8"/>
      <c r="B19" s="8"/>
      <c r="C19" s="207">
        <v>46367.0</v>
      </c>
      <c r="D19" s="208" t="str">
        <f t="shared" si="6"/>
        <v>sex.</v>
      </c>
      <c r="E19" s="209"/>
      <c r="F19" s="209"/>
      <c r="G19" s="51"/>
      <c r="H19" s="290"/>
      <c r="I19" s="265" t="str">
        <f t="shared" si="7"/>
        <v>#DIV/0!</v>
      </c>
      <c r="J19" s="57"/>
      <c r="K19" s="57"/>
      <c r="L19" s="57"/>
      <c r="M19" s="57">
        <f t="shared" si="8"/>
        <v>0</v>
      </c>
      <c r="N19" s="350">
        <f t="shared" ref="N19:O19" si="25">C19</f>
        <v>46367</v>
      </c>
      <c r="O19" s="350" t="str">
        <f t="shared" si="25"/>
        <v>sex.</v>
      </c>
      <c r="P19" s="213"/>
      <c r="Q19" s="213"/>
      <c r="R19" s="51"/>
      <c r="S19" s="291"/>
      <c r="T19" s="291" t="str">
        <f t="shared" si="11"/>
        <v>#DIV/0!</v>
      </c>
      <c r="U19" s="57"/>
      <c r="V19" s="57"/>
      <c r="W19" s="57"/>
      <c r="X19" s="57">
        <f t="shared" si="12"/>
        <v>0</v>
      </c>
      <c r="AB19" s="70"/>
      <c r="AC19" s="71" t="s">
        <v>52</v>
      </c>
      <c r="AD19" s="72"/>
      <c r="AE19" s="73" t="s">
        <v>53</v>
      </c>
      <c r="AI19" s="317"/>
      <c r="AJ19" s="271"/>
      <c r="AK19" s="317"/>
      <c r="AL19" s="317"/>
    </row>
    <row r="20" ht="15.75" customHeight="1">
      <c r="A20" s="8"/>
      <c r="B20" s="8"/>
      <c r="C20" s="207">
        <v>46368.0</v>
      </c>
      <c r="D20" s="208" t="str">
        <f t="shared" si="6"/>
        <v>sáb.</v>
      </c>
      <c r="E20" s="209"/>
      <c r="F20" s="209"/>
      <c r="G20" s="51"/>
      <c r="H20" s="290"/>
      <c r="I20" s="265" t="str">
        <f t="shared" si="7"/>
        <v>#DIV/0!</v>
      </c>
      <c r="J20" s="57"/>
      <c r="K20" s="57"/>
      <c r="L20" s="57"/>
      <c r="M20" s="57">
        <f t="shared" si="8"/>
        <v>0</v>
      </c>
      <c r="N20" s="350">
        <f t="shared" ref="N20:O20" si="26">C20</f>
        <v>46368</v>
      </c>
      <c r="O20" s="350" t="str">
        <f t="shared" si="26"/>
        <v>sáb.</v>
      </c>
      <c r="P20" s="213"/>
      <c r="Q20" s="213"/>
      <c r="R20" s="51"/>
      <c r="S20" s="291"/>
      <c r="T20" s="291" t="str">
        <f t="shared" si="11"/>
        <v>#DIV/0!</v>
      </c>
      <c r="U20" s="57"/>
      <c r="V20" s="57"/>
      <c r="W20" s="57"/>
      <c r="X20" s="57">
        <f t="shared" si="12"/>
        <v>0</v>
      </c>
      <c r="AB20" s="74" t="s">
        <v>29</v>
      </c>
      <c r="AC20" s="75">
        <v>350000.0</v>
      </c>
      <c r="AD20" s="2" t="s">
        <v>29</v>
      </c>
      <c r="AE20" s="76">
        <v>280000.0</v>
      </c>
      <c r="AI20" s="317"/>
      <c r="AJ20" s="271"/>
      <c r="AK20" s="271"/>
      <c r="AL20" s="366"/>
    </row>
    <row r="21" ht="15.75" customHeight="1">
      <c r="A21" s="8"/>
      <c r="B21" s="8"/>
      <c r="C21" s="207">
        <v>46369.0</v>
      </c>
      <c r="D21" s="208" t="str">
        <f t="shared" si="6"/>
        <v>dom.</v>
      </c>
      <c r="E21" s="209"/>
      <c r="F21" s="209"/>
      <c r="G21" s="51"/>
      <c r="H21" s="290"/>
      <c r="I21" s="265" t="str">
        <f t="shared" si="7"/>
        <v>#DIV/0!</v>
      </c>
      <c r="J21" s="57"/>
      <c r="K21" s="57"/>
      <c r="L21" s="57"/>
      <c r="M21" s="57">
        <f t="shared" si="8"/>
        <v>0</v>
      </c>
      <c r="N21" s="350">
        <f t="shared" ref="N21:O21" si="27">C21</f>
        <v>46369</v>
      </c>
      <c r="O21" s="350" t="str">
        <f t="shared" si="27"/>
        <v>dom.</v>
      </c>
      <c r="P21" s="213"/>
      <c r="Q21" s="213"/>
      <c r="R21" s="51"/>
      <c r="S21" s="291"/>
      <c r="T21" s="291" t="str">
        <f t="shared" si="11"/>
        <v>#DIV/0!</v>
      </c>
      <c r="U21" s="57"/>
      <c r="V21" s="57"/>
      <c r="W21" s="57"/>
      <c r="X21" s="57">
        <f t="shared" si="12"/>
        <v>0</v>
      </c>
      <c r="AB21" s="74"/>
      <c r="AC21" s="2"/>
      <c r="AD21" s="2"/>
      <c r="AE21" s="77"/>
      <c r="AI21" s="367"/>
      <c r="AJ21" s="367"/>
      <c r="AK21" s="368"/>
      <c r="AL21" s="368"/>
    </row>
    <row r="22" ht="15.75" customHeight="1">
      <c r="A22" s="8"/>
      <c r="B22" s="8"/>
      <c r="C22" s="207">
        <v>46370.0</v>
      </c>
      <c r="D22" s="208" t="str">
        <f t="shared" si="6"/>
        <v>seg.</v>
      </c>
      <c r="E22" s="209"/>
      <c r="F22" s="209"/>
      <c r="G22" s="51"/>
      <c r="H22" s="290"/>
      <c r="I22" s="265" t="str">
        <f t="shared" si="7"/>
        <v>#DIV/0!</v>
      </c>
      <c r="J22" s="57"/>
      <c r="K22" s="57"/>
      <c r="L22" s="57"/>
      <c r="M22" s="57">
        <f t="shared" si="8"/>
        <v>0</v>
      </c>
      <c r="N22" s="350">
        <f t="shared" ref="N22:O22" si="28">C22</f>
        <v>46370</v>
      </c>
      <c r="O22" s="350" t="str">
        <f t="shared" si="28"/>
        <v>seg.</v>
      </c>
      <c r="P22" s="213"/>
      <c r="Q22" s="213"/>
      <c r="R22" s="51"/>
      <c r="S22" s="291"/>
      <c r="T22" s="291" t="str">
        <f t="shared" si="11"/>
        <v>#DIV/0!</v>
      </c>
      <c r="U22" s="57"/>
      <c r="V22" s="57"/>
      <c r="W22" s="57"/>
      <c r="X22" s="57">
        <f t="shared" si="12"/>
        <v>0</v>
      </c>
      <c r="AB22" s="74" t="s">
        <v>58</v>
      </c>
      <c r="AC22" s="75">
        <f>SUM(F9:F15)</f>
        <v>0</v>
      </c>
      <c r="AD22" s="58" t="s">
        <v>58</v>
      </c>
      <c r="AE22" s="76">
        <f>SUM(Q9:Q15)</f>
        <v>0</v>
      </c>
      <c r="AI22" s="369"/>
      <c r="AJ22" s="317"/>
      <c r="AK22" s="271"/>
      <c r="AL22" s="370"/>
    </row>
    <row r="23" ht="15.75" customHeight="1">
      <c r="A23" s="8"/>
      <c r="B23" s="8"/>
      <c r="C23" s="207">
        <v>46371.0</v>
      </c>
      <c r="D23" s="208" t="str">
        <f t="shared" si="6"/>
        <v>ter.</v>
      </c>
      <c r="E23" s="209"/>
      <c r="F23" s="209"/>
      <c r="G23" s="51"/>
      <c r="H23" s="290"/>
      <c r="I23" s="265" t="str">
        <f t="shared" si="7"/>
        <v>#DIV/0!</v>
      </c>
      <c r="J23" s="57"/>
      <c r="K23" s="57"/>
      <c r="L23" s="57"/>
      <c r="M23" s="57">
        <f t="shared" si="8"/>
        <v>0</v>
      </c>
      <c r="N23" s="350">
        <f t="shared" ref="N23:O23" si="29">C23</f>
        <v>46371</v>
      </c>
      <c r="O23" s="350" t="str">
        <f t="shared" si="29"/>
        <v>ter.</v>
      </c>
      <c r="P23" s="213"/>
      <c r="Q23" s="213"/>
      <c r="R23" s="51"/>
      <c r="S23" s="291"/>
      <c r="T23" s="291" t="str">
        <f t="shared" si="11"/>
        <v>#DIV/0!</v>
      </c>
      <c r="U23" s="57"/>
      <c r="V23" s="57"/>
      <c r="W23" s="57"/>
      <c r="X23" s="57">
        <f t="shared" si="12"/>
        <v>0</v>
      </c>
      <c r="AB23" s="74"/>
      <c r="AC23" s="79">
        <f>AC22/AC20</f>
        <v>0</v>
      </c>
      <c r="AE23" s="80">
        <f>AE22/AE20</f>
        <v>0</v>
      </c>
      <c r="AF23" s="66"/>
      <c r="AI23" s="317"/>
      <c r="AJ23" s="317"/>
      <c r="AK23" s="271"/>
      <c r="AL23" s="370"/>
    </row>
    <row r="24" ht="15.75" customHeight="1">
      <c r="A24" s="8"/>
      <c r="B24" s="8"/>
      <c r="C24" s="207">
        <v>46372.0</v>
      </c>
      <c r="D24" s="208" t="str">
        <f t="shared" si="6"/>
        <v>qua.</v>
      </c>
      <c r="E24" s="209"/>
      <c r="F24" s="209"/>
      <c r="G24" s="51"/>
      <c r="H24" s="290"/>
      <c r="I24" s="265" t="str">
        <f t="shared" si="7"/>
        <v>#DIV/0!</v>
      </c>
      <c r="J24" s="57"/>
      <c r="K24" s="57"/>
      <c r="L24" s="57"/>
      <c r="M24" s="57">
        <f t="shared" si="8"/>
        <v>0</v>
      </c>
      <c r="N24" s="350">
        <f t="shared" ref="N24:O24" si="30">C24</f>
        <v>46372</v>
      </c>
      <c r="O24" s="350" t="str">
        <f t="shared" si="30"/>
        <v>qua.</v>
      </c>
      <c r="P24" s="213"/>
      <c r="Q24" s="213"/>
      <c r="R24" s="51"/>
      <c r="S24" s="291"/>
      <c r="T24" s="291" t="str">
        <f t="shared" si="11"/>
        <v>#DIV/0!</v>
      </c>
      <c r="U24" s="57"/>
      <c r="V24" s="57"/>
      <c r="W24" s="57"/>
      <c r="X24" s="57">
        <f t="shared" si="12"/>
        <v>0</v>
      </c>
      <c r="AB24" s="74"/>
      <c r="AC24" s="81"/>
      <c r="AE24" s="77"/>
      <c r="AI24" s="369"/>
      <c r="AJ24" s="317"/>
      <c r="AK24" s="271"/>
      <c r="AL24" s="370"/>
    </row>
    <row r="25" ht="15.75" customHeight="1">
      <c r="A25" s="8"/>
      <c r="B25" s="8"/>
      <c r="C25" s="207">
        <v>46373.0</v>
      </c>
      <c r="D25" s="208" t="str">
        <f t="shared" si="6"/>
        <v>qui.</v>
      </c>
      <c r="E25" s="209"/>
      <c r="F25" s="209"/>
      <c r="G25" s="51"/>
      <c r="H25" s="290"/>
      <c r="I25" s="265" t="str">
        <f t="shared" si="7"/>
        <v>#DIV/0!</v>
      </c>
      <c r="J25" s="57"/>
      <c r="K25" s="57"/>
      <c r="L25" s="57"/>
      <c r="M25" s="57">
        <f t="shared" si="8"/>
        <v>0</v>
      </c>
      <c r="N25" s="350">
        <f t="shared" ref="N25:O25" si="31">C25</f>
        <v>46373</v>
      </c>
      <c r="O25" s="350" t="str">
        <f t="shared" si="31"/>
        <v>qui.</v>
      </c>
      <c r="P25" s="213"/>
      <c r="Q25" s="213"/>
      <c r="R25" s="51"/>
      <c r="S25" s="291"/>
      <c r="T25" s="291" t="str">
        <f t="shared" si="11"/>
        <v>#DIV/0!</v>
      </c>
      <c r="U25" s="57"/>
      <c r="V25" s="57"/>
      <c r="W25" s="57"/>
      <c r="X25" s="57">
        <f t="shared" si="12"/>
        <v>0</v>
      </c>
      <c r="AB25" s="74" t="s">
        <v>62</v>
      </c>
      <c r="AC25" s="75">
        <f>SUM(F16:F22)</f>
        <v>0</v>
      </c>
      <c r="AD25" s="58" t="s">
        <v>62</v>
      </c>
      <c r="AE25" s="76">
        <f>SUM(Q16:Q22)</f>
        <v>0</v>
      </c>
      <c r="AI25" s="317"/>
      <c r="AJ25" s="317"/>
      <c r="AK25" s="271"/>
      <c r="AL25" s="370"/>
    </row>
    <row r="26" ht="15.75" customHeight="1">
      <c r="A26" s="8"/>
      <c r="B26" s="8"/>
      <c r="C26" s="207">
        <v>46374.0</v>
      </c>
      <c r="D26" s="208" t="str">
        <f t="shared" si="6"/>
        <v>sex.</v>
      </c>
      <c r="E26" s="209"/>
      <c r="F26" s="209"/>
      <c r="G26" s="51"/>
      <c r="H26" s="290"/>
      <c r="I26" s="265" t="str">
        <f t="shared" si="7"/>
        <v>#DIV/0!</v>
      </c>
      <c r="J26" s="57"/>
      <c r="K26" s="57"/>
      <c r="L26" s="57"/>
      <c r="M26" s="57">
        <f t="shared" si="8"/>
        <v>0</v>
      </c>
      <c r="N26" s="350">
        <f t="shared" ref="N26:O26" si="32">C26</f>
        <v>46374</v>
      </c>
      <c r="O26" s="350" t="str">
        <f t="shared" si="32"/>
        <v>sex.</v>
      </c>
      <c r="P26" s="213"/>
      <c r="Q26" s="213"/>
      <c r="R26" s="51"/>
      <c r="S26" s="291"/>
      <c r="T26" s="291" t="str">
        <f t="shared" si="11"/>
        <v>#DIV/0!</v>
      </c>
      <c r="U26" s="57"/>
      <c r="V26" s="57"/>
      <c r="W26" s="57"/>
      <c r="X26" s="57">
        <f t="shared" si="12"/>
        <v>0</v>
      </c>
      <c r="AB26" s="74"/>
      <c r="AC26" s="79">
        <f>AC25/AC20</f>
        <v>0</v>
      </c>
      <c r="AE26" s="80">
        <f>AE25/AE20</f>
        <v>0</v>
      </c>
      <c r="AI26" s="369"/>
      <c r="AJ26" s="317"/>
      <c r="AK26" s="271"/>
      <c r="AL26" s="370"/>
    </row>
    <row r="27" ht="15.75" customHeight="1">
      <c r="A27" s="8"/>
      <c r="B27" s="8"/>
      <c r="C27" s="207">
        <v>46375.0</v>
      </c>
      <c r="D27" s="208" t="str">
        <f t="shared" si="6"/>
        <v>sáb.</v>
      </c>
      <c r="E27" s="209"/>
      <c r="F27" s="209"/>
      <c r="G27" s="51"/>
      <c r="H27" s="290"/>
      <c r="I27" s="265" t="str">
        <f t="shared" si="7"/>
        <v>#DIV/0!</v>
      </c>
      <c r="J27" s="57"/>
      <c r="K27" s="57"/>
      <c r="L27" s="57"/>
      <c r="M27" s="57">
        <f t="shared" si="8"/>
        <v>0</v>
      </c>
      <c r="N27" s="350">
        <f t="shared" ref="N27:O27" si="33">C27</f>
        <v>46375</v>
      </c>
      <c r="O27" s="350" t="str">
        <f t="shared" si="33"/>
        <v>sáb.</v>
      </c>
      <c r="P27" s="213"/>
      <c r="Q27" s="213"/>
      <c r="R27" s="51"/>
      <c r="S27" s="291"/>
      <c r="T27" s="291" t="str">
        <f t="shared" si="11"/>
        <v>#DIV/0!</v>
      </c>
      <c r="U27" s="57"/>
      <c r="V27" s="57"/>
      <c r="W27" s="57"/>
      <c r="X27" s="57">
        <f t="shared" si="12"/>
        <v>0</v>
      </c>
      <c r="AB27" s="74"/>
      <c r="AC27" s="81"/>
      <c r="AE27" s="77"/>
      <c r="AI27" s="317"/>
      <c r="AJ27" s="317"/>
      <c r="AK27" s="271"/>
      <c r="AL27" s="370"/>
    </row>
    <row r="28" ht="15.75" customHeight="1">
      <c r="A28" s="8"/>
      <c r="B28" s="8"/>
      <c r="C28" s="207">
        <v>46376.0</v>
      </c>
      <c r="D28" s="208" t="str">
        <f t="shared" si="6"/>
        <v>dom.</v>
      </c>
      <c r="E28" s="209"/>
      <c r="F28" s="209"/>
      <c r="G28" s="51"/>
      <c r="H28" s="290"/>
      <c r="I28" s="265" t="str">
        <f t="shared" si="7"/>
        <v>#DIV/0!</v>
      </c>
      <c r="J28" s="57"/>
      <c r="K28" s="57"/>
      <c r="L28" s="57"/>
      <c r="M28" s="57">
        <f t="shared" si="8"/>
        <v>0</v>
      </c>
      <c r="N28" s="350">
        <f t="shared" ref="N28:O28" si="34">C28</f>
        <v>46376</v>
      </c>
      <c r="O28" s="350" t="str">
        <f t="shared" si="34"/>
        <v>dom.</v>
      </c>
      <c r="P28" s="213"/>
      <c r="Q28" s="213"/>
      <c r="R28" s="51"/>
      <c r="S28" s="291"/>
      <c r="T28" s="291" t="str">
        <f t="shared" si="11"/>
        <v>#DIV/0!</v>
      </c>
      <c r="U28" s="57"/>
      <c r="V28" s="57"/>
      <c r="W28" s="57"/>
      <c r="X28" s="57">
        <f t="shared" si="12"/>
        <v>0</v>
      </c>
      <c r="AB28" s="74" t="s">
        <v>63</v>
      </c>
      <c r="AC28" s="75">
        <f>SUM(F23:F29)</f>
        <v>0</v>
      </c>
      <c r="AD28" s="58" t="s">
        <v>63</v>
      </c>
      <c r="AE28" s="76">
        <f>SUM(Q23:Q29)</f>
        <v>0</v>
      </c>
      <c r="AI28" s="317"/>
      <c r="AJ28" s="317"/>
      <c r="AK28" s="271"/>
      <c r="AL28" s="317"/>
    </row>
    <row r="29" ht="15.75" customHeight="1">
      <c r="A29" s="8"/>
      <c r="B29" s="8"/>
      <c r="C29" s="207">
        <v>46377.0</v>
      </c>
      <c r="D29" s="208" t="str">
        <f t="shared" si="6"/>
        <v>seg.</v>
      </c>
      <c r="E29" s="209"/>
      <c r="F29" s="209"/>
      <c r="G29" s="51"/>
      <c r="H29" s="290"/>
      <c r="I29" s="265" t="str">
        <f t="shared" si="7"/>
        <v>#DIV/0!</v>
      </c>
      <c r="J29" s="57"/>
      <c r="K29" s="57"/>
      <c r="L29" s="57"/>
      <c r="M29" s="57">
        <f t="shared" si="8"/>
        <v>0</v>
      </c>
      <c r="N29" s="350">
        <f t="shared" ref="N29:O29" si="35">C29</f>
        <v>46377</v>
      </c>
      <c r="O29" s="350" t="str">
        <f t="shared" si="35"/>
        <v>seg.</v>
      </c>
      <c r="P29" s="213"/>
      <c r="Q29" s="213"/>
      <c r="R29" s="51"/>
      <c r="S29" s="291"/>
      <c r="T29" s="291" t="str">
        <f t="shared" si="11"/>
        <v>#DIV/0!</v>
      </c>
      <c r="U29" s="57"/>
      <c r="V29" s="57"/>
      <c r="W29" s="57"/>
      <c r="X29" s="57">
        <f t="shared" si="12"/>
        <v>0</v>
      </c>
      <c r="AB29" s="74"/>
      <c r="AC29" s="79">
        <f>AC28/AC20</f>
        <v>0</v>
      </c>
      <c r="AE29" s="80">
        <f>AE28/AE20</f>
        <v>0</v>
      </c>
      <c r="AI29" s="317"/>
      <c r="AJ29" s="317"/>
      <c r="AK29" s="317"/>
      <c r="AL29" s="317"/>
    </row>
    <row r="30" ht="15.75" customHeight="1">
      <c r="A30" s="8"/>
      <c r="B30" s="8"/>
      <c r="C30" s="207">
        <v>46378.0</v>
      </c>
      <c r="D30" s="208" t="str">
        <f t="shared" si="6"/>
        <v>ter.</v>
      </c>
      <c r="E30" s="209"/>
      <c r="F30" s="209"/>
      <c r="G30" s="51"/>
      <c r="H30" s="290"/>
      <c r="I30" s="265" t="str">
        <f t="shared" si="7"/>
        <v>#DIV/0!</v>
      </c>
      <c r="J30" s="57"/>
      <c r="K30" s="57"/>
      <c r="L30" s="57"/>
      <c r="M30" s="57">
        <f t="shared" si="8"/>
        <v>0</v>
      </c>
      <c r="N30" s="350">
        <f t="shared" ref="N30:O30" si="36">C30</f>
        <v>46378</v>
      </c>
      <c r="O30" s="350" t="str">
        <f t="shared" si="36"/>
        <v>ter.</v>
      </c>
      <c r="P30" s="213"/>
      <c r="Q30" s="213"/>
      <c r="R30" s="51"/>
      <c r="S30" s="291"/>
      <c r="T30" s="291" t="str">
        <f t="shared" si="11"/>
        <v>#DIV/0!</v>
      </c>
      <c r="U30" s="57"/>
      <c r="V30" s="57"/>
      <c r="W30" s="57"/>
      <c r="X30" s="57">
        <f t="shared" si="12"/>
        <v>0</v>
      </c>
      <c r="AB30" s="74"/>
      <c r="AE30" s="82"/>
      <c r="AI30" s="369"/>
      <c r="AJ30" s="317"/>
      <c r="AK30" s="317"/>
      <c r="AL30" s="317"/>
    </row>
    <row r="31" ht="15.75" customHeight="1">
      <c r="A31" s="8"/>
      <c r="B31" s="8"/>
      <c r="C31" s="207">
        <v>46379.0</v>
      </c>
      <c r="D31" s="208" t="str">
        <f t="shared" si="6"/>
        <v>qua.</v>
      </c>
      <c r="E31" s="209"/>
      <c r="F31" s="209"/>
      <c r="G31" s="51"/>
      <c r="H31" s="290"/>
      <c r="I31" s="265" t="str">
        <f t="shared" si="7"/>
        <v>#DIV/0!</v>
      </c>
      <c r="J31" s="57"/>
      <c r="K31" s="57"/>
      <c r="L31" s="57"/>
      <c r="M31" s="57">
        <f t="shared" si="8"/>
        <v>0</v>
      </c>
      <c r="N31" s="350">
        <f t="shared" ref="N31:O31" si="37">C31</f>
        <v>46379</v>
      </c>
      <c r="O31" s="350" t="str">
        <f t="shared" si="37"/>
        <v>qua.</v>
      </c>
      <c r="P31" s="213"/>
      <c r="Q31" s="213"/>
      <c r="R31" s="51"/>
      <c r="S31" s="291"/>
      <c r="T31" s="291" t="str">
        <f t="shared" si="11"/>
        <v>#DIV/0!</v>
      </c>
      <c r="U31" s="57"/>
      <c r="V31" s="57"/>
      <c r="W31" s="57"/>
      <c r="X31" s="57">
        <f t="shared" si="12"/>
        <v>0</v>
      </c>
      <c r="AB31" s="74" t="s">
        <v>64</v>
      </c>
      <c r="AC31" s="61">
        <f>SUM(F30:F36)</f>
        <v>0</v>
      </c>
      <c r="AD31" s="58" t="s">
        <v>64</v>
      </c>
      <c r="AE31" s="83">
        <f>SUM(Q30:Q36)</f>
        <v>0</v>
      </c>
      <c r="AI31" s="317"/>
      <c r="AJ31" s="317"/>
      <c r="AK31" s="271"/>
      <c r="AL31" s="317"/>
    </row>
    <row r="32" ht="15.75" customHeight="1">
      <c r="A32" s="8"/>
      <c r="B32" s="8"/>
      <c r="C32" s="207">
        <v>46380.0</v>
      </c>
      <c r="D32" s="208" t="str">
        <f t="shared" si="6"/>
        <v>qui.</v>
      </c>
      <c r="E32" s="209"/>
      <c r="F32" s="209"/>
      <c r="G32" s="51"/>
      <c r="H32" s="290"/>
      <c r="I32" s="265" t="str">
        <f t="shared" si="7"/>
        <v>#DIV/0!</v>
      </c>
      <c r="J32" s="57"/>
      <c r="K32" s="57"/>
      <c r="L32" s="57"/>
      <c r="M32" s="57">
        <f t="shared" si="8"/>
        <v>0</v>
      </c>
      <c r="N32" s="350">
        <f t="shared" ref="N32:O32" si="38">C32</f>
        <v>46380</v>
      </c>
      <c r="O32" s="350" t="str">
        <f t="shared" si="38"/>
        <v>qui.</v>
      </c>
      <c r="P32" s="213"/>
      <c r="Q32" s="213"/>
      <c r="R32" s="51"/>
      <c r="S32" s="291"/>
      <c r="T32" s="291" t="str">
        <f t="shared" si="11"/>
        <v>#DIV/0!</v>
      </c>
      <c r="U32" s="57"/>
      <c r="V32" s="57"/>
      <c r="W32" s="57"/>
      <c r="X32" s="57">
        <f t="shared" si="12"/>
        <v>0</v>
      </c>
      <c r="AB32" s="74"/>
      <c r="AC32" s="79">
        <f>AC31/AC20</f>
        <v>0</v>
      </c>
      <c r="AE32" s="80">
        <f>AE31/AE20</f>
        <v>0</v>
      </c>
      <c r="AI32" s="317"/>
      <c r="AJ32" s="317"/>
      <c r="AK32" s="317"/>
      <c r="AL32" s="317"/>
    </row>
    <row r="33" ht="15.75" customHeight="1">
      <c r="A33" s="8"/>
      <c r="B33" s="8"/>
      <c r="C33" s="207">
        <v>46381.0</v>
      </c>
      <c r="D33" s="208" t="str">
        <f t="shared" si="6"/>
        <v>sex.</v>
      </c>
      <c r="E33" s="209"/>
      <c r="F33" s="209"/>
      <c r="G33" s="51"/>
      <c r="H33" s="290"/>
      <c r="I33" s="265" t="str">
        <f t="shared" si="7"/>
        <v>#DIV/0!</v>
      </c>
      <c r="J33" s="57"/>
      <c r="K33" s="57"/>
      <c r="L33" s="57"/>
      <c r="M33" s="57">
        <f t="shared" si="8"/>
        <v>0</v>
      </c>
      <c r="N33" s="350">
        <f t="shared" ref="N33:O33" si="39">C33</f>
        <v>46381</v>
      </c>
      <c r="O33" s="350" t="str">
        <f t="shared" si="39"/>
        <v>sex.</v>
      </c>
      <c r="P33" s="213"/>
      <c r="Q33" s="213"/>
      <c r="R33" s="51"/>
      <c r="S33" s="291"/>
      <c r="T33" s="291" t="str">
        <f t="shared" si="11"/>
        <v>#DIV/0!</v>
      </c>
      <c r="U33" s="57"/>
      <c r="V33" s="57"/>
      <c r="W33" s="57"/>
      <c r="X33" s="57">
        <f t="shared" si="12"/>
        <v>0</v>
      </c>
      <c r="AB33" s="74" t="s">
        <v>65</v>
      </c>
      <c r="AC33" s="61">
        <f>SUM(F37:F39)</f>
        <v>0</v>
      </c>
      <c r="AD33" s="58" t="s">
        <v>65</v>
      </c>
      <c r="AE33" s="83">
        <f>SUM(Q37:Q39)</f>
        <v>0</v>
      </c>
      <c r="AI33" s="317"/>
      <c r="AJ33" s="317"/>
      <c r="AK33" s="317"/>
      <c r="AL33" s="317"/>
    </row>
    <row r="34" ht="15.75" customHeight="1">
      <c r="A34" s="8"/>
      <c r="B34" s="8"/>
      <c r="C34" s="207">
        <v>46382.0</v>
      </c>
      <c r="D34" s="208" t="str">
        <f t="shared" si="6"/>
        <v>sáb.</v>
      </c>
      <c r="E34" s="209"/>
      <c r="F34" s="209"/>
      <c r="G34" s="51"/>
      <c r="H34" s="290"/>
      <c r="I34" s="265" t="str">
        <f t="shared" si="7"/>
        <v>#DIV/0!</v>
      </c>
      <c r="J34" s="57"/>
      <c r="K34" s="57"/>
      <c r="L34" s="57"/>
      <c r="M34" s="57">
        <f t="shared" si="8"/>
        <v>0</v>
      </c>
      <c r="N34" s="350">
        <f t="shared" ref="N34:O34" si="40">C34</f>
        <v>46382</v>
      </c>
      <c r="O34" s="350" t="str">
        <f t="shared" si="40"/>
        <v>sáb.</v>
      </c>
      <c r="P34" s="213"/>
      <c r="Q34" s="213"/>
      <c r="R34" s="51"/>
      <c r="S34" s="291"/>
      <c r="T34" s="291" t="str">
        <f t="shared" si="11"/>
        <v>#DIV/0!</v>
      </c>
      <c r="U34" s="57"/>
      <c r="V34" s="57"/>
      <c r="W34" s="57"/>
      <c r="X34" s="57">
        <f t="shared" si="12"/>
        <v>0</v>
      </c>
      <c r="AB34" s="84"/>
      <c r="AC34" s="85">
        <f>AC33/AC20</f>
        <v>0</v>
      </c>
      <c r="AD34" s="84"/>
      <c r="AE34" s="87">
        <f>AE33/AE20</f>
        <v>0</v>
      </c>
    </row>
    <row r="35" ht="15.75" customHeight="1">
      <c r="A35" s="8"/>
      <c r="B35" s="8"/>
      <c r="C35" s="207">
        <v>46383.0</v>
      </c>
      <c r="D35" s="208" t="str">
        <f t="shared" si="6"/>
        <v>dom.</v>
      </c>
      <c r="E35" s="209"/>
      <c r="F35" s="209"/>
      <c r="G35" s="51"/>
      <c r="H35" s="290"/>
      <c r="I35" s="265" t="str">
        <f t="shared" si="7"/>
        <v>#DIV/0!</v>
      </c>
      <c r="J35" s="57"/>
      <c r="K35" s="57"/>
      <c r="L35" s="57"/>
      <c r="M35" s="57">
        <f t="shared" si="8"/>
        <v>0</v>
      </c>
      <c r="N35" s="350">
        <f t="shared" ref="N35:O35" si="41">C35</f>
        <v>46383</v>
      </c>
      <c r="O35" s="350" t="str">
        <f t="shared" si="41"/>
        <v>dom.</v>
      </c>
      <c r="P35" s="213"/>
      <c r="Q35" s="213"/>
      <c r="R35" s="51"/>
      <c r="S35" s="291"/>
      <c r="T35" s="291" t="str">
        <f t="shared" si="11"/>
        <v>#DIV/0!</v>
      </c>
      <c r="U35" s="57"/>
      <c r="V35" s="57"/>
      <c r="W35" s="57"/>
      <c r="X35" s="57">
        <f t="shared" si="12"/>
        <v>0</v>
      </c>
      <c r="AK35" s="271"/>
    </row>
    <row r="36" ht="15.75" customHeight="1">
      <c r="A36" s="8"/>
      <c r="B36" s="8"/>
      <c r="C36" s="207">
        <v>46384.0</v>
      </c>
      <c r="D36" s="208" t="str">
        <f t="shared" si="6"/>
        <v>seg.</v>
      </c>
      <c r="E36" s="209"/>
      <c r="F36" s="209"/>
      <c r="G36" s="51"/>
      <c r="H36" s="290"/>
      <c r="I36" s="265" t="str">
        <f t="shared" si="7"/>
        <v>#DIV/0!</v>
      </c>
      <c r="J36" s="57"/>
      <c r="K36" s="57"/>
      <c r="L36" s="57"/>
      <c r="M36" s="57">
        <f t="shared" si="8"/>
        <v>0</v>
      </c>
      <c r="N36" s="350">
        <f t="shared" ref="N36:O36" si="42">C36</f>
        <v>46384</v>
      </c>
      <c r="O36" s="350" t="str">
        <f t="shared" si="42"/>
        <v>seg.</v>
      </c>
      <c r="P36" s="213"/>
      <c r="Q36" s="213"/>
      <c r="R36" s="51"/>
      <c r="S36" s="291"/>
      <c r="T36" s="291" t="str">
        <f t="shared" si="11"/>
        <v>#DIV/0!</v>
      </c>
      <c r="U36" s="57"/>
      <c r="V36" s="57"/>
      <c r="W36" s="57"/>
      <c r="X36" s="57"/>
      <c r="AA36" s="92" t="s">
        <v>72</v>
      </c>
      <c r="AB36" s="93" t="s">
        <v>73</v>
      </c>
      <c r="AC36" s="94">
        <f>F40</f>
        <v>0</v>
      </c>
      <c r="AD36" s="164" t="s">
        <v>74</v>
      </c>
      <c r="AE36" s="96">
        <f>Q40</f>
        <v>0</v>
      </c>
      <c r="AF36" s="92" t="s">
        <v>72</v>
      </c>
      <c r="AJ36" s="317"/>
      <c r="AK36" s="271"/>
      <c r="AL36" s="317"/>
    </row>
    <row r="37" ht="15.75" customHeight="1">
      <c r="A37" s="8"/>
      <c r="B37" s="8"/>
      <c r="C37" s="207">
        <v>46385.0</v>
      </c>
      <c r="D37" s="208" t="str">
        <f t="shared" si="6"/>
        <v>ter.</v>
      </c>
      <c r="E37" s="209"/>
      <c r="F37" s="209"/>
      <c r="G37" s="51"/>
      <c r="H37" s="290"/>
      <c r="I37" s="265" t="str">
        <f t="shared" si="7"/>
        <v>#DIV/0!</v>
      </c>
      <c r="J37" s="57"/>
      <c r="K37" s="57"/>
      <c r="L37" s="57"/>
      <c r="M37" s="57">
        <f t="shared" si="8"/>
        <v>0</v>
      </c>
      <c r="N37" s="350">
        <f t="shared" ref="N37:O37" si="43">C37</f>
        <v>46385</v>
      </c>
      <c r="O37" s="350" t="str">
        <f t="shared" si="43"/>
        <v>ter.</v>
      </c>
      <c r="P37" s="213"/>
      <c r="Q37" s="213"/>
      <c r="R37" s="51"/>
      <c r="S37" s="291"/>
      <c r="T37" s="291" t="str">
        <f t="shared" si="11"/>
        <v>#DIV/0!</v>
      </c>
      <c r="U37" s="57"/>
      <c r="V37" s="57"/>
      <c r="W37" s="57"/>
      <c r="X37" s="57"/>
      <c r="AA37" s="97">
        <f>AC37-AD37</f>
        <v>-0.1</v>
      </c>
      <c r="AB37" s="98"/>
      <c r="AC37" s="99">
        <f>AC36/AC20</f>
        <v>0</v>
      </c>
      <c r="AD37" s="165">
        <f>3/30</f>
        <v>0.1</v>
      </c>
      <c r="AE37" s="100">
        <f>AE36/AE20</f>
        <v>0</v>
      </c>
      <c r="AF37" s="97">
        <f>AE37-AD37</f>
        <v>-0.1</v>
      </c>
      <c r="AK37" s="61"/>
    </row>
    <row r="38" ht="15.75" customHeight="1">
      <c r="A38" s="8"/>
      <c r="B38" s="8"/>
      <c r="C38" s="207">
        <v>46386.0</v>
      </c>
      <c r="D38" s="208" t="str">
        <f t="shared" si="6"/>
        <v>qua.</v>
      </c>
      <c r="E38" s="209"/>
      <c r="F38" s="209"/>
      <c r="G38" s="51"/>
      <c r="H38" s="290"/>
      <c r="I38" s="265" t="str">
        <f t="shared" si="7"/>
        <v>#DIV/0!</v>
      </c>
      <c r="J38" s="57"/>
      <c r="K38" s="57"/>
      <c r="L38" s="57"/>
      <c r="M38" s="57">
        <f t="shared" si="8"/>
        <v>0</v>
      </c>
      <c r="N38" s="350">
        <f t="shared" ref="N38:O38" si="44">C38</f>
        <v>46386</v>
      </c>
      <c r="O38" s="350" t="str">
        <f t="shared" si="44"/>
        <v>qua.</v>
      </c>
      <c r="P38" s="213"/>
      <c r="Q38" s="213"/>
      <c r="R38" s="51"/>
      <c r="S38" s="291"/>
      <c r="T38" s="291" t="str">
        <f t="shared" si="11"/>
        <v>#DIV/0!</v>
      </c>
      <c r="U38" s="57"/>
      <c r="V38" s="57"/>
      <c r="W38" s="57"/>
      <c r="X38" s="57"/>
      <c r="AB38" s="98" t="s">
        <v>76</v>
      </c>
      <c r="AC38" s="104">
        <f>AC20-AC36</f>
        <v>350000</v>
      </c>
      <c r="AD38" s="99"/>
      <c r="AE38" s="106">
        <f>AE20-AE36</f>
        <v>280000</v>
      </c>
    </row>
    <row r="39" ht="15.75" customHeight="1">
      <c r="A39" s="8"/>
      <c r="B39" s="8"/>
      <c r="C39" s="207">
        <v>46387.0</v>
      </c>
      <c r="D39" s="208" t="str">
        <f t="shared" si="6"/>
        <v>qui.</v>
      </c>
      <c r="E39" s="209"/>
      <c r="F39" s="209"/>
      <c r="G39" s="51"/>
      <c r="H39" s="290"/>
      <c r="I39" s="265" t="str">
        <f t="shared" si="7"/>
        <v>#DIV/0!</v>
      </c>
      <c r="J39" s="57"/>
      <c r="K39" s="57"/>
      <c r="L39" s="57"/>
      <c r="M39" s="57">
        <f t="shared" si="8"/>
        <v>0</v>
      </c>
      <c r="N39" s="350">
        <f t="shared" ref="N39:O39" si="45">C39</f>
        <v>46387</v>
      </c>
      <c r="O39" s="350" t="str">
        <f t="shared" si="45"/>
        <v>qui.</v>
      </c>
      <c r="P39" s="213"/>
      <c r="Q39" s="213"/>
      <c r="R39" s="51"/>
      <c r="S39" s="291"/>
      <c r="T39" s="291" t="str">
        <f t="shared" si="11"/>
        <v>#DIV/0!</v>
      </c>
      <c r="U39" s="57"/>
      <c r="V39" s="57"/>
      <c r="W39" s="57"/>
      <c r="X39" s="57">
        <f>U39+V39+W39</f>
        <v>0</v>
      </c>
      <c r="AE39" s="61"/>
    </row>
    <row r="40" ht="15.75" customHeight="1">
      <c r="A40" s="8"/>
      <c r="B40" s="8"/>
      <c r="C40" s="218"/>
      <c r="D40" s="218"/>
      <c r="E40" s="219">
        <f t="shared" ref="E40:H40" si="46">SUM(E9:E39)</f>
        <v>0</v>
      </c>
      <c r="F40" s="219">
        <f t="shared" si="46"/>
        <v>0</v>
      </c>
      <c r="G40" s="105">
        <f t="shared" si="46"/>
        <v>0</v>
      </c>
      <c r="H40" s="105">
        <f t="shared" si="46"/>
        <v>0</v>
      </c>
      <c r="I40" s="105"/>
      <c r="J40" s="105">
        <f t="shared" ref="J40:M40" si="47">SUM(J9:J39)</f>
        <v>0</v>
      </c>
      <c r="K40" s="105">
        <f t="shared" si="47"/>
        <v>0</v>
      </c>
      <c r="L40" s="105">
        <f t="shared" si="47"/>
        <v>0</v>
      </c>
      <c r="M40" s="105">
        <f t="shared" si="47"/>
        <v>0</v>
      </c>
      <c r="N40" s="286"/>
      <c r="O40" s="287"/>
      <c r="P40" s="222">
        <f t="shared" ref="P40:S40" si="48">SUM(P9:P39)</f>
        <v>0</v>
      </c>
      <c r="Q40" s="222">
        <f t="shared" si="48"/>
        <v>0</v>
      </c>
      <c r="R40" s="105">
        <f t="shared" si="48"/>
        <v>0</v>
      </c>
      <c r="S40" s="223">
        <f t="shared" si="48"/>
        <v>0</v>
      </c>
      <c r="T40" s="223"/>
      <c r="U40" s="223">
        <f t="shared" ref="U40:X40" si="49">SUM(U9:U39)</f>
        <v>0</v>
      </c>
      <c r="V40" s="223">
        <f t="shared" si="49"/>
        <v>0</v>
      </c>
      <c r="W40" s="223">
        <f t="shared" si="49"/>
        <v>0</v>
      </c>
      <c r="X40" s="223">
        <f t="shared" si="49"/>
        <v>0</v>
      </c>
    </row>
    <row r="41" ht="15.75" customHeight="1">
      <c r="D41" s="61"/>
      <c r="E41" s="61"/>
      <c r="F41" s="225"/>
      <c r="G41" s="114"/>
      <c r="H41" s="356" t="s">
        <v>354</v>
      </c>
      <c r="I41" s="226"/>
      <c r="N41" s="61"/>
      <c r="P41" s="61"/>
      <c r="Q41" s="275"/>
      <c r="R41" s="114"/>
      <c r="S41" s="199"/>
      <c r="T41" s="199"/>
    </row>
    <row r="42" ht="15.75" customHeight="1">
      <c r="A42" s="2"/>
      <c r="B42" s="2"/>
      <c r="C42" s="2"/>
      <c r="D42" s="75"/>
      <c r="E42" s="75"/>
      <c r="F42" s="2"/>
      <c r="H42" s="226"/>
      <c r="I42" s="226"/>
      <c r="N42" s="75"/>
      <c r="P42" s="75"/>
      <c r="Q42" s="2"/>
      <c r="S42" s="199"/>
      <c r="T42" s="199"/>
    </row>
    <row r="43" ht="15.75" customHeight="1">
      <c r="A43" s="2"/>
      <c r="B43" s="2"/>
      <c r="C43" s="2"/>
      <c r="D43" s="2"/>
      <c r="E43" s="174" t="s">
        <v>77</v>
      </c>
      <c r="F43" s="118">
        <f>E40+G40</f>
        <v>0</v>
      </c>
      <c r="P43" s="115" t="s">
        <v>77</v>
      </c>
      <c r="Q43" s="118">
        <f>P40+R40</f>
        <v>0</v>
      </c>
      <c r="S43" s="199"/>
      <c r="T43" s="199"/>
    </row>
    <row r="44" ht="15.75" customHeight="1">
      <c r="A44" s="2"/>
      <c r="B44" s="2"/>
      <c r="C44" s="122" t="s">
        <v>29</v>
      </c>
      <c r="D44" s="124">
        <v>350000.0</v>
      </c>
      <c r="E44" s="75"/>
      <c r="F44" s="2"/>
      <c r="N44" s="126" t="s">
        <v>29</v>
      </c>
      <c r="O44" s="124">
        <v>280000.0</v>
      </c>
      <c r="P44" s="2"/>
      <c r="Q44" s="2"/>
      <c r="S44" s="199"/>
      <c r="T44" s="199"/>
    </row>
    <row r="45" ht="15.75" customHeight="1">
      <c r="A45" s="61"/>
      <c r="B45" s="61"/>
      <c r="C45" s="61"/>
      <c r="D45" s="175"/>
      <c r="N45" s="175"/>
      <c r="O45" s="61"/>
      <c r="S45" s="199"/>
      <c r="T45" s="199"/>
    </row>
    <row r="46" ht="15.75" customHeight="1">
      <c r="A46" s="61"/>
      <c r="B46" s="61"/>
      <c r="C46" s="61"/>
      <c r="O46" s="61"/>
      <c r="S46" s="199"/>
      <c r="T46" s="199"/>
    </row>
    <row r="47" ht="15.75" customHeight="1">
      <c r="A47" s="61"/>
      <c r="B47" s="61"/>
      <c r="C47" s="61"/>
      <c r="N47" s="61"/>
      <c r="S47" s="199"/>
      <c r="T47" s="199"/>
    </row>
    <row r="48" ht="15.75" customHeight="1">
      <c r="A48" s="61"/>
      <c r="B48" s="61"/>
      <c r="C48" s="61"/>
      <c r="N48" s="121"/>
      <c r="S48" s="199"/>
      <c r="T48" s="199"/>
    </row>
    <row r="49" ht="15.75" customHeight="1">
      <c r="A49" s="61"/>
      <c r="B49" s="61"/>
      <c r="C49" s="61"/>
      <c r="S49" s="199"/>
      <c r="T49" s="19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4:M6"/>
    <mergeCell ref="N4:X6"/>
    <mergeCell ref="AA4:AB4"/>
    <mergeCell ref="AD4:AE4"/>
    <mergeCell ref="AH4:AI4"/>
    <mergeCell ref="AK4:AL4"/>
    <mergeCell ref="C7:M7"/>
    <mergeCell ref="N7:X7"/>
  </mergeCells>
  <conditionalFormatting sqref="G9:G40 H40:M40 R9:R40">
    <cfRule type="cellIs" dxfId="0" priority="1" operator="greaterThanOrEqual">
      <formula>0</formula>
    </cfRule>
  </conditionalFormatting>
  <conditionalFormatting sqref="G9:G40 H40:M40 R9:R40">
    <cfRule type="cellIs" dxfId="1" priority="2" operator="lessThan">
      <formula>0</formula>
    </cfRule>
  </conditionalFormatting>
  <conditionalFormatting sqref="G9:G40 H40:M40 R9:R40">
    <cfRule type="cellIs" dxfId="2" priority="3" operator="lessThan">
      <formula>0</formula>
    </cfRule>
  </conditionalFormatting>
  <conditionalFormatting sqref="S40:X40">
    <cfRule type="cellIs" dxfId="0" priority="4" operator="greaterThanOrEqual">
      <formula>0</formula>
    </cfRule>
  </conditionalFormatting>
  <conditionalFormatting sqref="S40:X40">
    <cfRule type="cellIs" dxfId="1" priority="5" operator="lessThan">
      <formula>0</formula>
    </cfRule>
  </conditionalFormatting>
  <conditionalFormatting sqref="S40:X40">
    <cfRule type="cellIs" dxfId="2" priority="6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